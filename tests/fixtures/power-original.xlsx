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D:\Tenders\ADDC\D-111808\Submission\Commercial\Bill of Quantities (Price Schedule)\EXCEL\"/>
    </mc:Choice>
  </mc:AlternateContent>
  <xr:revisionPtr revIDLastSave="0" documentId="13_ncr:1_{6BD30DFA-8C6E-46C3-A5AC-0006AC4212AB}" xr6:coauthVersionLast="47" xr6:coauthVersionMax="47" xr10:uidLastSave="{00000000-0000-0000-0000-000000000000}"/>
  <bookViews>
    <workbookView xWindow="-110" yWindow="-110" windowWidth="19420" windowHeight="10300" firstSheet="3" activeTab="4" xr2:uid="{00000000-000D-0000-FFFF-FFFF00000000}"/>
  </bookViews>
  <sheets>
    <sheet name="Final Summary" sheetId="7" r:id="rId1"/>
    <sheet name="Items 1,2,3-Construction Works" sheetId="6" r:id="rId2"/>
    <sheet name="Items 4-Load Diversion Works" sheetId="9" r:id="rId3"/>
    <sheet name="Items 5-8 Dismantl &amp; Modif work" sheetId="10" r:id="rId4"/>
    <sheet name="Items 9- Spare Parts (Optional)" sheetId="11" r:id="rId5"/>
  </sheets>
  <externalReferences>
    <externalReference r:id="rId6"/>
    <externalReference r:id="rId7"/>
    <externalReference r:id="rId8"/>
  </externalReferences>
  <definedNames>
    <definedName name="_Toc28013863" localSheetId="1">'Items 1,2,3-Construction Works'!$B$9</definedName>
    <definedName name="_Toc295926806" localSheetId="1">'Items 1,2,3-Construction Works'!$B$85</definedName>
    <definedName name="_Toc440980563" localSheetId="2">'Items 4-Load Diversion Works'!$B$34</definedName>
    <definedName name="_Toc440980563" localSheetId="3">'Items 5-8 Dismantl &amp; Modif work'!#REF!</definedName>
    <definedName name="_Toc440980563" localSheetId="4">'Items 9- Spare Parts (Optional)'!$B$23</definedName>
    <definedName name="_Toc440980567" localSheetId="1">'Items 1,2,3-Construction Works'!#REF!</definedName>
    <definedName name="_Toc440980567" localSheetId="2">'Items 4-Load Diversion Works'!#REF!</definedName>
    <definedName name="_Toc440980567" localSheetId="3">'Items 5-8 Dismantl &amp; Modif work'!#REF!</definedName>
    <definedName name="_Toc440980567" localSheetId="4">'Items 9- Spare Parts (Optional)'!#REF!</definedName>
    <definedName name="AEDproEUR">1/[1]Kalk_90_H2!$G$4</definedName>
    <definedName name="BAUfaktor" localSheetId="1">'[2]Khalifa Parkf'!#REF!</definedName>
    <definedName name="BAUfaktor" localSheetId="2">'[2]Khalifa Parkf'!#REF!</definedName>
    <definedName name="BAUfaktor" localSheetId="3">'[2]Khalifa Parkf'!#REF!</definedName>
    <definedName name="BAUfaktor" localSheetId="4">'[2]Khalifa Parkf'!#REF!</definedName>
    <definedName name="BAUfaktor">'[2]Khalifa Parkf'!#REF!</definedName>
    <definedName name="Factora">[1]Kalk_90_H2!$C$42/[1]Kalk_90_H2!$C$35</definedName>
    <definedName name="_xlnm.Print_Area" localSheetId="0">'Final Summary'!$A$1:$E$16</definedName>
    <definedName name="_xlnm.Print_Area" localSheetId="1">'Items 1,2,3-Construction Works'!$A$1:$I$217</definedName>
    <definedName name="_xlnm.Print_Area" localSheetId="2">'Items 4-Load Diversion Works'!$A$1:$I$73</definedName>
    <definedName name="_xlnm.Print_Area" localSheetId="3">'Items 5-8 Dismantl &amp; Modif work'!$A$1:$I$26</definedName>
    <definedName name="_xlnm.Print_Area" localSheetId="4">'Items 9- Spare Parts (Optional)'!$A$1:$F$158</definedName>
    <definedName name="Print_Area_MI" localSheetId="1">'[3]SCHEDULE 1'!#REF!</definedName>
    <definedName name="Print_Area_MI" localSheetId="2">'[3]SCHEDULE 1'!#REF!</definedName>
    <definedName name="Print_Area_MI" localSheetId="3">'[3]SCHEDULE 1'!#REF!</definedName>
    <definedName name="Print_Area_MI" localSheetId="4">'[3]SCHEDULE 1'!#REF!</definedName>
    <definedName name="Print_Area_MI">'[3]SCHEDULE 1'!#REF!</definedName>
    <definedName name="_xlnm.Print_Titles" localSheetId="1">'Items 1,2,3-Construction Works'!$1:$7</definedName>
    <definedName name="_xlnm.Print_Titles" localSheetId="2">'Items 4-Load Diversion Works'!$1:$7</definedName>
    <definedName name="_xlnm.Print_Titles" localSheetId="3">'Items 5-8 Dismantl &amp; Modif work'!$1:$7</definedName>
    <definedName name="_xlnm.Print_Titles" localSheetId="4">'Items 9- Spare Parts (Optional)'!$1:$7</definedName>
    <definedName name="USDproEUR" localSheetId="1">'[2]Khalifa Parkf'!#REF!</definedName>
    <definedName name="USDproEUR" localSheetId="2">'[2]Khalifa Parkf'!#REF!</definedName>
    <definedName name="USDproEUR" localSheetId="3">'[2]Khalifa Parkf'!#REF!</definedName>
    <definedName name="USDproEUR" localSheetId="4">'[2]Khalifa Parkf'!#REF!</definedName>
    <definedName name="USDproEUR">'[2]Khalifa Parkf'!#REF!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11" l="1"/>
  <c r="F32" i="11"/>
  <c r="F27" i="11"/>
  <c r="D63" i="9" l="1"/>
  <c r="F47" i="9"/>
  <c r="H47" i="9"/>
  <c r="F48" i="9"/>
  <c r="H48" i="9"/>
  <c r="D42" i="9"/>
  <c r="I48" i="9" l="1"/>
  <c r="I47" i="9"/>
  <c r="H17" i="9"/>
  <c r="F17" i="9"/>
  <c r="I17" i="9" l="1"/>
  <c r="D36" i="9"/>
  <c r="A4" i="11" l="1"/>
  <c r="A4" i="10"/>
  <c r="H33" i="9"/>
  <c r="F33" i="9"/>
  <c r="H32" i="9"/>
  <c r="F32" i="9"/>
  <c r="I33" i="9" l="1"/>
  <c r="I32" i="9"/>
  <c r="A4" i="9"/>
  <c r="F10" i="10" l="1"/>
  <c r="D40" i="9" l="1"/>
  <c r="D39" i="9"/>
  <c r="H51" i="9" l="1"/>
  <c r="F51" i="9"/>
  <c r="I51" i="9" l="1"/>
  <c r="F52" i="9" l="1"/>
  <c r="H52" i="9"/>
  <c r="F22" i="9"/>
  <c r="H22" i="9"/>
  <c r="I52" i="9" l="1"/>
  <c r="I22" i="9"/>
  <c r="A2" i="11" l="1"/>
  <c r="A2" i="10"/>
  <c r="A2" i="9"/>
  <c r="F103" i="11" l="1"/>
  <c r="F36" i="11"/>
  <c r="F26" i="11"/>
  <c r="B213" i="6" l="1"/>
  <c r="F204" i="6"/>
  <c r="H204" i="6"/>
  <c r="F200" i="6"/>
  <c r="H200" i="6"/>
  <c r="F194" i="6"/>
  <c r="H194" i="6"/>
  <c r="F190" i="6"/>
  <c r="H190" i="6"/>
  <c r="F185" i="6"/>
  <c r="H185" i="6"/>
  <c r="F176" i="6"/>
  <c r="H176" i="6"/>
  <c r="F173" i="6"/>
  <c r="H173" i="6"/>
  <c r="F168" i="6"/>
  <c r="H168" i="6"/>
  <c r="F161" i="6"/>
  <c r="H161" i="6"/>
  <c r="F157" i="6"/>
  <c r="H157" i="6"/>
  <c r="F153" i="6"/>
  <c r="H153" i="6"/>
  <c r="F148" i="6"/>
  <c r="H148" i="6"/>
  <c r="F143" i="6"/>
  <c r="H143" i="6"/>
  <c r="F138" i="6"/>
  <c r="H138" i="6"/>
  <c r="F129" i="6"/>
  <c r="H129" i="6"/>
  <c r="F62" i="6"/>
  <c r="H62" i="6"/>
  <c r="A3" i="11"/>
  <c r="A3" i="10"/>
  <c r="A3" i="9"/>
  <c r="I176" i="6" l="1"/>
  <c r="I190" i="6"/>
  <c r="I194" i="6"/>
  <c r="I153" i="6"/>
  <c r="I168" i="6"/>
  <c r="I204" i="6"/>
  <c r="I200" i="6"/>
  <c r="I185" i="6"/>
  <c r="I173" i="6"/>
  <c r="I161" i="6"/>
  <c r="I157" i="6"/>
  <c r="I148" i="6"/>
  <c r="I143" i="6"/>
  <c r="I138" i="6"/>
  <c r="I129" i="6"/>
  <c r="I62" i="6"/>
  <c r="F84" i="6" l="1"/>
  <c r="H84" i="6"/>
  <c r="I84" i="6" l="1"/>
  <c r="F37" i="6" l="1"/>
  <c r="H37" i="6" l="1"/>
  <c r="I37" i="6" s="1"/>
  <c r="H82" i="6"/>
  <c r="F82" i="6"/>
  <c r="H81" i="6"/>
  <c r="F81" i="6"/>
  <c r="H79" i="6"/>
  <c r="F79" i="6"/>
  <c r="I79" i="6" l="1"/>
  <c r="I81" i="6"/>
  <c r="I82" i="6"/>
  <c r="H100" i="6" l="1"/>
  <c r="F100" i="6"/>
  <c r="I100" i="6" l="1"/>
  <c r="H23" i="6" l="1"/>
  <c r="F22" i="6"/>
  <c r="F20" i="6"/>
  <c r="H24" i="6"/>
  <c r="B156" i="11"/>
  <c r="B14" i="7" s="1"/>
  <c r="F140" i="11"/>
  <c r="F138" i="11"/>
  <c r="F100" i="11"/>
  <c r="F99" i="11"/>
  <c r="F98" i="11"/>
  <c r="F97" i="11"/>
  <c r="F93" i="11"/>
  <c r="F92" i="11"/>
  <c r="F88" i="11"/>
  <c r="F85" i="11"/>
  <c r="F84" i="11"/>
  <c r="F83" i="11"/>
  <c r="F82" i="11"/>
  <c r="F81" i="11"/>
  <c r="F80" i="11"/>
  <c r="F79" i="11"/>
  <c r="F78" i="11"/>
  <c r="F77" i="11"/>
  <c r="F76" i="11"/>
  <c r="F75" i="11"/>
  <c r="F74" i="11"/>
  <c r="F73" i="11"/>
  <c r="F70" i="11"/>
  <c r="F69" i="11"/>
  <c r="F68" i="11"/>
  <c r="F67" i="11"/>
  <c r="F64" i="11"/>
  <c r="F63" i="11"/>
  <c r="F62" i="11"/>
  <c r="F61" i="11"/>
  <c r="F60" i="11"/>
  <c r="F59" i="11"/>
  <c r="F58" i="11"/>
  <c r="F57" i="11"/>
  <c r="F56" i="11"/>
  <c r="F55" i="11"/>
  <c r="F53" i="11"/>
  <c r="F52" i="11"/>
  <c r="F51" i="11"/>
  <c r="F50" i="11"/>
  <c r="F49" i="11"/>
  <c r="F48" i="11"/>
  <c r="F47" i="11"/>
  <c r="F46" i="11"/>
  <c r="F45" i="11"/>
  <c r="F44" i="11"/>
  <c r="F43" i="11"/>
  <c r="F42" i="11"/>
  <c r="F41" i="11"/>
  <c r="F40" i="11"/>
  <c r="F37" i="11"/>
  <c r="F35" i="11"/>
  <c r="F34" i="11"/>
  <c r="F33" i="11"/>
  <c r="F31" i="11"/>
  <c r="F30" i="11"/>
  <c r="F25" i="11"/>
  <c r="F24" i="11"/>
  <c r="F23" i="11"/>
  <c r="F22" i="11"/>
  <c r="F21" i="11"/>
  <c r="F20" i="11"/>
  <c r="F19" i="11"/>
  <c r="F18" i="11"/>
  <c r="F17" i="11"/>
  <c r="F16" i="11"/>
  <c r="F15" i="11"/>
  <c r="F14" i="11"/>
  <c r="F13" i="11"/>
  <c r="F12" i="11"/>
  <c r="F11" i="11"/>
  <c r="F101" i="11" l="1"/>
  <c r="F65" i="11"/>
  <c r="F71" i="11"/>
  <c r="F38" i="11"/>
  <c r="F154" i="11"/>
  <c r="F86" i="11"/>
  <c r="F28" i="11"/>
  <c r="H20" i="6"/>
  <c r="I20" i="6" s="1"/>
  <c r="H22" i="6"/>
  <c r="I22" i="6" s="1"/>
  <c r="F23" i="6"/>
  <c r="I23" i="6" s="1"/>
  <c r="F24" i="6"/>
  <c r="I24" i="6" s="1"/>
  <c r="F156" i="11" l="1"/>
  <c r="F158" i="11" s="1"/>
  <c r="C14" i="7" s="1"/>
  <c r="E14" i="7" s="1"/>
  <c r="H86" i="6"/>
  <c r="F86" i="6"/>
  <c r="I86" i="6" l="1"/>
  <c r="H172" i="6" l="1"/>
  <c r="F172" i="6"/>
  <c r="H167" i="6"/>
  <c r="F167" i="6"/>
  <c r="H166" i="6"/>
  <c r="F166" i="6"/>
  <c r="F126" i="6"/>
  <c r="H126" i="6"/>
  <c r="F127" i="6"/>
  <c r="F121" i="6"/>
  <c r="H121" i="6"/>
  <c r="F122" i="6"/>
  <c r="H122" i="6"/>
  <c r="F123" i="6"/>
  <c r="H123" i="6"/>
  <c r="B24" i="10"/>
  <c r="B13" i="7" s="1"/>
  <c r="B23" i="10"/>
  <c r="B12" i="7" s="1"/>
  <c r="B22" i="10"/>
  <c r="B11" i="7" s="1"/>
  <c r="B21" i="10"/>
  <c r="B10" i="7" s="1"/>
  <c r="H19" i="10"/>
  <c r="H24" i="10" s="1"/>
  <c r="D13" i="7" s="1"/>
  <c r="F19" i="10"/>
  <c r="F24" i="10" s="1"/>
  <c r="C13" i="7" s="1"/>
  <c r="H16" i="10"/>
  <c r="F16" i="10"/>
  <c r="H15" i="10"/>
  <c r="F15" i="10"/>
  <c r="H12" i="10"/>
  <c r="H22" i="10" s="1"/>
  <c r="D11" i="7" s="1"/>
  <c r="F12" i="10"/>
  <c r="F22" i="10" s="1"/>
  <c r="C11" i="7" s="1"/>
  <c r="H10" i="10"/>
  <c r="H21" i="10" s="1"/>
  <c r="D10" i="7" s="1"/>
  <c r="F21" i="10"/>
  <c r="C10" i="7" s="1"/>
  <c r="H17" i="10" l="1"/>
  <c r="H23" i="10" s="1"/>
  <c r="D12" i="7" s="1"/>
  <c r="I166" i="6"/>
  <c r="I167" i="6"/>
  <c r="I172" i="6"/>
  <c r="I126" i="6"/>
  <c r="I122" i="6"/>
  <c r="I121" i="6"/>
  <c r="I123" i="6"/>
  <c r="F17" i="10"/>
  <c r="F23" i="10" s="1"/>
  <c r="C12" i="7" s="1"/>
  <c r="I15" i="10"/>
  <c r="I12" i="10"/>
  <c r="I22" i="10" s="1"/>
  <c r="I16" i="10"/>
  <c r="I10" i="10"/>
  <c r="I21" i="10" s="1"/>
  <c r="I19" i="10"/>
  <c r="I24" i="10" s="1"/>
  <c r="I17" i="10" l="1"/>
  <c r="I23" i="10" s="1"/>
  <c r="I26" i="10" s="1"/>
  <c r="F26" i="10"/>
  <c r="H26" i="10"/>
  <c r="F49" i="9" l="1"/>
  <c r="H49" i="9"/>
  <c r="I49" i="9" l="1"/>
  <c r="F29" i="9" l="1"/>
  <c r="H29" i="9"/>
  <c r="I29" i="9" l="1"/>
  <c r="B71" i="9" l="1"/>
  <c r="B9" i="7" s="1"/>
  <c r="F64" i="9"/>
  <c r="H64" i="9"/>
  <c r="H46" i="9"/>
  <c r="F46" i="9"/>
  <c r="H45" i="9"/>
  <c r="F45" i="9"/>
  <c r="F53" i="9"/>
  <c r="H53" i="9"/>
  <c r="F54" i="9"/>
  <c r="H54" i="9"/>
  <c r="F55" i="9"/>
  <c r="H55" i="9"/>
  <c r="F38" i="9"/>
  <c r="H38" i="9"/>
  <c r="F37" i="9"/>
  <c r="H37" i="9"/>
  <c r="F30" i="9"/>
  <c r="H30" i="9"/>
  <c r="H28" i="9"/>
  <c r="F28" i="9"/>
  <c r="H27" i="9"/>
  <c r="F27" i="9"/>
  <c r="I27" i="9" l="1"/>
  <c r="I45" i="9"/>
  <c r="I64" i="9"/>
  <c r="I28" i="9"/>
  <c r="I46" i="9"/>
  <c r="E11" i="7"/>
  <c r="E13" i="7"/>
  <c r="E10" i="7"/>
  <c r="I53" i="9"/>
  <c r="I30" i="9"/>
  <c r="I54" i="9"/>
  <c r="I55" i="9"/>
  <c r="I38" i="9"/>
  <c r="I37" i="9"/>
  <c r="H24" i="9"/>
  <c r="F24" i="9"/>
  <c r="H23" i="9"/>
  <c r="F23" i="9"/>
  <c r="H21" i="9"/>
  <c r="F20" i="9"/>
  <c r="H20" i="9"/>
  <c r="H14" i="9"/>
  <c r="F15" i="9"/>
  <c r="H15" i="9"/>
  <c r="F16" i="9"/>
  <c r="H16" i="9"/>
  <c r="F92" i="6"/>
  <c r="H92" i="6"/>
  <c r="I21" i="9" l="1"/>
  <c r="H117" i="6"/>
  <c r="I24" i="9"/>
  <c r="E12" i="7"/>
  <c r="I15" i="9"/>
  <c r="I23" i="9"/>
  <c r="I20" i="9"/>
  <c r="I14" i="9"/>
  <c r="I16" i="9"/>
  <c r="F117" i="6"/>
  <c r="I92" i="6"/>
  <c r="I117" i="6" l="1"/>
  <c r="B215" i="6"/>
  <c r="B8" i="7" s="1"/>
  <c r="B6" i="7"/>
  <c r="B214" i="6"/>
  <c r="B7" i="7" s="1"/>
  <c r="F75" i="6"/>
  <c r="H75" i="6"/>
  <c r="F65" i="6"/>
  <c r="H65" i="6"/>
  <c r="H63" i="6"/>
  <c r="H61" i="6"/>
  <c r="F60" i="6"/>
  <c r="H60" i="6"/>
  <c r="H59" i="6"/>
  <c r="H58" i="6"/>
  <c r="F58" i="6"/>
  <c r="F56" i="6"/>
  <c r="H56" i="6"/>
  <c r="H55" i="6"/>
  <c r="F54" i="6"/>
  <c r="H54" i="6"/>
  <c r="H214" i="6" l="1"/>
  <c r="D7" i="7" s="1"/>
  <c r="F214" i="6"/>
  <c r="C7" i="7" s="1"/>
  <c r="I59" i="6"/>
  <c r="I75" i="6"/>
  <c r="I65" i="6"/>
  <c r="I63" i="6"/>
  <c r="I60" i="6"/>
  <c r="I61" i="6"/>
  <c r="I58" i="6"/>
  <c r="I55" i="6"/>
  <c r="I56" i="6"/>
  <c r="I54" i="6"/>
  <c r="E7" i="7" l="1"/>
  <c r="I214" i="6"/>
  <c r="F30" i="6" l="1"/>
  <c r="H30" i="6"/>
  <c r="F31" i="6"/>
  <c r="H31" i="6"/>
  <c r="F32" i="6"/>
  <c r="H32" i="6"/>
  <c r="F33" i="6"/>
  <c r="H33" i="6"/>
  <c r="I32" i="6" l="1"/>
  <c r="I30" i="6"/>
  <c r="I33" i="6"/>
  <c r="I31" i="6"/>
  <c r="F16" i="6"/>
  <c r="H16" i="6"/>
  <c r="I16" i="6" l="1"/>
  <c r="F15" i="6"/>
  <c r="H15" i="6"/>
  <c r="F17" i="6"/>
  <c r="H17" i="6"/>
  <c r="F68" i="6"/>
  <c r="H68" i="6"/>
  <c r="F70" i="6"/>
  <c r="H70" i="6"/>
  <c r="F73" i="6"/>
  <c r="H73" i="6"/>
  <c r="H51" i="6"/>
  <c r="F51" i="6"/>
  <c r="I17" i="6" l="1"/>
  <c r="I73" i="6"/>
  <c r="I51" i="6"/>
  <c r="I15" i="6"/>
  <c r="I68" i="6"/>
  <c r="I70" i="6"/>
  <c r="F44" i="6" l="1"/>
  <c r="H44" i="6"/>
  <c r="I44" i="6" l="1"/>
  <c r="F29" i="6"/>
  <c r="H29" i="6"/>
  <c r="F13" i="6"/>
  <c r="H13" i="6"/>
  <c r="I29" i="6" l="1"/>
  <c r="I13" i="6"/>
  <c r="H62" i="9" l="1"/>
  <c r="F62" i="9"/>
  <c r="H61" i="9"/>
  <c r="F61" i="9"/>
  <c r="H60" i="9"/>
  <c r="F60" i="9"/>
  <c r="H58" i="9"/>
  <c r="F58" i="9"/>
  <c r="H57" i="9"/>
  <c r="F57" i="9"/>
  <c r="I60" i="9" l="1"/>
  <c r="I61" i="9"/>
  <c r="I62" i="9"/>
  <c r="I58" i="9"/>
  <c r="I57" i="9"/>
  <c r="H26" i="6" l="1"/>
  <c r="F26" i="6"/>
  <c r="I26" i="6" l="1"/>
  <c r="H36" i="6" l="1"/>
  <c r="F36" i="6"/>
  <c r="H34" i="6"/>
  <c r="F34" i="6"/>
  <c r="I36" i="6" l="1"/>
  <c r="I34" i="6"/>
  <c r="H63" i="9" l="1"/>
  <c r="F63" i="9"/>
  <c r="H43" i="9"/>
  <c r="F43" i="9"/>
  <c r="H42" i="9"/>
  <c r="F42" i="9"/>
  <c r="H40" i="9"/>
  <c r="F40" i="9"/>
  <c r="H39" i="9"/>
  <c r="F39" i="9"/>
  <c r="H36" i="9"/>
  <c r="F36" i="9"/>
  <c r="H13" i="9"/>
  <c r="F13" i="9"/>
  <c r="F69" i="9" l="1"/>
  <c r="F71" i="9" s="1"/>
  <c r="F73" i="9" s="1"/>
  <c r="C9" i="7" s="1"/>
  <c r="H69" i="9"/>
  <c r="H71" i="9" s="1"/>
  <c r="I40" i="9"/>
  <c r="I43" i="9"/>
  <c r="I63" i="9"/>
  <c r="I39" i="9"/>
  <c r="I42" i="9"/>
  <c r="I13" i="9"/>
  <c r="I36" i="9"/>
  <c r="I69" i="9" l="1"/>
  <c r="I71" i="9" s="1"/>
  <c r="I73" i="9" s="1"/>
  <c r="H73" i="9"/>
  <c r="D9" i="7" s="1"/>
  <c r="E9" i="7" s="1"/>
  <c r="F47" i="6" l="1"/>
  <c r="F42" i="6"/>
  <c r="H125" i="6" l="1"/>
  <c r="H210" i="6" s="1"/>
  <c r="F125" i="6"/>
  <c r="F210" i="6" s="1"/>
  <c r="F215" i="6" s="1"/>
  <c r="C8" i="7" s="1"/>
  <c r="H47" i="6"/>
  <c r="H42" i="6"/>
  <c r="H40" i="6"/>
  <c r="F40" i="6"/>
  <c r="F87" i="6" s="1"/>
  <c r="F213" i="6" s="1"/>
  <c r="C6" i="7" s="1"/>
  <c r="C15" i="7" l="1"/>
  <c r="H87" i="6"/>
  <c r="H213" i="6" s="1"/>
  <c r="D6" i="7" s="1"/>
  <c r="E6" i="7" s="1"/>
  <c r="I125" i="6"/>
  <c r="I40" i="6"/>
  <c r="I42" i="6"/>
  <c r="I47" i="6"/>
  <c r="I210" i="6" l="1"/>
  <c r="I215" i="6" s="1"/>
  <c r="I87" i="6"/>
  <c r="I213" i="6" s="1"/>
  <c r="H215" i="6"/>
  <c r="D8" i="7" s="1"/>
  <c r="E8" i="7" s="1"/>
  <c r="E15" i="7" s="1"/>
  <c r="F217" i="6"/>
  <c r="H217" i="6" l="1"/>
  <c r="I217" i="6" l="1"/>
  <c r="D15" i="7"/>
</calcChain>
</file>

<file path=xl/sharedStrings.xml><?xml version="1.0" encoding="utf-8"?>
<sst xmlns="http://schemas.openxmlformats.org/spreadsheetml/2006/main" count="1352" uniqueCount="756">
  <si>
    <t>Description</t>
  </si>
  <si>
    <t>Unit</t>
  </si>
  <si>
    <t>Lot</t>
  </si>
  <si>
    <t>m</t>
  </si>
  <si>
    <t>Nos</t>
  </si>
  <si>
    <t>Low Voltage Power, Control, and Communication Cables</t>
  </si>
  <si>
    <t>Preliminaries</t>
  </si>
  <si>
    <t>ABU DHABI DISTRIBUTION COMPANY</t>
  </si>
  <si>
    <t>Item</t>
  </si>
  <si>
    <t>Estimated Qty. (a)</t>
  </si>
  <si>
    <t>CIF / Local (AED) - A</t>
  </si>
  <si>
    <t>Erection (AED) - B</t>
  </si>
  <si>
    <t>Total Price (AED)</t>
  </si>
  <si>
    <t>Unit Rate (b)</t>
  </si>
  <si>
    <t>Total (a*b)</t>
  </si>
  <si>
    <t>Unit Rate (c)</t>
  </si>
  <si>
    <t>Total (a*c)</t>
  </si>
  <si>
    <t>A + B</t>
  </si>
  <si>
    <t>The Technical Specifications, the description of the Scope of the Work/Scope of Supply and the subsequently prepared Price Tabulation Sheets / BOQ, are intended to give the frame of the equipment needed for the items in Scope. It is to be understood that the work(s) / services /equipment include everything requisite and/or necessary to finish the entire work properly to the satisfaction of ADDC/Employer and the equipment has to be complete in every respect, notwithstanding the fact that every item may not be specifically mentioned.</t>
  </si>
  <si>
    <t>Site Preparation Works</t>
  </si>
  <si>
    <t>Item No.</t>
  </si>
  <si>
    <t>DESCRIPTION</t>
  </si>
  <si>
    <t>Total Contract Price (U.A.E. Dirhams)</t>
  </si>
  <si>
    <t>Total Price (AED)
A+B</t>
  </si>
  <si>
    <t>Site clearing, demobilization and reinstatement of the surrounding area as it was pervious to the construction works.</t>
  </si>
  <si>
    <t>Remote Terminal Unit</t>
  </si>
  <si>
    <t>Communication System</t>
  </si>
  <si>
    <t>110V DC Battery Charger</t>
  </si>
  <si>
    <t>110V DC Battery Bank</t>
  </si>
  <si>
    <t>Sets</t>
  </si>
  <si>
    <t>m3</t>
  </si>
  <si>
    <t>Supply and Installation of bentonite slurry mixture in cable duct of 200 mm ID for cable installation and as per Technical Specification.</t>
  </si>
  <si>
    <t>2.1.1</t>
  </si>
  <si>
    <t>2.2.1</t>
  </si>
  <si>
    <t>2.1.2</t>
  </si>
  <si>
    <t>2.2.2</t>
  </si>
  <si>
    <t>2.2.3</t>
  </si>
  <si>
    <t>2.2.4</t>
  </si>
  <si>
    <t>2.2.5</t>
  </si>
  <si>
    <t>2.2.6</t>
  </si>
  <si>
    <t>2.2.7</t>
  </si>
  <si>
    <t>33 kV Busbar Protection</t>
  </si>
  <si>
    <t>Common Alarm Panel</t>
  </si>
  <si>
    <t>Asphalt breaking and reinstatement in paved areas including base course and wearing surface as per the scope of work.</t>
  </si>
  <si>
    <t>Up to 15 cm thick</t>
  </si>
  <si>
    <t>Above 15 cm thick Up to 40 cm thick.</t>
  </si>
  <si>
    <t>m²</t>
  </si>
  <si>
    <r>
      <t>Removal and reinstatement of all types of tiles as per the scope of work.</t>
    </r>
    <r>
      <rPr>
        <sz val="14"/>
        <color indexed="10"/>
        <rFont val="Times New Roman"/>
        <family val="1"/>
      </rPr>
      <t/>
    </r>
  </si>
  <si>
    <t>Curbstone tiles</t>
  </si>
  <si>
    <t>Interlocking colored pre-cast paving blocks</t>
  </si>
  <si>
    <t>Ceramic</t>
  </si>
  <si>
    <t>Main LVAC distribution board</t>
  </si>
  <si>
    <t>Tariff meters and panel</t>
  </si>
  <si>
    <t>33 kV GIS Switchgear</t>
  </si>
  <si>
    <t>11kV AIS Switchgear</t>
  </si>
  <si>
    <t>20 MVA Power Transformer</t>
  </si>
  <si>
    <t>Reactive Power Compensation</t>
  </si>
  <si>
    <t>110V DC System</t>
  </si>
  <si>
    <t>1.11.1</t>
  </si>
  <si>
    <t>1.11.1.1</t>
  </si>
  <si>
    <t>1.11.1.2</t>
  </si>
  <si>
    <t>1.11.1.3</t>
  </si>
  <si>
    <t>Internal Power &amp; Control Cabling Works</t>
  </si>
  <si>
    <t>33kV Power cables</t>
  </si>
  <si>
    <t>Nos.</t>
  </si>
  <si>
    <t>1.11.2</t>
  </si>
  <si>
    <t>1.11.2.1</t>
  </si>
  <si>
    <t>11kV Power cables</t>
  </si>
  <si>
    <t>1.11.2.2</t>
  </si>
  <si>
    <t>1.11.2.3</t>
  </si>
  <si>
    <t>1.11.2.4</t>
  </si>
  <si>
    <t>630A incomer panels and associated relays.</t>
  </si>
  <si>
    <t>630A outgoing/transformer feeder panels and associated relays.</t>
  </si>
  <si>
    <t>630A outgoing feeder panels and associated relays</t>
  </si>
  <si>
    <t>630A outgoing feeder panels for capacitor banks and associated relays</t>
  </si>
  <si>
    <t>630A outgoing feeder panels for auxiliary transformer and associated relays</t>
  </si>
  <si>
    <t>Over-Head Bus Ducts for Busbar Interconnection</t>
  </si>
  <si>
    <t>1.11.2.5</t>
  </si>
  <si>
    <t>1.11.3</t>
  </si>
  <si>
    <t>1.11.3.1</t>
  </si>
  <si>
    <t>1.11.3.2</t>
  </si>
  <si>
    <t>Earthing &amp; Lightning Protection System</t>
  </si>
  <si>
    <t>1.14.1</t>
  </si>
  <si>
    <t>1.14.2</t>
  </si>
  <si>
    <t>1.14.3</t>
  </si>
  <si>
    <t>1.14.4</t>
  </si>
  <si>
    <t>1.15.1</t>
  </si>
  <si>
    <t>1.15.2</t>
  </si>
  <si>
    <t>Item-1 Sub Total  - Installation of New 33/11kV Primary station (Electrical)</t>
  </si>
  <si>
    <t>3.1.1</t>
  </si>
  <si>
    <t>3.1.2</t>
  </si>
  <si>
    <t>Item - 1</t>
  </si>
  <si>
    <t>Item - 2</t>
  </si>
  <si>
    <t>Item - 3</t>
  </si>
  <si>
    <t>HVAC System</t>
  </si>
  <si>
    <t>Split Unit Air-conditioners</t>
  </si>
  <si>
    <t>Control panel for the complete HVAC system</t>
  </si>
  <si>
    <t>Extraction fans</t>
  </si>
  <si>
    <t>Ducting, piping,VCD, fire dumpers,access door ,air outlets and all other accessories</t>
  </si>
  <si>
    <t>Temperature Controlers, duct heaters and cabling</t>
  </si>
  <si>
    <t>2.1.3</t>
  </si>
  <si>
    <t>2.1.4</t>
  </si>
  <si>
    <t>2.1.5</t>
  </si>
  <si>
    <t>2.1.6</t>
  </si>
  <si>
    <t>Package Air Conditioning units (ACCU) 2 numbers and all accessories</t>
  </si>
  <si>
    <t>Fire Detection and Protection System</t>
  </si>
  <si>
    <t>Fire water mains with hydrants, valves, stand-pipes, hose systems with cabinets, sprinkler systems, water spray fixed systems</t>
  </si>
  <si>
    <t xml:space="preserve">Fire fighting system with sprinkler valves for the basement </t>
  </si>
  <si>
    <t>Fire fighting deluge system for power transformers</t>
  </si>
  <si>
    <t>General Project requirements: Route Survey - NO BOQ Items</t>
  </si>
  <si>
    <t>4.2.1</t>
  </si>
  <si>
    <t>4.2.2</t>
  </si>
  <si>
    <t>4.2.3</t>
  </si>
  <si>
    <t>4.2.4</t>
  </si>
  <si>
    <t>4.3.1</t>
  </si>
  <si>
    <t>4.3.2</t>
  </si>
  <si>
    <t>4.3.3</t>
  </si>
  <si>
    <t>4.3.4</t>
  </si>
  <si>
    <t>4.4.1</t>
  </si>
  <si>
    <t>4.4.2</t>
  </si>
  <si>
    <t>4.4.3</t>
  </si>
  <si>
    <t>Civil Works for External cable laying works</t>
  </si>
  <si>
    <t>Excavate trench of appropriate width and depth in Green area as per ADDC Specification including dewatering, in ground of any nature, in any formation for  multiple HV &amp; pilot cable laying in the same trench, backfill the same including sand bedding and reinstate.</t>
  </si>
  <si>
    <t>Earthing materials for Power &amp; pilot cables, cable tray &amp; cable supports</t>
  </si>
  <si>
    <t xml:space="preserve">Cable route &amp; joint marker </t>
  </si>
  <si>
    <t>2 WAY ( 2 nos 200mm ID)</t>
  </si>
  <si>
    <t>4 WAY ( 4 nos 200mm ID)</t>
  </si>
  <si>
    <t>Provide road crossing 200mm ID by NDRC at specified location including supply of HDPE Pipes as per municipality relevant public work department specification, including soil investigation tests, new fees payable to municipality or testing agency for necessary tests.</t>
  </si>
  <si>
    <t>4.11.1</t>
  </si>
  <si>
    <t>4.11.2</t>
  </si>
  <si>
    <t>8 WAY  ( 8 nos 200mm ID)</t>
  </si>
  <si>
    <t>10 WAY  ( 10 nos 200mm ID)</t>
  </si>
  <si>
    <t>4.12.1</t>
  </si>
  <si>
    <t>4.12.2</t>
  </si>
  <si>
    <t>4.12.3</t>
  </si>
  <si>
    <t>4.12.4</t>
  </si>
  <si>
    <t>Provide road crossing 200mm ID with minimum wall thickness 5mm, by concrete duct bank at specified location including supply of HDPE Pipes as per municipality relevant public work department specification, including soil investigation tests, new fees payable to municipality or testing agency for necessary tests.</t>
  </si>
  <si>
    <t>4.13.1</t>
  </si>
  <si>
    <t>4.13.2</t>
  </si>
  <si>
    <t>4.14.1</t>
  </si>
  <si>
    <t>4.14.2</t>
  </si>
  <si>
    <t>Item - 4</t>
  </si>
  <si>
    <t>Dismantling &amp; Decommissioning Works of old 2 nos. Package Units  (SHBPRY2 &amp; SHBPRY3)</t>
  </si>
  <si>
    <t>Scope of work shall include the existing SHBPRY2 &amp; SHBPRY3 old package units, Decommissioning,  Dismantling, Packing and handing over safely of the existing package unit and its equipment and materials to ADDC stores as per standard ADDC procedure in line with Scope of Work.</t>
  </si>
  <si>
    <t>Item - 5</t>
  </si>
  <si>
    <t>Item - 6</t>
  </si>
  <si>
    <t>Item - 7</t>
  </si>
  <si>
    <t>33kV OHL Modification works for SHBPRY</t>
  </si>
  <si>
    <t>The scope of work of this item covers the engineering, design, execution, commissioning and warranty services for all electrical and civil works related to necessary OHL modification works as part of 33kV OHL modification and diversion works for SHBPRY.</t>
  </si>
  <si>
    <t>Shifting of existing 11kV TRM (GIS name: OKH12) to a location near existing TRM (DHS08) to connect Radial Transformer (SHB02) into a ring feeder</t>
  </si>
  <si>
    <t>Item - 8</t>
  </si>
  <si>
    <t>The scope of work comprises of the shifting, Installation, testing and commissioning of existing 11kV TRM including all necessary cable terminations as per standard ADDC procedure in line with Scope of Work.</t>
  </si>
  <si>
    <t>Item-7 Sub Total  - 33kV OHL Modification works for SHBPRY</t>
  </si>
  <si>
    <t>GRAND TOTAL of Items-1,2,3 Works (Prices)</t>
  </si>
  <si>
    <t>1.1.1</t>
  </si>
  <si>
    <t>1.1.2</t>
  </si>
  <si>
    <t>1.1.3</t>
  </si>
  <si>
    <t>1.1.4</t>
  </si>
  <si>
    <t>1.1.5</t>
  </si>
  <si>
    <t>Supply, Installation, Testing and Commissioning of 33kV OHL terminal tower double circuit including all accessories as detailed in SOW for proposed termination of proposed 33kV, 3Cx400sq.mm Al. XLPE cables with existing conductor as per relevant Technical Specification. Refer to network diagram for installation and modification in line with SOW.</t>
  </si>
  <si>
    <t>1.14.4.1</t>
  </si>
  <si>
    <t>Collection from ADDC store, Installation, Testing &amp; Commisioning of 33 kV cable straight through joint (aluminium and aluminium cable) for 3Cx400 Sq.mm, Al XLPE, armoured cable and as per Technical Specification in line with SOW.</t>
  </si>
  <si>
    <t xml:space="preserve">Collection from ADDC store, Installation, Testing &amp; Commisioning of 11kV, 3Cx400sq.mm XLPE, Al. cable for interconnections between 11kV switchgear of each Primary Substation to pick-up point </t>
  </si>
  <si>
    <t>Collection from ADDC store, Installation, Testing &amp; Commisioning of 11 kV cable straight through joint (aluminium and aluminium cable) for 3Cx400 Sq.mm, Al XLPE, armoured cable and as per Technical Specification in line with SOW.</t>
  </si>
  <si>
    <t>Collection from ADDC store, Installation, Testing &amp; Commisioning of 11 kV cable straight through transition joint (aluminium and copper cable) for 3Cx400 Sq.mm, Al XLPE, armoured cable with existing 3Cx400 Sq.mm, Cu XLPE, armoured cable and as per Technical Specification in line with SOW.</t>
  </si>
  <si>
    <t>4.4.4</t>
  </si>
  <si>
    <t>Cable Route marker (type-2) along the cable in trench for 33kV &amp; 11kV power cable and as per Technical Specification</t>
  </si>
  <si>
    <t>Cable Joint marker (type-2) along the cable in trench for 33kV &amp; 11kV power cable and as per Technical Specification</t>
  </si>
  <si>
    <t>GRAND TOTAL of Items-4 Works (Prices)</t>
  </si>
  <si>
    <t>Obtaining all necessary permits including building permit, clearances and 'No Objection' certificates</t>
  </si>
  <si>
    <t>3.1.3</t>
  </si>
  <si>
    <t>Excavation of trial pits and trenches for the detection of existing services including reinstatement of all trial pits/trenches as required.</t>
  </si>
  <si>
    <t xml:space="preserve">Exposure, shifting and relocation of existing services </t>
  </si>
  <si>
    <t>3.2.1</t>
  </si>
  <si>
    <t>3.2.2</t>
  </si>
  <si>
    <t>3.2.3</t>
  </si>
  <si>
    <t>33/11kV Primary Substation Main Building</t>
  </si>
  <si>
    <t>Excavation in any type of soil including dewatering (if required), compaction and testing of the excavation bed as per Scope of Work</t>
  </si>
  <si>
    <t>Additional filling with approved material, levelling and compacting as required</t>
  </si>
  <si>
    <t>3.3.1</t>
  </si>
  <si>
    <t>3.3.2</t>
  </si>
  <si>
    <t>3.3.3</t>
  </si>
  <si>
    <t>3.3.4</t>
  </si>
  <si>
    <t>Reinforced concrete superstructure  completed in all respects as per Scope of Work</t>
  </si>
  <si>
    <t>Masonry, steel works and finishing works</t>
  </si>
  <si>
    <t>Construction of Raised Floor including all design, material, finishing.. etc.</t>
  </si>
  <si>
    <t>Reinforced concrete  foundation  of any type and substructure works  including all necessary protection and waterproofing works.</t>
  </si>
  <si>
    <t>3.3.5</t>
  </si>
  <si>
    <t>3.3.6</t>
  </si>
  <si>
    <t>3.3.7</t>
  </si>
  <si>
    <t>3.3.8</t>
  </si>
  <si>
    <t>Reinforced concrete super-structure completed in all respects</t>
  </si>
  <si>
    <t>Finishing works including all associated services works</t>
  </si>
  <si>
    <t>Reinforced concrete  foundation  of any type and substructure works  including  excavation,  filling,  all necessary protection and waterproofing works.</t>
  </si>
  <si>
    <t>3.4.1</t>
  </si>
  <si>
    <t>3.4.2</t>
  </si>
  <si>
    <t>3.4.3</t>
  </si>
  <si>
    <t>3.4.4</t>
  </si>
  <si>
    <t>Auxiliary Transformer Bays (2 Nos.)</t>
  </si>
  <si>
    <t>Reinforced concrete  foundation  of any type and substructure works  including  excavation,  filling,  all necessary protection and waterproofing works</t>
  </si>
  <si>
    <t>Capacitor Bank and Reactor Compounds (3 Nos.)</t>
  </si>
  <si>
    <t>3.5.1</t>
  </si>
  <si>
    <t>3.5.2</t>
  </si>
  <si>
    <t>3.5.3</t>
  </si>
  <si>
    <t>3.5.4</t>
  </si>
  <si>
    <t>Fencing including foundations and earthing</t>
  </si>
  <si>
    <t>Gates, including interlocking systems</t>
  </si>
  <si>
    <t>Ducts, levelling and gravelling</t>
  </si>
  <si>
    <t>3.6.1</t>
  </si>
  <si>
    <t>3.6.2</t>
  </si>
  <si>
    <t>3.6.3</t>
  </si>
  <si>
    <t>3.6.4</t>
  </si>
  <si>
    <t>Roads and Site Surfacing</t>
  </si>
  <si>
    <t>Construction of internal road pavements made of interlocking tiles 100mm thickness including the pre-fabricated concrete kerbs  as per tender drawings</t>
  </si>
  <si>
    <t>Construction of footpath pavements made of interlocking tiles 60mm thickness  as per tender drawings</t>
  </si>
  <si>
    <t>Gravelled substation surfaces</t>
  </si>
  <si>
    <t>3.7.1</t>
  </si>
  <si>
    <t>3.7.2</t>
  </si>
  <si>
    <t>3.7.3</t>
  </si>
  <si>
    <t xml:space="preserve">Civil Works related to Site Services </t>
  </si>
  <si>
    <t>Cables ducts with slope of max.1% up to the end of external ramp, draw pits and cable trenches</t>
  </si>
  <si>
    <t>Civil works for permanent water supply system</t>
  </si>
  <si>
    <t xml:space="preserve">Civil works needed for installation of other external services </t>
  </si>
  <si>
    <t>3.8.1</t>
  </si>
  <si>
    <t>3.8.2</t>
  </si>
  <si>
    <t>3.8.3</t>
  </si>
  <si>
    <t>Boundary Wall and Gates</t>
  </si>
  <si>
    <t xml:space="preserve">Boundary walls around entire substation plot perimeter as described in the Scope of Work  </t>
  </si>
  <si>
    <t>Main entrance gate,  personnel gate</t>
  </si>
  <si>
    <t xml:space="preserve">Security copings and boundary lighting </t>
  </si>
  <si>
    <t>Substation Access Road</t>
  </si>
  <si>
    <t>External street lighting including light poles, lighting fixtures, cables, distribution panels and RC footings as per approved drawings.</t>
  </si>
  <si>
    <t>3.9.1</t>
  </si>
  <si>
    <t>3.9.2</t>
  </si>
  <si>
    <t>3.9.3</t>
  </si>
  <si>
    <t>3.10.1</t>
  </si>
  <si>
    <t>3.10.2</t>
  </si>
  <si>
    <t>Substation Drainage System</t>
  </si>
  <si>
    <t>Surface storm water drainage system as described in Scope of Work</t>
  </si>
  <si>
    <t>Soak pits for storm water drainage system</t>
  </si>
  <si>
    <t xml:space="preserve">Construction of substation drainage system as described in the Scope of Work </t>
  </si>
  <si>
    <t>Plumbing and Sanitary Works</t>
  </si>
  <si>
    <t>Complete water supply systems with sanitary ware for one toilet room as detailed in the Scope of Work</t>
  </si>
  <si>
    <t>Stainless steel wash basin with eye wash facility for the battery room including all water supply pipes, valves, tanks and pumps etc.</t>
  </si>
  <si>
    <t>3.11.1</t>
  </si>
  <si>
    <t>3.11.2</t>
  </si>
  <si>
    <t>3.11.3</t>
  </si>
  <si>
    <t>3.11.4</t>
  </si>
  <si>
    <t>3.12.1</t>
  </si>
  <si>
    <t>3.12.2</t>
  </si>
  <si>
    <t>Fire Water Tank</t>
  </si>
  <si>
    <t>Building services and supporting civil works.</t>
  </si>
  <si>
    <t>Waste Water / Oil Collection Tank, Manholes and Piping</t>
  </si>
  <si>
    <t xml:space="preserve">Tank foundation and reinforced concrete structure </t>
  </si>
  <si>
    <t>Tank finishing works</t>
  </si>
  <si>
    <t>Manholes and piping</t>
  </si>
  <si>
    <t>3.13.1</t>
  </si>
  <si>
    <t>3.13.2</t>
  </si>
  <si>
    <t>3.13.3</t>
  </si>
  <si>
    <t>3.14.1</t>
  </si>
  <si>
    <t>3.14.2</t>
  </si>
  <si>
    <t>Supply and installation all necessary cable trays and supports</t>
  </si>
  <si>
    <t>3.15.1</t>
  </si>
  <si>
    <t>3.15.2</t>
  </si>
  <si>
    <t>3.15.3</t>
  </si>
  <si>
    <t>3.16.1</t>
  </si>
  <si>
    <t>Auxiliary Transformer - 630kVA</t>
  </si>
  <si>
    <t>Supply, Transportation, Installation, Testing &amp; Commissioning of 630kVA 11/0.415kV Auxiliary Transformer with Aluminium winding complete with cable terminations, tools and accessories in line with enclosed SOW, tender specifications and drawings.</t>
  </si>
  <si>
    <t>Supply, Installation,Testing &amp; Commisioning of 33 kV high impedance Busbar Protection in line with SOW.</t>
  </si>
  <si>
    <t>Supply, Installation, testing and commissioning of floor mounted, front access, air insulated, totally enclosed, fully interlocked, modular cubicle pattern LVAC distribution board with all necessary cable terminations in line with Scope of Work and ADDC standard specifications.</t>
  </si>
  <si>
    <t>Design, manufacture, factory testing, shipping and transportation to site, installation, site testing, and commissioning of three outdoor type 11kV capacitor banks with series detuning/ filter reactors and control panel for each capacitor bank in line with Scope of Work and ADDC standard specifications.</t>
  </si>
  <si>
    <t>Supply, installation and Comissioning of 400/230V AC Distributions system (Power DB, Lighting DB including PV sensor and timer for outdoor lighting, Cubicle Lighting and heater DB) to provide necessary supply voltages for station auxiliaries in line with SOW &amp; ADDC specifications.</t>
  </si>
  <si>
    <t>Supply, installation and Comissioning of 110V DC Emergency lighting distribution system (ELDB) to be fed from 110V DCDB-1 and DCDB-2 in line with SOW &amp; ADDC specifications.</t>
  </si>
  <si>
    <t>Supply, installation, testing and commissioning of 110V DC system with dual charger rectification modules and dual Battery bank configuration having suitable ampere hour capacity with all accessories for the DC distribution arrangement to provide the DC supply for the switchgear, protection equipment, local indications, control, communication, emergency lighting, etc. in substation in line with ADDC specifications and requirements .</t>
  </si>
  <si>
    <t>Supply, Installation,Testing &amp; Commisioning of Common Alarm Panel  in line with ADDC specifications and requirements.</t>
  </si>
  <si>
    <t>Supply, installation, testing and commissioning  of Interface Cubicle in line with scope of work and relevant sections of TAQA/ADDC specifications.</t>
  </si>
  <si>
    <t>Supply, installation, testing and commissioning of Tele-control Communication Interface in line with scope of work and relevant sections of TAQA/ADDC specifications.</t>
  </si>
  <si>
    <t xml:space="preserve">Supply, Installation, testing and commissioning of Heating, Ventilation and Air-conditioning (HVAC) as per Scope of Work in line with TAQA/ADDC specifications, comprising of: </t>
  </si>
  <si>
    <t>Supply and installation, testing and commissioning of 33kV XLPE insulated single-core cable with Copper conductor of 500mm² cross section for interconnections between 33kV switchgear and 20MVA power transformers.</t>
  </si>
  <si>
    <t>Supply, installation, testing and commissioning of 33kV cable-end terminations in HV cable box of Power Transformer for XLPE insulated, single-core cables with 500mm² Cu Conductor, including all accessories.</t>
  </si>
  <si>
    <t>Supply, installation, testing and commissioning of 11kV XLPE insulated single-core cable with Copper conductor of 630mm² cross section for interconnections between 11kV switchgear and 20MVA power transformers as well as for connections between power transformer neutral and the earthing bus.</t>
  </si>
  <si>
    <t>Supply, installation, testing and commissioning of 11kV XLPE insulated three-core cable with Copper conductor of 120mm² cross section for connections between 11kV switchgear and station auxiliary transformers including associated termination works.</t>
  </si>
  <si>
    <t>Supply, installation, testing and commissioning of Earthing Grid System &amp; Lightning protection including all accessories as detailed in the Scope of the Work and relevant ADDC specification.</t>
  </si>
  <si>
    <t>Pilot wire</t>
  </si>
  <si>
    <t>Supply, Installation, Testing &amp; Commissioning of Pilot wire end joint including all accessories for conneting new pilot wire with existing pilot wire in line with SOW.</t>
  </si>
  <si>
    <t>Supply, Installation of Pilot wire termination box including all accessories in line with SOW &amp; ADDC requirements</t>
  </si>
  <si>
    <t>Supply, Installation of Pilot wire to FO cable convertor box including all accessories in line ADDC requirements</t>
  </si>
  <si>
    <t>M</t>
  </si>
  <si>
    <t>Dismantling &amp; Decommissioning of existing 33kV OHL line including Tower / Conductor and Handover To ADDC Store (after successful diversion to new proposed SHBPRY as per tender documents in line with SOW)</t>
  </si>
  <si>
    <t>Decommissioning,  Dismantling, Demolish, Packing and handing over safely of all the existing substation equipment and materials to ADDC stores as per standard ADDC procedure in line with Scope of Work.</t>
  </si>
  <si>
    <t xml:space="preserve">Supply, Transportation, Installation, Testing &amp; Commissioning of 33/11.5kV Power Transformers having 20MVA rated output with Copper winding complete with AVR panel, TIP panel, cable terminations, tools and accessories in line with enclosed SOW, tender specifications and drawings. </t>
  </si>
  <si>
    <t>Site establishment and site office near to each site location, including temporary fence installed according to Municipality requirements, temporary services, temporary access road, signboards, including Operation and maintenance of the site facilities and services during execution of all Contract works in line with SOW.</t>
  </si>
  <si>
    <t>Remote End 33kV Panel Protection Conversion Works</t>
  </si>
  <si>
    <t>Protection Relays Setting Study</t>
  </si>
  <si>
    <t>1.17.1</t>
  </si>
  <si>
    <t>Protection Relay Setting Study in line with SOW and ADDC standard specification requirements.</t>
  </si>
  <si>
    <t>GRAND TOTAL of Items-5, 6, 7, 8 Works (Prices)</t>
  </si>
  <si>
    <t>Spare Parts &amp; Tools (Optional)</t>
  </si>
  <si>
    <t>33kV Switchgear (GIS)</t>
  </si>
  <si>
    <t>Set</t>
  </si>
  <si>
    <t>Auxiliary switch</t>
  </si>
  <si>
    <t>No.</t>
  </si>
  <si>
    <t>Spring tensioning motor</t>
  </si>
  <si>
    <t>Closing/trip solenoid coils</t>
  </si>
  <si>
    <t xml:space="preserve">Operating mechanism </t>
  </si>
  <si>
    <t>Complete busbar disconnector/earthing switch unit for each current rating with operating mechanism</t>
  </si>
  <si>
    <t>Complete VT disconnector switch with main operating mechanism</t>
  </si>
  <si>
    <t>Auxiliary switch for disconnector/earth switch</t>
  </si>
  <si>
    <t>Motor for disconnector/earth switch</t>
  </si>
  <si>
    <t>Insulator-rod for disconnector/earthing switch of each type</t>
  </si>
  <si>
    <t>Complete Voltage transformer (3-Phase)</t>
  </si>
  <si>
    <t>Complete CT (3-Phase one of each type)</t>
  </si>
  <si>
    <t>L.S</t>
  </si>
  <si>
    <t>CB Operating counter</t>
  </si>
  <si>
    <t>MCB one of each type</t>
  </si>
  <si>
    <t>HV Cable test plug</t>
  </si>
  <si>
    <t>Set of switches, contactors, auxiliary relays, contactors, timer, meters (one of each type)</t>
  </si>
  <si>
    <t>11kV Switchgear (AIS)</t>
  </si>
  <si>
    <t>Maintenance tools and accessories as required</t>
  </si>
  <si>
    <t>Current transformer (3-Phase one of each type)</t>
  </si>
  <si>
    <t>Voltage transformer of each type (3-Phase)</t>
  </si>
  <si>
    <t>Motors of each type supplied</t>
  </si>
  <si>
    <t>Trip coil, fuses, aux. relays and contactors, etc.</t>
  </si>
  <si>
    <t>Cable Live Indicator</t>
  </si>
  <si>
    <r>
      <t xml:space="preserve">Power Transformers 20 MVA
</t>
    </r>
    <r>
      <rPr>
        <sz val="14"/>
        <rFont val="Times New Roman"/>
        <family val="1"/>
      </rPr>
      <t>Note: for each of the above (to be reproduced as applicable)</t>
    </r>
  </si>
  <si>
    <t xml:space="preserve">Complete bushing </t>
  </si>
  <si>
    <t xml:space="preserve">Post insulator </t>
  </si>
  <si>
    <t xml:space="preserve">Temperature monitor </t>
  </si>
  <si>
    <t xml:space="preserve">Thermometer </t>
  </si>
  <si>
    <t>Oil level gauge</t>
  </si>
  <si>
    <t xml:space="preserve">Step position transmitter </t>
  </si>
  <si>
    <t xml:space="preserve">Transducer (4-20mA) </t>
  </si>
  <si>
    <t xml:space="preserve">Diode matrix </t>
  </si>
  <si>
    <t>Gas sampling device</t>
  </si>
  <si>
    <t xml:space="preserve">Pressure relieve device </t>
  </si>
  <si>
    <t xml:space="preserve">Pressure relay </t>
  </si>
  <si>
    <t xml:space="preserve">Oil flow relay </t>
  </si>
  <si>
    <t xml:space="preserve">Oil sampling adapter (incl. hoses) </t>
  </si>
  <si>
    <t>Piece of each type mcb's, auxiliary relays, contactors, heaters, lamps, push but-tons and limit switches</t>
  </si>
  <si>
    <t>Spare coil for neutral-grounding reactors</t>
  </si>
  <si>
    <t>Automatic oil dielectric test set suitable for testing up to 60kV and to different Standards</t>
  </si>
  <si>
    <t xml:space="preserve">Valve </t>
  </si>
  <si>
    <t xml:space="preserve">Drainage and venting plug </t>
  </si>
  <si>
    <t>Complete set of all seals and gaskets used</t>
  </si>
  <si>
    <t xml:space="preserve">Silicagel breather </t>
  </si>
  <si>
    <t>Universal spanner for operation of three-way cocks</t>
  </si>
  <si>
    <t>Spanner for butterfly valves</t>
  </si>
  <si>
    <t>Diverter switch spares such as moving contacts, arcing contacts, fixed contacts, current limiting resistors for tap changer</t>
  </si>
  <si>
    <t xml:space="preserve">Driving gear mechanism with driving motor for tap changer </t>
  </si>
  <si>
    <t>Special tools for tap changer inspection and maintenance incl. lifting device for diverter switch</t>
  </si>
  <si>
    <t>Capacitor Banks</t>
  </si>
  <si>
    <t>Capacitors</t>
  </si>
  <si>
    <t>Vacuum contactor</t>
  </si>
  <si>
    <t>Fuses</t>
  </si>
  <si>
    <t>Control/supervision spares consisting of one Relay/module (as applicable)</t>
  </si>
  <si>
    <t>Auxiliary Power Supply</t>
  </si>
  <si>
    <t>Push button of each type used</t>
  </si>
  <si>
    <t>Control/selector switch of each type used</t>
  </si>
  <si>
    <t>Position indicator of each type used</t>
  </si>
  <si>
    <t>Set of 20 lamps of each type used</t>
  </si>
  <si>
    <t>Auxilliary relay and aux. contactor of each type used</t>
  </si>
  <si>
    <t>PCB of each type used (battery charger)</t>
  </si>
  <si>
    <t>Alarm annunciation device of each type used</t>
  </si>
  <si>
    <t>10% of the total no. of battery cells</t>
  </si>
  <si>
    <t>Complete maintenance tool box for batteries and rectifiers</t>
  </si>
  <si>
    <t>MCB and MCCB of each type used</t>
  </si>
  <si>
    <t>Set of 5 fuses of each type used</t>
  </si>
  <si>
    <t>Time relay of each type used</t>
  </si>
  <si>
    <t>Measuring/indicating instrument of each type used</t>
  </si>
  <si>
    <t>MV Protection</t>
  </si>
  <si>
    <t>Relay/module (as applicable) of each type used for the equipment as used in this contract</t>
  </si>
  <si>
    <t>Test plugs for each type of protection relay supplied</t>
  </si>
  <si>
    <t>RTU Control System</t>
  </si>
  <si>
    <t>RTU with CPU module/PCB board and Power Supply Unit (as applicable) one of each type</t>
  </si>
  <si>
    <t>Operation/diagnostics/maintenance tools</t>
  </si>
  <si>
    <t>Telecommunication Equipment</t>
  </si>
  <si>
    <t>Serial optical convertor</t>
  </si>
  <si>
    <t>Modem</t>
  </si>
  <si>
    <t>Tool box including all tools required for maintenance and cable termination</t>
  </si>
  <si>
    <t>Fire Alarm &amp; Fire Fighting Equipment</t>
  </si>
  <si>
    <t>10% (minimum 1No.) fire alarm control panel-P.C.B.Cards</t>
  </si>
  <si>
    <t>100% Fire alarm control panel - LED each color</t>
  </si>
  <si>
    <t>Fuses of each type for fire alarm control panel</t>
  </si>
  <si>
    <t>10% smoke detector of each type</t>
  </si>
  <si>
    <t>10% heat detector</t>
  </si>
  <si>
    <t>Remote detector indicator</t>
  </si>
  <si>
    <t>Alarm Horn</t>
  </si>
  <si>
    <t>Push button - manual release</t>
  </si>
  <si>
    <t>Push button - break glass</t>
  </si>
  <si>
    <t>Tank inlet float valve DN32</t>
  </si>
  <si>
    <t>Fire pump - Bearings</t>
  </si>
  <si>
    <t xml:space="preserve">Fire pump - "O" rings </t>
  </si>
  <si>
    <t xml:space="preserve">Fire pump -  packing/gasket </t>
  </si>
  <si>
    <t>Fire pump radial shaft seal</t>
  </si>
  <si>
    <t>Diesel engine - fuel filter</t>
  </si>
  <si>
    <t>Air Flow Switch &amp; Pressure differential switch for filter (for each type)</t>
  </si>
  <si>
    <t>L.S.</t>
  </si>
  <si>
    <t>Relays (for each type) for Control Panel</t>
  </si>
  <si>
    <t>Control Panel Fuses (for each type)</t>
  </si>
  <si>
    <t>Solenoid valve (for each type)</t>
  </si>
  <si>
    <t>Compressor contactor  (for each type)</t>
  </si>
  <si>
    <t>Crane case heater for Compressor</t>
  </si>
  <si>
    <t>Fire Damper Actuator (for each type)</t>
  </si>
  <si>
    <t>Fuse Holder for Control Panel</t>
  </si>
  <si>
    <t>H.P/L.P/O.P Switch for condensing unit (for each type)</t>
  </si>
  <si>
    <t>Lamps for Control Panel</t>
  </si>
  <si>
    <t>Overhead relay for AHU motor (for each type)</t>
  </si>
  <si>
    <t>Selector switch for Control Panel (for each type)</t>
  </si>
  <si>
    <t>Time delay relay (condensing unit and control panel for each type)</t>
  </si>
  <si>
    <t>9.1.1</t>
  </si>
  <si>
    <t>9.1.2</t>
  </si>
  <si>
    <t>9.1.3</t>
  </si>
  <si>
    <t>9.1.4</t>
  </si>
  <si>
    <t>9.1.5</t>
  </si>
  <si>
    <t>9.1.6</t>
  </si>
  <si>
    <t>9.1.7</t>
  </si>
  <si>
    <t>9.1.8</t>
  </si>
  <si>
    <t>9.1.9</t>
  </si>
  <si>
    <t>9.1.10</t>
  </si>
  <si>
    <t>9.1.11</t>
  </si>
  <si>
    <t>9.1.12</t>
  </si>
  <si>
    <t>9.1.13</t>
  </si>
  <si>
    <t>9.1.14</t>
  </si>
  <si>
    <t>9.1.15</t>
  </si>
  <si>
    <t>9.1.16</t>
  </si>
  <si>
    <t>Item-9.1 Sub Total</t>
  </si>
  <si>
    <t>9.2.1</t>
  </si>
  <si>
    <t>9.2.2</t>
  </si>
  <si>
    <t>9.2.3</t>
  </si>
  <si>
    <t>9.2.4</t>
  </si>
  <si>
    <t>9.2.5</t>
  </si>
  <si>
    <t>9.2.6</t>
  </si>
  <si>
    <t>9.2.7</t>
  </si>
  <si>
    <t>Item-9.2 Sub Total</t>
  </si>
  <si>
    <t>9.3.1</t>
  </si>
  <si>
    <t>9.3.2</t>
  </si>
  <si>
    <t>9.3.3</t>
  </si>
  <si>
    <t>9.3.4</t>
  </si>
  <si>
    <t>9.3.5</t>
  </si>
  <si>
    <t>9.3.6</t>
  </si>
  <si>
    <t>9.3.7</t>
  </si>
  <si>
    <t>9.3.8</t>
  </si>
  <si>
    <t>9.3.9</t>
  </si>
  <si>
    <t>9.3.10</t>
  </si>
  <si>
    <t>9.3.11</t>
  </si>
  <si>
    <t>9.3.12</t>
  </si>
  <si>
    <t>9.3.13</t>
  </si>
  <si>
    <t>9.3.14</t>
  </si>
  <si>
    <t>9.3.15</t>
  </si>
  <si>
    <t>9.3.16</t>
  </si>
  <si>
    <t>9.3.17</t>
  </si>
  <si>
    <t>9.3.18</t>
  </si>
  <si>
    <t>9.3.19</t>
  </si>
  <si>
    <t>9.3.20</t>
  </si>
  <si>
    <t>9.3.21</t>
  </si>
  <si>
    <t>9.3.22</t>
  </si>
  <si>
    <t>9.3.23</t>
  </si>
  <si>
    <t>9.3.24</t>
  </si>
  <si>
    <t>9.3.25</t>
  </si>
  <si>
    <t>Item-9.3 Sub Total</t>
  </si>
  <si>
    <t>9.4.1</t>
  </si>
  <si>
    <t>9.4.2</t>
  </si>
  <si>
    <t>9.4.3</t>
  </si>
  <si>
    <t>9.4.4</t>
  </si>
  <si>
    <t>Item-9.4 Sub Total</t>
  </si>
  <si>
    <t>9.9.1</t>
  </si>
  <si>
    <t>9.9.2</t>
  </si>
  <si>
    <t>9.9.3</t>
  </si>
  <si>
    <t>9.9.4</t>
  </si>
  <si>
    <t>9.9.5</t>
  </si>
  <si>
    <t>9.9.6</t>
  </si>
  <si>
    <t>9.9.7</t>
  </si>
  <si>
    <t>9.9.8</t>
  </si>
  <si>
    <t>9.9.9</t>
  </si>
  <si>
    <t>9.9.10</t>
  </si>
  <si>
    <t>9.9.11</t>
  </si>
  <si>
    <t>9.9.12</t>
  </si>
  <si>
    <t>9.9.13</t>
  </si>
  <si>
    <t>Item-9.5 Sub Total</t>
  </si>
  <si>
    <t>9.6.1</t>
  </si>
  <si>
    <t>9.6.2</t>
  </si>
  <si>
    <t>9.7.1</t>
  </si>
  <si>
    <t>9.7.2</t>
  </si>
  <si>
    <t>9.7.3</t>
  </si>
  <si>
    <t>9.8.1</t>
  </si>
  <si>
    <t>9.8.2</t>
  </si>
  <si>
    <t>9.8.3</t>
  </si>
  <si>
    <t>9.8.4</t>
  </si>
  <si>
    <t>Item-9.6, 9.7, 9.8 Sub Total</t>
  </si>
  <si>
    <t>9.9.14</t>
  </si>
  <si>
    <t>9.9.15</t>
  </si>
  <si>
    <t>Item-9.9 Sub Total</t>
  </si>
  <si>
    <t>9.10.1</t>
  </si>
  <si>
    <t>9.10.2</t>
  </si>
  <si>
    <t>9.10.3</t>
  </si>
  <si>
    <t>9.10.4</t>
  </si>
  <si>
    <t>9.10.5</t>
  </si>
  <si>
    <t>9.10.6</t>
  </si>
  <si>
    <t>9.10.7</t>
  </si>
  <si>
    <t>9.10.8</t>
  </si>
  <si>
    <t>9.10.9</t>
  </si>
  <si>
    <t>9.10.10</t>
  </si>
  <si>
    <t>9.10.11</t>
  </si>
  <si>
    <t>9.10.12</t>
  </si>
  <si>
    <t>9.10.13</t>
  </si>
  <si>
    <t>Item-9.10 Sub Total</t>
  </si>
  <si>
    <t>9.5.1</t>
  </si>
  <si>
    <t>9.5.2</t>
  </si>
  <si>
    <t>9.5.3</t>
  </si>
  <si>
    <t>9.5.4</t>
  </si>
  <si>
    <t>9.5.5</t>
  </si>
  <si>
    <t>9.5.6</t>
  </si>
  <si>
    <t>9.5.7</t>
  </si>
  <si>
    <t>9.5.8</t>
  </si>
  <si>
    <t>9.5.9</t>
  </si>
  <si>
    <t>9.5.10</t>
  </si>
  <si>
    <t>9.5.11</t>
  </si>
  <si>
    <t>9.5.12</t>
  </si>
  <si>
    <t>9.5.13</t>
  </si>
  <si>
    <t>Item - 9</t>
  </si>
  <si>
    <t>GRAND TOTAL of Items-9 Works (Prices)</t>
  </si>
  <si>
    <t>N/A</t>
  </si>
  <si>
    <t>Portable gas handling equipment along with 20kg gas cylinder suitable for offered switchgear</t>
  </si>
  <si>
    <t>33 kV Protection Panels</t>
  </si>
  <si>
    <t>Supply and Installation of Control and Protection Panels for 33 kV switchgear in line with Scope of Work, tender drawings &amp; ADDC Specifications and requirements, comprising of:</t>
  </si>
  <si>
    <t>1.2.1</t>
  </si>
  <si>
    <t>Incomer Cable Feeder Protection Panels</t>
  </si>
  <si>
    <t>1.2.2</t>
  </si>
  <si>
    <t>Transformer Feeder Protection Panels</t>
  </si>
  <si>
    <t>1.2.3</t>
  </si>
  <si>
    <t>Bus Sectionalizer / Bus riser Protection Panels</t>
  </si>
  <si>
    <t>1.2.4</t>
  </si>
  <si>
    <t>Portable PC (latest model) with software for parameter setting, monitoring, diagnostic, etc. for all numeric protection relays in line with Scope of Work &amp; TAQA/ADDC Specifications and requirements</t>
  </si>
  <si>
    <t>1.4.1</t>
  </si>
  <si>
    <t>1.4.2</t>
  </si>
  <si>
    <t>1.4.3</t>
  </si>
  <si>
    <t>1.4.4</t>
  </si>
  <si>
    <t>1.4.5</t>
  </si>
  <si>
    <t>1.4.7</t>
  </si>
  <si>
    <t>Supply, installation, testing and commissioning of complete Set of  Low voltage and control cable (1kV), single core, Copper Conductor XLPE complete with termination works in line with SOW and ADDC specification</t>
  </si>
  <si>
    <t>Supply, installation, testing and commissioning of complete Set of  Low voltage and control cable (1kV), multi core, Copper Conductor XLPE complete with termination works in line with SOW and ADDC specification</t>
  </si>
  <si>
    <t xml:space="preserve">Supply, installation, testing and commissioning of wall mounted, front access Tariff meter panel including installation, testing and commissioning of two Tariff meters (one from each Aux Transformer to LVAC panel) and associated fees, cabling and wiring works and necessary protection device shall be provided in line with Scope of Works and relevant sections of TAQA/ADDC specifications. Tariff meter panel shall be installed in a separate wall-mounted panel inside LV &amp; protection room. </t>
  </si>
  <si>
    <t>Geotechnical investigation including Geotechnical Report, soil resistivity measurements, Topographical Survey of the site as described in the Scope of Work</t>
  </si>
  <si>
    <t>Supply and installation of Aluminium window including all accessories and finishing works.</t>
  </si>
  <si>
    <t xml:space="preserve">Power Transformer Bays (3 Nos. &amp; 1 No For future bay) </t>
  </si>
  <si>
    <t xml:space="preserve">Steel works including removable fence  made of G.I. Steel along the total height of the power transformer bay walls as per Scope of Work </t>
  </si>
  <si>
    <t xml:space="preserve">External access road shall be asphalt road as per approved drawings including different layers as detailed in ADM/TAQA/ADDC Standard Specifications. </t>
  </si>
  <si>
    <t>Septic tank and soak away (Optional item)</t>
  </si>
  <si>
    <t>Fire Pump Room</t>
  </si>
  <si>
    <t>3.13.4</t>
  </si>
  <si>
    <t>3.13.5</t>
  </si>
  <si>
    <t>3.13.6</t>
  </si>
  <si>
    <t>Construction of foundations for diesel driven and electric fire water pumps, jockey pumps, expansion tanks and control panels, etc.</t>
  </si>
  <si>
    <t>3.13.7</t>
  </si>
  <si>
    <t>Supply and installation of Fire Rated Doors including all accessories and finishing works.</t>
  </si>
  <si>
    <t>3.13.8</t>
  </si>
  <si>
    <t>Substation Lighting and Small Power</t>
  </si>
  <si>
    <t>Supply, Installation &amp; Comissioning of Indoor lighting systems including wiring, lamps, sockets, illuminated push buttons, etc. in line with SOW.</t>
  </si>
  <si>
    <t>3.16.2</t>
  </si>
  <si>
    <t>Supply, Installation &amp; Comissioning of Outdoor lighting systems including distribution boxes, wiring, lamps, flood lights, sockets, switches, etc. in line with SOW.</t>
  </si>
  <si>
    <t>3.16.3</t>
  </si>
  <si>
    <t>Supply, Installation &amp; Comissioning of Indoor and outdoor emergency lighting systems, including emergency exit lights, wiring, lamps, etc. in line with SOW.</t>
  </si>
  <si>
    <t>3.16.4</t>
  </si>
  <si>
    <t>3.16.5</t>
  </si>
  <si>
    <t>Cable Trays &amp; Cable End support</t>
  </si>
  <si>
    <t>3.17.1</t>
  </si>
  <si>
    <t>3.17.2</t>
  </si>
  <si>
    <t>Optional Item</t>
  </si>
  <si>
    <t xml:space="preserve">Construction of Pile foundation (if required)
Necessary pile foundations including pile caps/ raft on pile with all necessary protection and waterproofing works shall be considered for the foundations of the following structures: </t>
  </si>
  <si>
    <t>3.18.1</t>
  </si>
  <si>
    <t>Extra over item no. 3.3.3</t>
  </si>
  <si>
    <t>3.18.2</t>
  </si>
  <si>
    <t>Extra over item no. 3.4.1 &amp; 3.5.1</t>
  </si>
  <si>
    <t>3.18.3</t>
  </si>
  <si>
    <t>Extra over item no. 3.6.1</t>
  </si>
  <si>
    <t>3.18.4</t>
  </si>
  <si>
    <t>Extra over item no. 3.13.1</t>
  </si>
  <si>
    <t>3.18.5</t>
  </si>
  <si>
    <t>Extra over item no. 3.14.1</t>
  </si>
  <si>
    <t>Supply and Installation of fire and mechanical water sealant in cable entry duct and application of fire sealant in the SWGR cable entry for all the types of cables including spare ducts in new 33/11kV Primaries in line with SOW and TAQA/ADDC specifications and requirements.</t>
  </si>
  <si>
    <t>Supply, Installation, Testing &amp; Commisioning of Floor mounted panel suitable for termination of Two (2) of fibre optic cable and FO patch cards including two (2) termination head racks complete at new 33/11kV Primary Substation including all accessories in line ADDC requirements</t>
  </si>
  <si>
    <t>4.5.1</t>
  </si>
  <si>
    <t>4.5.2</t>
  </si>
  <si>
    <t>4.7.1</t>
  </si>
  <si>
    <t>4.12.5</t>
  </si>
  <si>
    <t>4.13.3</t>
  </si>
  <si>
    <t>4.13.4</t>
  </si>
  <si>
    <t>4.15.1</t>
  </si>
  <si>
    <t>4.15.2</t>
  </si>
  <si>
    <t>4.15.3</t>
  </si>
  <si>
    <t>Recovery of any underground existing cables including disconnection from the equipment, roll the cable in drum and return to ADDC Stores</t>
  </si>
  <si>
    <t>Telecommunication Links through GPRS/4G/5G modem</t>
  </si>
  <si>
    <t>1250A panels for Bus Section/Bus Riser and Measuring Cubicles</t>
  </si>
  <si>
    <t>Supply, Installation, testing and commissioning of the 11kV Switchgear shall be of Air-Insulated type and consist of a single busbar system with three sections and ring configuration. Each busbar shall have a current rating of 1600A, short circuit current 31.5 kA for 1 sec. including all the associated protection relays, tools and accessories in line with enclosed SOW, tender specifications and drawings. Dummy plugs shall be provided for all the feeders. Including Two (2) Bus Ducts for Busbar Interconnection. 11kV switchgear must be equipped of following configuration as per SOW and tender drawing.</t>
  </si>
  <si>
    <t>1600A incomer panels from 20MVA 33/11kV power transformers and associated relays</t>
  </si>
  <si>
    <t>1600A bus sectionalizer/bus riser panels and metering cubicles</t>
  </si>
  <si>
    <t>Supply, Installation, Testing &amp; Commissioning of Automatic Voltage Regulator (AVR) Panel for Operation of the Motorized Tap Changer  in line with SOW &amp; latest TAQA/ADDC specification &amp; requirements.</t>
  </si>
  <si>
    <t xml:space="preserve">Supply, Installation, Testing &amp; Commissioning of Transformer Interlocking Panel in line with SOW &amp; latest TAQA/ADDC specification &amp; requirements. </t>
  </si>
  <si>
    <t>1.5.1</t>
  </si>
  <si>
    <t>1.5.2</t>
  </si>
  <si>
    <t>Supply, installation, testing and commissioning  of required equipment at primary substations and at ADMS to establish communication with ADMS through GPRS/4G/5G modem in line with scope of work and relevant sections of TAQA/ADDC specifications.</t>
  </si>
  <si>
    <t>Fire fighting automatic total gas flooding system  (Clean agent gas suppression System like ‘’IG55, IG541 or NN100)</t>
  </si>
  <si>
    <t>2.3.1</t>
  </si>
  <si>
    <t>2.3.2</t>
  </si>
  <si>
    <t>Trolley type Wheeled fire extinguishers</t>
  </si>
  <si>
    <r>
      <t xml:space="preserve">Survey of existing protection and design of new Protection System including Re-configuration of SCMS at Remote-end Substation and associated modification works at ADMS MasterStation related to </t>
    </r>
    <r>
      <rPr>
        <u/>
        <sz val="14"/>
        <rFont val="Times New Roman"/>
        <family val="1"/>
      </rPr>
      <t xml:space="preserve">SHBPRY (KHZGPRY) </t>
    </r>
    <r>
      <rPr>
        <sz val="14"/>
        <rFont val="Times New Roman"/>
        <family val="1"/>
      </rPr>
      <t>in line with SOW and ADDC standard specification requirements.</t>
    </r>
  </si>
  <si>
    <t>Supply, Installation, Testing &amp; Commisioning of New Wall mounted fiber optic termination box complete with suitable for termination of 32-core FOC at remote end substation including all accessories in line ADDC requirements</t>
  </si>
  <si>
    <t>2.3.3</t>
  </si>
  <si>
    <t>CO2 type Fire extinguishers</t>
  </si>
  <si>
    <t>Dry Powder type Fire extinguishers</t>
  </si>
  <si>
    <t>Configuration and parameterization of Hardware equipment related works in all respect in line with scope of work.</t>
  </si>
  <si>
    <t>Configuration and parameterization of Software related works in all respect in line with scope of work. (Optional)</t>
  </si>
  <si>
    <t>110V DC Distribution Board</t>
  </si>
  <si>
    <t>1.11.2.6</t>
  </si>
  <si>
    <t xml:space="preserve">Supply, installation, testing and commissioning of 11kV XLPE insulated single-core cable with Copper conductor of 500mm² cross section for connections between 11kV switchgear and capacitor banks. </t>
  </si>
  <si>
    <t>ADMS Integration Works</t>
  </si>
  <si>
    <t>ADMS / RTU Communication System</t>
  </si>
  <si>
    <t>2.2.8</t>
  </si>
  <si>
    <t>2.2.9</t>
  </si>
  <si>
    <t>2.2.10</t>
  </si>
  <si>
    <t>2.2.11</t>
  </si>
  <si>
    <t>Fire detection and alarm system, including Fire alarm control panel and mimic panels, fire alarm devices</t>
  </si>
  <si>
    <t>Fire pump station with diesel driven and electric fire water pumps, jockey pumps, expansion tanks and control panels</t>
  </si>
  <si>
    <t>Sprinkler System for fire pump room</t>
  </si>
  <si>
    <t>Sprinkler System for ground floor</t>
  </si>
  <si>
    <t>Hassantuk Panel along with necessary fire alarm signal shall be connected and integration between FACP and 24/7 Civil defence Hassantuk Panel.</t>
  </si>
  <si>
    <t>Included in BOQ item 3.3</t>
  </si>
  <si>
    <t>Masonry, steel works and finishing works including Heavy duty, non-slip and
chemically resistant vitrified floor tiles and Chemically resistant vitrified walll tiles for the battery room.</t>
  </si>
  <si>
    <t>Supply and installation of Aluminium window double glazed including all accessories and finishing works.</t>
  </si>
  <si>
    <t>Included in BOQ item 3.4</t>
  </si>
  <si>
    <t>Included in BOQ item 3.5</t>
  </si>
  <si>
    <t>Included in BOQ item 3.6</t>
  </si>
  <si>
    <t>Included in BOQ item 3.7</t>
  </si>
  <si>
    <t>Included in BOQ item 3.8</t>
  </si>
  <si>
    <t>Included in BOQ item 3.9</t>
  </si>
  <si>
    <t>Included in BOQ item 3.11</t>
  </si>
  <si>
    <t>Included in BOQ item 3.12</t>
  </si>
  <si>
    <t>Included in BOQ item 3.13</t>
  </si>
  <si>
    <t>3.14.3</t>
  </si>
  <si>
    <t>Steel works and finishing works</t>
  </si>
  <si>
    <t>Included in BOQ item 3.14</t>
  </si>
  <si>
    <t>Included in BOQ item 3.15</t>
  </si>
  <si>
    <t>Included in BOQ item 3.16</t>
  </si>
  <si>
    <t>Included in BOQ item 3.17</t>
  </si>
  <si>
    <t>Included in BOQ item 3.18</t>
  </si>
  <si>
    <t>9.1.17</t>
  </si>
  <si>
    <t>Complete circuit breaker unit(s) of each rating/type supplied , including operation mechansium</t>
  </si>
  <si>
    <t>9.2.8</t>
  </si>
  <si>
    <t>Circuit breaker truck(s) of each rating/type supplied, including operating mechanism</t>
  </si>
  <si>
    <t>Feeder isolator/earting switch(s) of each rating/type supplied</t>
  </si>
  <si>
    <t>9.10.14</t>
  </si>
  <si>
    <t>PACU Blower Spare belt</t>
  </si>
  <si>
    <t>100 % annucuator Panel -LED,Each color.</t>
  </si>
  <si>
    <t>Flash light</t>
  </si>
  <si>
    <t>No</t>
  </si>
  <si>
    <t xml:space="preserve">Inert Gas Lock off, status indicator </t>
  </si>
  <si>
    <t>resistor</t>
  </si>
  <si>
    <t>smoke detector tester</t>
  </si>
  <si>
    <t>heat detector tester</t>
  </si>
  <si>
    <t>IG system</t>
  </si>
  <si>
    <t>High pressure flexible hose</t>
  </si>
  <si>
    <t>Solenoid Pilot Valve assembly</t>
  </si>
  <si>
    <t xml:space="preserve">Solenoid  Valve </t>
  </si>
  <si>
    <t>Pressure switch</t>
  </si>
  <si>
    <t>Water system</t>
  </si>
  <si>
    <t>Fire pump- Lock washer</t>
  </si>
  <si>
    <t>fire pump- bearing nut</t>
  </si>
  <si>
    <t>Diesel engine -pre fuel filter with seal</t>
  </si>
  <si>
    <t>Q.B detectors</t>
  </si>
  <si>
    <t>Sprinklers</t>
  </si>
  <si>
    <t>Pressure gauge</t>
  </si>
  <si>
    <t>Isolating valve for Instruments</t>
  </si>
  <si>
    <t>9.9.16</t>
  </si>
  <si>
    <t>9.9.17</t>
  </si>
  <si>
    <t>9.9.18</t>
  </si>
  <si>
    <t>9.9.19</t>
  </si>
  <si>
    <t>9.9.20</t>
  </si>
  <si>
    <t>9.9.21</t>
  </si>
  <si>
    <t>9.9.22</t>
  </si>
  <si>
    <t>9.9.23</t>
  </si>
  <si>
    <t>9.9.24</t>
  </si>
  <si>
    <t>9.9.25</t>
  </si>
  <si>
    <t>9.9.26</t>
  </si>
  <si>
    <t>9.9.27</t>
  </si>
  <si>
    <t>9.9.28</t>
  </si>
  <si>
    <t>9.9.29</t>
  </si>
  <si>
    <t>9.9.30</t>
  </si>
  <si>
    <t>9.9.31</t>
  </si>
  <si>
    <t>9.9.32</t>
  </si>
  <si>
    <t>9.9.33</t>
  </si>
  <si>
    <t>1.14.4.2</t>
  </si>
  <si>
    <t>TENDER NO. :   D-111808</t>
  </si>
  <si>
    <t>9.6.3</t>
  </si>
  <si>
    <t>BCPU of each type used</t>
  </si>
  <si>
    <t>9.7.4</t>
  </si>
  <si>
    <t xml:space="preserve">RTU -Spare Terminals </t>
  </si>
  <si>
    <t>Transducers of each type</t>
  </si>
  <si>
    <t>Reinforced concrete foundation of any type and substructure works  including all necessary protection and waterproofing works</t>
  </si>
  <si>
    <t>Fire water tank - Reinforced Concrete water tank with partition and all associated accessories</t>
  </si>
  <si>
    <t>included in BOQ item 1.1</t>
  </si>
  <si>
    <t>Installation, Testing &amp; Commisioning of 33kV plug-in type cable-end termination (33kV SWGR in new Primary substation) for 3Cx400sq.mm XLPE, Al. Cable, including all accessories in line with SOW.</t>
  </si>
  <si>
    <t>Installation, Testing &amp; Commisioning of 11kV conventional-type cable-end termination (11kV SWGR in new Primary Substation) for 3Cx400sq.mm XLPE, Al. Cable, including all accessories in line with SOW.</t>
  </si>
  <si>
    <t>included in BOQ item 1.4</t>
  </si>
  <si>
    <t>Installation testing and commissioning of 33kV plug-in type cable-end terminations in 33kV SWGR for XLPE insulated, single-core cables with 500mm² Cu Conductor, including all accessories.</t>
  </si>
  <si>
    <t>Installation, testing and commissioning of 11kV single-phase cable termination kits for the XLPE insulated Copper conductor of 630mm² cross section, including all accessories.</t>
  </si>
  <si>
    <t>Installation, testing and commissioning of 11kV single-phase cable termination kits for the XLPE insulated Copper conductor of 500mm² cross section, including all accessories.</t>
  </si>
  <si>
    <t>4.2.5</t>
  </si>
  <si>
    <t>Wheeled and portable fire extinguishers for buildings and fire blanket /rescue equipment, SCBA (breathing apparatus) 2 nos. each PRY Substation</t>
  </si>
  <si>
    <t>2.3.4</t>
  </si>
  <si>
    <t>Supply, Installation, testing and commissioning of the SF6 insulated (GIS) type with single busbar of 1600 A nominal current rating at 40deg.C ambient temperature and rated short-circuit current of 31.5kA for 1sec. including all the associated protection relays including relays panels, tools and accessories in line with enclosed SOW, tender specifications and drawings. As the substation will have three 33/11kV power transformers the 33kV busbar will be divided into three sections. Supply of cable terminations for all the feeder panels (surplus/unused termination kits shall be handed-over to ADDC as per procedure) shall be included. Dummy plugs shall be provided for all the feeders.
33kV switchgear must be equipped of following configuration as per SOW and tender drawing.</t>
  </si>
  <si>
    <t>Existing FACP Panel &amp; Heat detectors Working condition needs to be verified. If the  existing FACP with heat detector system  obsolete, Same needs to be replaced with new fire panel with smoke detection.</t>
  </si>
  <si>
    <t>3.14.4</t>
  </si>
  <si>
    <t>4.3.5</t>
  </si>
  <si>
    <t>Collection from ADDC store, Installation, Testing &amp; Commisioning of 11kV conventional-type bi-metallic cable-end termination (downstream 11kV RMU/SWGR) for 3Cx400sq.mm XLPE, Al. Cable, including all accessories in line with SOW.</t>
  </si>
  <si>
    <t>4.13.5</t>
  </si>
  <si>
    <t>Collection from ADDC store (free issue), Installation, Testing &amp; Commissioning of Armoured Pilot wire for communcation and protection purpose in line with SOW.</t>
  </si>
  <si>
    <t>2 WAY ( 2 nos. 200mm ID)</t>
  </si>
  <si>
    <t>4 WAY ( 4 nos. 200mm ID)</t>
  </si>
  <si>
    <t>1 WAY ( 1 no. 200mm ID)</t>
  </si>
  <si>
    <t>6 WAY  ( 6 nos. 200mm ID)</t>
  </si>
  <si>
    <t>8 WAY  ( 8 nos. 200mm ID)</t>
  </si>
  <si>
    <t>6 WAY  ( 6 nos 200mm ID)</t>
  </si>
  <si>
    <t>Installation, testing and commissioning of 11kV cable-end terminations for XLPE insulated, three-core cables with 120mm² Cu Conductor, including all accessories.</t>
  </si>
  <si>
    <t>LOT 1: SHOBAISI PRY (SHBPRY)</t>
  </si>
  <si>
    <t>Fibre Optic (FO) Cables and Accessories</t>
  </si>
  <si>
    <t>CONSTRUCTION OF NEW 33/11 kV PRIMARY SUBSTATION (SHBPRY) AND ASSOCIATED EXTERNAL 33kV, 11kV &amp; PILOT CABLE DIVERSION  WORKS</t>
  </si>
  <si>
    <t>Electrical Works for new 33/11 kV Primary Substation</t>
  </si>
  <si>
    <t>Mechanical Works for new 33/11 kV Primary Substation</t>
  </si>
  <si>
    <t>NOTE: The following items are meant to cover all mechanical works of the entire building (SHBPRY) complete in all respects, not withstanding the fact that every item may not be specifically mentioned.</t>
  </si>
  <si>
    <t xml:space="preserve">Supply, Installation, testing and commissioning of Fire Detection and Protection Systems as per Scope of Work in line with TAQA/ADDC specifications &amp; civil defense requirements for substation, comprising of: </t>
  </si>
  <si>
    <t>Assessment and proposal of temporary Firefighting system for Existing SHBPRY</t>
  </si>
  <si>
    <r>
      <t>Supply &amp; Installation of additional Portable &amp; Trolley Type Fire Extinguishers,</t>
    </r>
    <r>
      <rPr>
        <sz val="14"/>
        <color rgb="FFFF0000"/>
        <rFont val="Times New Roman"/>
        <family val="1"/>
      </rPr>
      <t xml:space="preserve"> </t>
    </r>
    <r>
      <rPr>
        <sz val="14"/>
        <rFont val="Times New Roman"/>
        <family val="1"/>
      </rPr>
      <t xml:space="preserve">FACP,Smoke detectors in the existing primary substation based on the assessment evaluation as per Scope of Work in line with TAQA/ADDC specifications &amp; civil defense requirements, comprising of: </t>
    </r>
  </si>
  <si>
    <t>Item-2 Sub Total  - Mechanical Works for new 33/11 kV Primary Substation</t>
  </si>
  <si>
    <t>Civil Works for new 33/11 kV Primary Substation Building</t>
  </si>
  <si>
    <t>NOTE: The following items are meant to cover all civil works of the entire building (SHBPRY) prices for civil works shall include the general requirements identified in the Scope of Work. The following items are intended to cover all civil works, required authority approvals, complete in all respects, not withstanding the fact that every item may not be specifically described below.</t>
  </si>
  <si>
    <t>Design and Construction of 33/11kV, 3 x 20MVA Primary Substation building (SMHPRY) with design style to meet area surroundings, access road and any other civil &amp; MEP works required, with any type of foundation, blinding concrete, reinforced concrete foundations and substructure, water proofing system, ground slab, block work superstructure, Screed and floor finish, roof slabs, steel channels and gratings with supporting system, louvered doors, internal and external finishing, with supply of all materials for the proper appearance and functioning of the building, as per SOW and in full compliance to TAQA/ADDC specification and in line with local authority regulations and building permit from relevant authorities.
(Refer to below listed items. The items not covered below, need to considered by the bidder)</t>
  </si>
  <si>
    <t>Item-3 Sub Total  - Civil Works for new 33/11 kV Primary Substation Building</t>
  </si>
  <si>
    <t>Interconnecting Cables between Grid Station and the new Primary Substation and Load Diversion works</t>
  </si>
  <si>
    <t>Scope shall include the following for 33 kV cables and its accessories in line with enclosed SOW, tender specifications and drawings shall be provided</t>
  </si>
  <si>
    <t>Collection from ADDC store, Installation, Testing &amp; Commisioning of 33kV, 3Cx400sq.mm XLPE, Al. cable from 33kV switchgear of Primary Substation to pick-up point.</t>
  </si>
  <si>
    <t>Scope shall include the following for 11 kV cables and its accessories in line with enclosed SOW, tender specifications and drawings shall be provided</t>
  </si>
  <si>
    <t>Scope shall include the following for Pilot wire and its accessories in line with enclosed SOW, tender specifications and drawings shall be provided</t>
  </si>
  <si>
    <t>The scope of work of this item covers the engineering, design, execution, commissioning and warranty services for all civil works related to the installation of the 33kV cables, 11kV and pilot cables specified for the new 33/11kV Primary substation in line with Scope of Work- NO BOQ Items</t>
  </si>
  <si>
    <t>Excavate trench of appropriate width and depth as per ADDC Specification including dewatering, in ground of any nature, in any formation for multiple HV &amp;  pilot cable laying in the same trench, backfill the same including sand bedding and reinstate.</t>
  </si>
  <si>
    <t>Item-4 Sub Total  - Interconnecting Cables between Grid Station and the new Primary Substation and Load Diversion works</t>
  </si>
  <si>
    <t>Dismantling, Decommissioning &amp; Demolition Works of existing old 33/11kV primary substation (SHBPRY)</t>
  </si>
  <si>
    <t>Collection from ADDC store, Installation, Testing &amp; Commisioning of 33 kV cable straight through transition joint (aluminium and copper cable) for 3Cx400 Sq.mm, Al XLPE, armoured cable with existing Cu. XLPE, armoured cable and as per Technical Specification in line with SOW.</t>
  </si>
  <si>
    <t>No BOQ Item</t>
  </si>
  <si>
    <t>Supply, installation, testing and commissioning  of  RTU equipment which is deem necessary to complete the signal chain from process through ADMS interface cubicle to RTU including  P2P test between SHBPRY and ADMS control center in line with scope of work  and relevant sections of TAQA/ADDC specifications.</t>
  </si>
  <si>
    <r>
      <t xml:space="preserve">TENDER NO. D-111808
CONSTRUCTION WORKS FOR REPLACEMENT OF SHBPRY, SMHPRY AND DRPRY SUBSTATION IN EASTERN REGION
</t>
    </r>
    <r>
      <rPr>
        <b/>
        <u/>
        <sz val="16"/>
        <rFont val="Times New Roman"/>
        <family val="1"/>
      </rPr>
      <t>Lot 1: Shobaisi PRY (SHBPRY)</t>
    </r>
  </si>
  <si>
    <t>CONSTRUCTION WORKS FOR REPLACEMENT OF SHBPRY, SMHPRY AND DRPRY SUBSTATION IN EASTERN REGION</t>
  </si>
  <si>
    <t>Supply, Installation, Testing &amp; Commissioning of 33kV  Conventional-type cable-end termination (33kV Terminal Tower) for 3Cx400sq.mm XLPE, Al. Cable, including all accessories in line with SOW.</t>
  </si>
  <si>
    <t>Supply and laying of LDPE-Recycled (Low Density Poly Ethylene with dimension of 1000 x 250 x 6 mm cable covering protective tiles for 33kV, 11kV power &amp; pilot cable as per TAQA/ADDC Technical Specification in line with SOW.</t>
  </si>
  <si>
    <t>Warning tape, 300 mm width and 150 microns thick, along the cable in trench for 33kV, 11kV cables &amp; pilot cable and as per Technical Specification in line with SOW.</t>
  </si>
  <si>
    <t>Included</t>
  </si>
  <si>
    <t xml:space="preserve">   UAE Dirhams Sixty Six Million Two Hundred Thousand Eight Hundred Ten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</si>
</sst>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_-* #,##0.00\-;_-* &quot;-&quot;??_-;_-@_-"/>
    <numFmt numFmtId="165" formatCode="_-* #,##0.00\ [$€-1]_-;\-* #,##0.00\ [$€-1]_-;_-* &quot;-&quot;??\ [$€-1]_-"/>
    <numFmt numFmtId="166" formatCode="0.0"/>
    <numFmt numFmtId="167" formatCode="_-* #,##0_-;\-* #,##0_-;_-* &quot;-&quot;??_-;_-@_-"/>
    <numFmt numFmtId="168" formatCode="_(* #,##0_);_(* \(#,##0\);_(* &quot;-&quot;??_);_(@_)"/>
  </numFmts>
  <fonts count="45"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MS Sans Serif"/>
      <family val="2"/>
    </font>
    <font>
      <sz val="11"/>
      <name val="Arial"/>
      <family val="2"/>
    </font>
    <font>
      <sz val="10"/>
      <name val="Arial"/>
      <family val="2"/>
    </font>
    <font>
      <sz val="10"/>
      <name val="Arial"/>
      <family val="2"/>
    </font>
    <font>
      <b/>
      <sz val="12"/>
      <name val="Times New Roman"/>
      <family val="1"/>
    </font>
    <font>
      <sz val="12"/>
      <name val="Times New Roman"/>
      <family val="1"/>
    </font>
    <font>
      <b/>
      <sz val="10.5"/>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name val="Times New Roman"/>
      <family val="1"/>
    </font>
    <font>
      <sz val="14"/>
      <name val="Times New Roman"/>
      <family val="1"/>
    </font>
    <font>
      <b/>
      <sz val="12"/>
      <color indexed="8"/>
      <name val="Times New Roman"/>
      <family val="1"/>
    </font>
    <font>
      <b/>
      <sz val="16"/>
      <name val="Times New Roman"/>
      <family val="1"/>
    </font>
    <font>
      <sz val="14"/>
      <color indexed="10"/>
      <name val="Times New Roman"/>
      <family val="1"/>
    </font>
    <font>
      <b/>
      <sz val="20"/>
      <name val="Times New Roman"/>
      <family val="1"/>
    </font>
    <font>
      <b/>
      <sz val="18"/>
      <name val="Times New Roman"/>
      <family val="1"/>
    </font>
    <font>
      <sz val="16"/>
      <name val="Times New Roman"/>
      <family val="1"/>
    </font>
    <font>
      <u/>
      <sz val="14"/>
      <name val="Times New Roman"/>
      <family val="1"/>
    </font>
    <font>
      <strike/>
      <sz val="14"/>
      <name val="Times New Roman"/>
      <family val="1"/>
    </font>
    <font>
      <sz val="14"/>
      <color rgb="FFFF0000"/>
      <name val="Times New Roman"/>
      <family val="1"/>
    </font>
    <font>
      <b/>
      <u/>
      <sz val="16"/>
      <name val="Times New Roman"/>
      <family val="1"/>
    </font>
  </fonts>
  <fills count="28">
    <fill>
      <patternFill patternType="none"/>
    </fill>
    <fill>
      <patternFill patternType="gray125"/>
    </fill>
    <fill>
      <patternFill patternType="solid">
        <fgColor indexed="26"/>
      </patternFill>
    </fill>
    <fill>
      <patternFill patternType="solid">
        <fgColor indexed="9"/>
        <bgColor indexed="2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s>
  <borders count="1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07">
    <xf numFmtId="0" fontId="0" fillId="0" borderId="0"/>
    <xf numFmtId="0" fontId="6" fillId="0" borderId="0"/>
    <xf numFmtId="164" fontId="7" fillId="0" borderId="0" applyFont="0" applyFill="0" applyBorder="0" applyAlignment="0" applyProtection="0"/>
    <xf numFmtId="0" fontId="7" fillId="0" borderId="0"/>
    <xf numFmtId="0" fontId="7" fillId="0" borderId="0"/>
    <xf numFmtId="0" fontId="6" fillId="0" borderId="0"/>
    <xf numFmtId="0" fontId="7" fillId="0" borderId="0"/>
    <xf numFmtId="0" fontId="8" fillId="0" borderId="0"/>
    <xf numFmtId="0" fontId="6" fillId="0" borderId="0"/>
    <xf numFmtId="0" fontId="6" fillId="0" borderId="0"/>
    <xf numFmtId="0" fontId="6" fillId="0" borderId="0"/>
    <xf numFmtId="0" fontId="7" fillId="2" borderId="1" applyNumberFormat="0" applyFont="0" applyAlignment="0" applyProtection="0"/>
    <xf numFmtId="0" fontId="7" fillId="2" borderId="1" applyNumberFormat="0" applyFont="0" applyAlignment="0" applyProtection="0"/>
    <xf numFmtId="165"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43" fontId="10" fillId="0" borderId="0" applyFont="0" applyFill="0" applyBorder="0" applyAlignment="0" applyProtection="0"/>
    <xf numFmtId="0" fontId="7" fillId="0" borderId="0"/>
    <xf numFmtId="0" fontId="4" fillId="0" borderId="0"/>
    <xf numFmtId="0" fontId="11" fillId="0" borderId="0"/>
    <xf numFmtId="43" fontId="11" fillId="0" borderId="0" applyFont="0" applyFill="0" applyBorder="0" applyAlignment="0" applyProtection="0"/>
    <xf numFmtId="0" fontId="7" fillId="0" borderId="0"/>
    <xf numFmtId="0" fontId="15" fillId="0" borderId="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7"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7" fillId="14"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21" borderId="0" applyNumberFormat="0" applyBorder="0" applyAlignment="0" applyProtection="0"/>
    <xf numFmtId="0" fontId="18" fillId="5" borderId="0" applyNumberFormat="0" applyBorder="0" applyAlignment="0" applyProtection="0"/>
    <xf numFmtId="0" fontId="19" fillId="22" borderId="3" applyNumberFormat="0" applyAlignment="0" applyProtection="0"/>
    <xf numFmtId="0" fontId="20" fillId="23" borderId="4" applyNumberFormat="0" applyAlignment="0" applyProtection="0"/>
    <xf numFmtId="43" fontId="15" fillId="0" borderId="0" applyFont="0" applyFill="0" applyBorder="0" applyAlignment="0" applyProtection="0"/>
    <xf numFmtId="43" fontId="15" fillId="0" borderId="0" applyFont="0" applyFill="0" applyBorder="0" applyAlignment="0" applyProtection="0"/>
    <xf numFmtId="43" fontId="7" fillId="0" borderId="0" applyFont="0" applyFill="0" applyBorder="0" applyAlignment="0" applyProtection="0"/>
    <xf numFmtId="43" fontId="15" fillId="0" borderId="0" applyFont="0" applyFill="0" applyBorder="0" applyAlignment="0" applyProtection="0"/>
    <xf numFmtId="43" fontId="7" fillId="0" borderId="0" applyFont="0" applyFill="0" applyBorder="0" applyAlignment="0" applyProtection="0"/>
    <xf numFmtId="43" fontId="15" fillId="0" borderId="0" applyFont="0" applyFill="0" applyBorder="0" applyAlignment="0" applyProtection="0"/>
    <xf numFmtId="0" fontId="21" fillId="0" borderId="0" applyNumberFormat="0" applyFill="0" applyBorder="0" applyAlignment="0" applyProtection="0"/>
    <xf numFmtId="0" fontId="22" fillId="6" borderId="0" applyNumberFormat="0" applyBorder="0" applyAlignment="0" applyProtection="0"/>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9" borderId="3" applyNumberFormat="0" applyAlignment="0" applyProtection="0"/>
    <xf numFmtId="0" fontId="27" fillId="0" borderId="8" applyNumberFormat="0" applyFill="0" applyAlignment="0" applyProtection="0"/>
    <xf numFmtId="0" fontId="28" fillId="24" borderId="0" applyNumberFormat="0" applyBorder="0" applyAlignment="0" applyProtection="0"/>
    <xf numFmtId="0" fontId="29" fillId="22" borderId="9" applyNumberFormat="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7"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7" fillId="0" borderId="0"/>
    <xf numFmtId="0" fontId="1" fillId="0" borderId="0"/>
  </cellStyleXfs>
  <cellXfs count="248">
    <xf numFmtId="0" fontId="0" fillId="0" borderId="0" xfId="0"/>
    <xf numFmtId="0" fontId="34" fillId="0" borderId="0" xfId="24" applyFont="1" applyAlignment="1" applyProtection="1">
      <alignment vertical="center"/>
      <protection locked="0"/>
    </xf>
    <xf numFmtId="0" fontId="33" fillId="0" borderId="2" xfId="0" applyFont="1" applyBorder="1" applyAlignment="1">
      <alignment vertical="center" wrapText="1"/>
    </xf>
    <xf numFmtId="0" fontId="34" fillId="0" borderId="2" xfId="0" applyFont="1" applyBorder="1" applyAlignment="1">
      <alignment vertical="center" wrapText="1"/>
    </xf>
    <xf numFmtId="1" fontId="34" fillId="0" borderId="2" xfId="24" applyNumberFormat="1" applyFont="1" applyBorder="1" applyAlignment="1">
      <alignment horizontal="center" vertical="center"/>
    </xf>
    <xf numFmtId="43" fontId="33" fillId="0" borderId="2" xfId="25" applyFont="1" applyFill="1" applyBorder="1" applyAlignment="1" applyProtection="1">
      <alignment horizontal="center" vertical="center"/>
      <protection locked="0"/>
    </xf>
    <xf numFmtId="0" fontId="33" fillId="0" borderId="0" xfId="24" applyFont="1" applyAlignment="1" applyProtection="1">
      <alignment vertical="center"/>
      <protection locked="0"/>
    </xf>
    <xf numFmtId="1" fontId="34" fillId="0" borderId="2" xfId="24" applyNumberFormat="1" applyFont="1" applyBorder="1" applyAlignment="1">
      <alignment horizontal="center" vertical="center" wrapText="1"/>
    </xf>
    <xf numFmtId="0" fontId="34" fillId="0" borderId="2" xfId="1" applyFont="1" applyBorder="1" applyAlignment="1">
      <alignment vertical="center" wrapText="1"/>
    </xf>
    <xf numFmtId="0" fontId="33" fillId="0" borderId="2" xfId="0" applyFont="1" applyBorder="1" applyAlignment="1">
      <alignment horizontal="center" vertical="center" wrapText="1"/>
    </xf>
    <xf numFmtId="43" fontId="34" fillId="0" borderId="2" xfId="63" applyFont="1" applyFill="1" applyBorder="1" applyAlignment="1" applyProtection="1">
      <alignment horizontal="center" vertical="center" wrapText="1"/>
      <protection locked="0"/>
    </xf>
    <xf numFmtId="0" fontId="34" fillId="0" borderId="0" xfId="78" applyFont="1" applyAlignment="1" applyProtection="1">
      <alignment vertical="center"/>
      <protection locked="0"/>
    </xf>
    <xf numFmtId="0" fontId="33" fillId="0" borderId="16" xfId="24" applyFont="1" applyBorder="1" applyAlignment="1">
      <alignment vertical="center" wrapText="1"/>
    </xf>
    <xf numFmtId="1" fontId="34" fillId="0" borderId="2" xfId="78" applyNumberFormat="1" applyFont="1" applyBorder="1" applyAlignment="1">
      <alignment horizontal="center" vertical="center" wrapText="1"/>
    </xf>
    <xf numFmtId="0" fontId="34" fillId="0" borderId="2" xfId="105" applyFont="1" applyBorder="1" applyAlignment="1">
      <alignment horizontal="left" vertical="center" wrapText="1"/>
    </xf>
    <xf numFmtId="0" fontId="34" fillId="0" borderId="2" xfId="26" applyFont="1" applyBorder="1" applyAlignment="1">
      <alignment horizontal="left" vertical="center" wrapText="1"/>
    </xf>
    <xf numFmtId="0" fontId="34" fillId="0" borderId="2" xfId="0" applyFont="1" applyBorder="1" applyAlignment="1">
      <alignment horizontal="center" vertical="center" wrapText="1"/>
    </xf>
    <xf numFmtId="43" fontId="34" fillId="0" borderId="2" xfId="63" applyFont="1" applyFill="1" applyBorder="1" applyAlignment="1" applyProtection="1">
      <alignment horizontal="center" vertical="center"/>
      <protection locked="0"/>
    </xf>
    <xf numFmtId="0" fontId="34" fillId="0" borderId="2" xfId="78" applyFont="1" applyBorder="1" applyAlignment="1">
      <alignment horizontal="left" vertical="center" wrapText="1"/>
    </xf>
    <xf numFmtId="0" fontId="34" fillId="0" borderId="16" xfId="0" applyFont="1" applyBorder="1" applyAlignment="1">
      <alignment horizontal="center" vertical="center" wrapText="1"/>
    </xf>
    <xf numFmtId="43" fontId="34" fillId="26" borderId="2" xfId="25" applyFont="1" applyFill="1" applyBorder="1" applyAlignment="1" applyProtection="1">
      <alignment horizontal="center" vertical="center"/>
      <protection locked="0"/>
    </xf>
    <xf numFmtId="0" fontId="34" fillId="0" borderId="2" xfId="0" applyFont="1" applyBorder="1" applyAlignment="1">
      <alignment horizontal="left" vertical="center" wrapText="1"/>
    </xf>
    <xf numFmtId="43" fontId="34" fillId="0" borderId="2" xfId="25" applyFont="1" applyFill="1" applyBorder="1" applyAlignment="1" applyProtection="1">
      <alignment horizontal="center" vertical="center"/>
      <protection locked="0"/>
    </xf>
    <xf numFmtId="43" fontId="34" fillId="0" borderId="2" xfId="25" applyFont="1" applyFill="1" applyBorder="1" applyAlignment="1" applyProtection="1">
      <alignment horizontal="center" vertical="center" wrapText="1"/>
      <protection locked="0"/>
    </xf>
    <xf numFmtId="0" fontId="36" fillId="26" borderId="2" xfId="24" applyFont="1" applyFill="1" applyBorder="1" applyAlignment="1" applyProtection="1">
      <alignment horizontal="left" vertical="center" wrapText="1"/>
      <protection locked="0"/>
    </xf>
    <xf numFmtId="0" fontId="33" fillId="0" borderId="2" xfId="0" applyFont="1" applyBorder="1" applyAlignment="1" applyProtection="1">
      <alignment vertical="center" wrapText="1"/>
      <protection locked="0"/>
    </xf>
    <xf numFmtId="0" fontId="33" fillId="0" borderId="0" xfId="24" applyFont="1" applyAlignment="1">
      <alignment horizontal="left" vertical="center"/>
    </xf>
    <xf numFmtId="0" fontId="34" fillId="0" borderId="0" xfId="24" applyFont="1" applyAlignment="1">
      <alignment horizontal="center" vertical="center"/>
    </xf>
    <xf numFmtId="0" fontId="33" fillId="0" borderId="0" xfId="24" applyFont="1" applyAlignment="1">
      <alignment horizontal="center" vertical="center"/>
    </xf>
    <xf numFmtId="0" fontId="34" fillId="0" borderId="0" xfId="24" applyFont="1" applyAlignment="1">
      <alignment vertical="center"/>
    </xf>
    <xf numFmtId="0" fontId="33" fillId="0" borderId="17" xfId="24" applyFont="1" applyBorder="1" applyAlignment="1">
      <alignment horizontal="left" vertical="center"/>
    </xf>
    <xf numFmtId="0" fontId="33" fillId="0" borderId="2" xfId="24" applyFont="1" applyBorder="1" applyAlignment="1">
      <alignment horizontal="left" vertical="center" wrapText="1"/>
    </xf>
    <xf numFmtId="0" fontId="34" fillId="0" borderId="2" xfId="24" applyFont="1" applyBorder="1" applyAlignment="1">
      <alignment vertical="center" wrapText="1"/>
    </xf>
    <xf numFmtId="0" fontId="33" fillId="0" borderId="2" xfId="24" applyFont="1" applyBorder="1" applyAlignment="1">
      <alignment horizontal="center" vertical="center" wrapText="1"/>
    </xf>
    <xf numFmtId="0" fontId="34" fillId="0" borderId="2" xfId="24" applyFont="1" applyBorder="1" applyAlignment="1">
      <alignment horizontal="center" vertical="center" wrapText="1"/>
    </xf>
    <xf numFmtId="0" fontId="36" fillId="27" borderId="2" xfId="24" applyFont="1" applyFill="1" applyBorder="1" applyAlignment="1">
      <alignment horizontal="left" vertical="center" wrapText="1"/>
    </xf>
    <xf numFmtId="0" fontId="36" fillId="27" borderId="2" xfId="24" applyFont="1" applyFill="1" applyBorder="1" applyAlignment="1">
      <alignment vertical="center" wrapText="1"/>
    </xf>
    <xf numFmtId="0" fontId="36" fillId="26" borderId="2" xfId="24" applyFont="1" applyFill="1" applyBorder="1" applyAlignment="1">
      <alignment horizontal="left" vertical="center" wrapText="1"/>
    </xf>
    <xf numFmtId="0" fontId="36" fillId="26" borderId="2" xfId="24" applyFont="1" applyFill="1" applyBorder="1" applyAlignment="1">
      <alignment vertical="center" wrapText="1"/>
    </xf>
    <xf numFmtId="0" fontId="34" fillId="0" borderId="2" xfId="24" applyFont="1" applyBorder="1" applyAlignment="1">
      <alignment horizontal="center" vertical="center"/>
    </xf>
    <xf numFmtId="43" fontId="33" fillId="0" borderId="2" xfId="25" applyFont="1" applyFill="1" applyBorder="1" applyAlignment="1" applyProtection="1">
      <alignment horizontal="center" vertical="center"/>
    </xf>
    <xf numFmtId="0" fontId="34" fillId="0" borderId="2" xfId="26" applyFont="1" applyBorder="1" applyAlignment="1">
      <alignment horizontal="center" vertical="center" wrapText="1"/>
    </xf>
    <xf numFmtId="43" fontId="33" fillId="25" borderId="2" xfId="25" applyFont="1" applyFill="1" applyBorder="1" applyAlignment="1" applyProtection="1">
      <alignment horizontal="center" vertical="center" wrapText="1"/>
    </xf>
    <xf numFmtId="43" fontId="33" fillId="25" borderId="2" xfId="25" applyFont="1" applyFill="1" applyBorder="1" applyAlignment="1" applyProtection="1">
      <alignment horizontal="center" vertical="center"/>
    </xf>
    <xf numFmtId="43" fontId="33" fillId="26" borderId="2" xfId="25" applyFont="1" applyFill="1" applyBorder="1" applyAlignment="1" applyProtection="1">
      <alignment horizontal="center" vertical="center"/>
    </xf>
    <xf numFmtId="0" fontId="33" fillId="0" borderId="2" xfId="78" applyFont="1" applyBorder="1" applyAlignment="1">
      <alignment horizontal="left" vertical="center"/>
    </xf>
    <xf numFmtId="0" fontId="34" fillId="0" borderId="2" xfId="78" applyFont="1" applyBorder="1" applyAlignment="1">
      <alignment horizontal="center" vertical="center"/>
    </xf>
    <xf numFmtId="0" fontId="33" fillId="0" borderId="2" xfId="26" applyFont="1" applyBorder="1" applyAlignment="1">
      <alignment horizontal="center" vertical="center" wrapText="1"/>
    </xf>
    <xf numFmtId="0" fontId="33" fillId="0" borderId="14" xfId="24" applyFont="1" applyBorder="1" applyAlignment="1">
      <alignment horizontal="left" vertical="center"/>
    </xf>
    <xf numFmtId="43" fontId="34" fillId="0" borderId="2" xfId="63" applyFont="1" applyFill="1" applyBorder="1" applyAlignment="1" applyProtection="1">
      <alignment horizontal="center" vertical="center" wrapText="1"/>
    </xf>
    <xf numFmtId="43" fontId="34" fillId="0" borderId="2" xfId="25" applyFont="1" applyFill="1" applyBorder="1" applyAlignment="1" applyProtection="1">
      <alignment horizontal="center" vertical="center"/>
    </xf>
    <xf numFmtId="43" fontId="34" fillId="26" borderId="2" xfId="25" applyFont="1" applyFill="1" applyBorder="1" applyAlignment="1" applyProtection="1">
      <alignment horizontal="center" vertical="center"/>
    </xf>
    <xf numFmtId="43" fontId="33" fillId="0" borderId="2" xfId="63" applyFont="1" applyFill="1" applyBorder="1" applyAlignment="1" applyProtection="1">
      <alignment horizontal="center" vertical="center"/>
    </xf>
    <xf numFmtId="0" fontId="13" fillId="0" borderId="0" xfId="28" applyFont="1" applyAlignment="1">
      <alignment horizontal="centerContinuous" vertical="center"/>
    </xf>
    <xf numFmtId="0" fontId="13" fillId="0" borderId="0" xfId="28" applyFont="1"/>
    <xf numFmtId="0" fontId="12" fillId="0" borderId="0" xfId="28" applyFont="1" applyAlignment="1">
      <alignment horizontal="right" vertical="center"/>
    </xf>
    <xf numFmtId="0" fontId="12" fillId="0" borderId="0" xfId="28" applyFont="1" applyAlignment="1">
      <alignment horizontal="left"/>
    </xf>
    <xf numFmtId="0" fontId="12" fillId="0" borderId="2" xfId="28" applyFont="1" applyBorder="1" applyAlignment="1">
      <alignment horizontal="center" vertical="center"/>
    </xf>
    <xf numFmtId="0" fontId="12" fillId="0" borderId="2" xfId="28" applyFont="1" applyBorder="1" applyAlignment="1">
      <alignment vertical="center" wrapText="1"/>
    </xf>
    <xf numFmtId="0" fontId="34" fillId="0" borderId="2" xfId="78" applyFont="1" applyBorder="1" applyAlignment="1">
      <alignment horizontal="center" vertical="center" wrapText="1"/>
    </xf>
    <xf numFmtId="0" fontId="34" fillId="0" borderId="2" xfId="0" applyFont="1" applyBorder="1" applyAlignment="1">
      <alignment horizontal="center" vertical="center"/>
    </xf>
    <xf numFmtId="0" fontId="34" fillId="0" borderId="2" xfId="24" applyFont="1" applyBorder="1" applyAlignment="1" applyProtection="1">
      <alignment horizontal="center" vertical="center" wrapText="1"/>
      <protection locked="0"/>
    </xf>
    <xf numFmtId="0" fontId="36" fillId="27" borderId="2" xfId="24" applyFont="1" applyFill="1" applyBorder="1" applyAlignment="1" applyProtection="1">
      <alignment vertical="center" wrapText="1"/>
      <protection locked="0"/>
    </xf>
    <xf numFmtId="0" fontId="36" fillId="26" borderId="2" xfId="24" applyFont="1" applyFill="1" applyBorder="1" applyAlignment="1" applyProtection="1">
      <alignment vertical="center" wrapText="1"/>
      <protection locked="0"/>
    </xf>
    <xf numFmtId="0" fontId="38" fillId="26" borderId="2" xfId="24" applyFont="1" applyFill="1" applyBorder="1" applyAlignment="1">
      <alignment horizontal="left" vertical="center" wrapText="1"/>
    </xf>
    <xf numFmtId="0" fontId="38" fillId="26" borderId="2" xfId="24" applyFont="1" applyFill="1" applyBorder="1" applyAlignment="1">
      <alignment vertical="center" wrapText="1"/>
    </xf>
    <xf numFmtId="1" fontId="34" fillId="0" borderId="2" xfId="78" applyNumberFormat="1" applyFont="1" applyBorder="1" applyAlignment="1">
      <alignment horizontal="center" vertical="center"/>
    </xf>
    <xf numFmtId="0" fontId="33" fillId="25" borderId="2" xfId="0" applyFont="1" applyFill="1" applyBorder="1" applyAlignment="1">
      <alignment horizontal="left" vertical="center" wrapText="1"/>
    </xf>
    <xf numFmtId="0" fontId="39" fillId="27" borderId="2" xfId="24" applyFont="1" applyFill="1" applyBorder="1" applyAlignment="1">
      <alignment vertical="center" wrapText="1"/>
    </xf>
    <xf numFmtId="0" fontId="36" fillId="0" borderId="2" xfId="24" applyFont="1" applyBorder="1" applyAlignment="1">
      <alignment vertical="center" wrapText="1"/>
    </xf>
    <xf numFmtId="0" fontId="36" fillId="0" borderId="2" xfId="24" applyFont="1" applyBorder="1" applyAlignment="1">
      <alignment horizontal="left" vertical="center"/>
    </xf>
    <xf numFmtId="43" fontId="36" fillId="0" borderId="2" xfId="25" applyFont="1" applyFill="1" applyBorder="1" applyAlignment="1" applyProtection="1">
      <alignment horizontal="center" vertical="center"/>
    </xf>
    <xf numFmtId="0" fontId="40" fillId="0" borderId="0" xfId="24" applyFont="1" applyAlignment="1" applyProtection="1">
      <alignment vertical="center"/>
      <protection locked="0"/>
    </xf>
    <xf numFmtId="0" fontId="33" fillId="0" borderId="2" xfId="1" applyFont="1" applyBorder="1" applyAlignment="1">
      <alignment vertical="center" wrapText="1"/>
    </xf>
    <xf numFmtId="166" fontId="33" fillId="0" borderId="2" xfId="24" applyNumberFormat="1" applyFont="1" applyBorder="1" applyAlignment="1">
      <alignment horizontal="left" vertical="center"/>
    </xf>
    <xf numFmtId="166" fontId="33" fillId="0" borderId="2" xfId="25" applyNumberFormat="1" applyFont="1" applyFill="1" applyBorder="1" applyAlignment="1" applyProtection="1">
      <alignment horizontal="left" vertical="center"/>
    </xf>
    <xf numFmtId="2" fontId="33" fillId="0" borderId="2" xfId="0" applyNumberFormat="1" applyFont="1" applyBorder="1" applyAlignment="1">
      <alignment horizontal="left" vertical="center" wrapText="1"/>
    </xf>
    <xf numFmtId="0" fontId="36" fillId="0" borderId="2" xfId="24" applyFont="1" applyBorder="1" applyAlignment="1">
      <alignment horizontal="left" vertical="center" wrapText="1"/>
    </xf>
    <xf numFmtId="0" fontId="38" fillId="27" borderId="2" xfId="24" applyFont="1" applyFill="1" applyBorder="1" applyAlignment="1">
      <alignment horizontal="left" vertical="center" wrapText="1"/>
    </xf>
    <xf numFmtId="3" fontId="34" fillId="0" borderId="0" xfId="24" applyNumberFormat="1" applyFont="1" applyAlignment="1">
      <alignment horizontal="center" vertical="center"/>
    </xf>
    <xf numFmtId="3" fontId="33" fillId="0" borderId="0" xfId="24" applyNumberFormat="1" applyFont="1" applyAlignment="1">
      <alignment horizontal="center" vertical="center"/>
    </xf>
    <xf numFmtId="3" fontId="33" fillId="0" borderId="2" xfId="24" applyNumberFormat="1" applyFont="1" applyBorder="1" applyAlignment="1">
      <alignment horizontal="center" vertical="center" wrapText="1"/>
    </xf>
    <xf numFmtId="3" fontId="36" fillId="26" borderId="2" xfId="24" applyNumberFormat="1" applyFont="1" applyFill="1" applyBorder="1" applyAlignment="1">
      <alignment vertical="center" wrapText="1"/>
    </xf>
    <xf numFmtId="3" fontId="33" fillId="0" borderId="2" xfId="25" applyNumberFormat="1" applyFont="1" applyFill="1" applyBorder="1" applyAlignment="1" applyProtection="1">
      <alignment horizontal="center" vertical="center"/>
    </xf>
    <xf numFmtId="3" fontId="34" fillId="0" borderId="2" xfId="24" applyNumberFormat="1" applyFont="1" applyBorder="1" applyAlignment="1">
      <alignment horizontal="center" vertical="center" wrapText="1"/>
    </xf>
    <xf numFmtId="3" fontId="34" fillId="0" borderId="2" xfId="0" applyNumberFormat="1" applyFont="1" applyBorder="1" applyAlignment="1">
      <alignment vertical="center" wrapText="1"/>
    </xf>
    <xf numFmtId="3" fontId="34" fillId="0" borderId="2" xfId="78" applyNumberFormat="1" applyFont="1" applyBorder="1" applyAlignment="1">
      <alignment horizontal="center" vertical="center" wrapText="1"/>
    </xf>
    <xf numFmtId="3" fontId="33" fillId="25" borderId="2" xfId="0" applyNumberFormat="1" applyFont="1" applyFill="1" applyBorder="1" applyAlignment="1">
      <alignment horizontal="left" vertical="center" wrapText="1"/>
    </xf>
    <xf numFmtId="3" fontId="38" fillId="26" borderId="2" xfId="24" applyNumberFormat="1" applyFont="1" applyFill="1" applyBorder="1" applyAlignment="1">
      <alignment vertical="center" wrapText="1"/>
    </xf>
    <xf numFmtId="3" fontId="33" fillId="25" borderId="2" xfId="25" applyNumberFormat="1" applyFont="1" applyFill="1" applyBorder="1" applyAlignment="1" applyProtection="1">
      <alignment horizontal="center" vertical="center" wrapText="1"/>
    </xf>
    <xf numFmtId="3" fontId="38" fillId="27" borderId="2" xfId="24" applyNumberFormat="1" applyFont="1" applyFill="1" applyBorder="1" applyAlignment="1">
      <alignment horizontal="left" vertical="center" wrapText="1"/>
    </xf>
    <xf numFmtId="43" fontId="34" fillId="0" borderId="2" xfId="25" applyFont="1" applyFill="1" applyBorder="1" applyAlignment="1" applyProtection="1">
      <alignment horizontal="center" vertical="center" wrapText="1"/>
    </xf>
    <xf numFmtId="166" fontId="33" fillId="0" borderId="2" xfId="0" applyNumberFormat="1" applyFont="1" applyBorder="1" applyAlignment="1">
      <alignment horizontal="left" vertical="center" wrapText="1"/>
    </xf>
    <xf numFmtId="0" fontId="33" fillId="0" borderId="0" xfId="78" applyFont="1" applyAlignment="1">
      <alignment horizontal="left" vertical="center"/>
    </xf>
    <xf numFmtId="0" fontId="34" fillId="0" borderId="0" xfId="78" applyFont="1" applyAlignment="1">
      <alignment horizontal="center" vertical="center"/>
    </xf>
    <xf numFmtId="3" fontId="34" fillId="0" borderId="0" xfId="78" applyNumberFormat="1" applyFont="1" applyAlignment="1">
      <alignment horizontal="center" vertical="center"/>
    </xf>
    <xf numFmtId="0" fontId="33" fillId="0" borderId="17" xfId="78" applyFont="1" applyBorder="1" applyAlignment="1">
      <alignment horizontal="left" vertical="center"/>
    </xf>
    <xf numFmtId="0" fontId="34" fillId="0" borderId="0" xfId="78" applyFont="1" applyAlignment="1">
      <alignment vertical="center"/>
    </xf>
    <xf numFmtId="0" fontId="33" fillId="0" borderId="2" xfId="78" applyFont="1" applyBorder="1" applyAlignment="1">
      <alignment horizontal="left" vertical="center" wrapText="1"/>
    </xf>
    <xf numFmtId="0" fontId="34" fillId="0" borderId="2" xfId="78" applyFont="1" applyBorder="1" applyAlignment="1">
      <alignment vertical="center" wrapText="1"/>
    </xf>
    <xf numFmtId="0" fontId="33" fillId="0" borderId="2" xfId="78" applyFont="1" applyBorder="1" applyAlignment="1">
      <alignment horizontal="center" vertical="center" wrapText="1"/>
    </xf>
    <xf numFmtId="3" fontId="33" fillId="0" borderId="2" xfId="78" applyNumberFormat="1" applyFont="1" applyBorder="1" applyAlignment="1">
      <alignment horizontal="center" vertical="center" wrapText="1"/>
    </xf>
    <xf numFmtId="0" fontId="38" fillId="26" borderId="11" xfId="78" applyFont="1" applyFill="1" applyBorder="1" applyAlignment="1">
      <alignment horizontal="left" vertical="center" wrapText="1"/>
    </xf>
    <xf numFmtId="0" fontId="38" fillId="26" borderId="11" xfId="78" applyFont="1" applyFill="1" applyBorder="1" applyAlignment="1">
      <alignment vertical="center" wrapText="1"/>
    </xf>
    <xf numFmtId="0" fontId="36" fillId="26" borderId="11" xfId="78" applyFont="1" applyFill="1" applyBorder="1" applyAlignment="1">
      <alignment vertical="center" wrapText="1"/>
    </xf>
    <xf numFmtId="3" fontId="36" fillId="26" borderId="11" xfId="78" applyNumberFormat="1" applyFont="1" applyFill="1" applyBorder="1" applyAlignment="1">
      <alignment vertical="center" wrapText="1"/>
    </xf>
    <xf numFmtId="166" fontId="33" fillId="0" borderId="2" xfId="63" applyNumberFormat="1" applyFont="1" applyFill="1" applyBorder="1" applyAlignment="1" applyProtection="1">
      <alignment horizontal="left" vertical="center"/>
    </xf>
    <xf numFmtId="3" fontId="33" fillId="0" borderId="2" xfId="63" applyNumberFormat="1" applyFont="1" applyFill="1" applyBorder="1" applyAlignment="1" applyProtection="1">
      <alignment horizontal="center" vertical="center"/>
    </xf>
    <xf numFmtId="166" fontId="33" fillId="0" borderId="2" xfId="78" applyNumberFormat="1" applyFont="1" applyBorder="1" applyAlignment="1">
      <alignment vertical="center"/>
    </xf>
    <xf numFmtId="3" fontId="34" fillId="0" borderId="2" xfId="0" applyNumberFormat="1" applyFont="1" applyBorder="1" applyAlignment="1">
      <alignment horizontal="center" vertical="center" wrapText="1"/>
    </xf>
    <xf numFmtId="43" fontId="33" fillId="25" borderId="2" xfId="63" applyFont="1" applyFill="1" applyBorder="1" applyAlignment="1" applyProtection="1">
      <alignment horizontal="center" vertical="center"/>
    </xf>
    <xf numFmtId="0" fontId="34" fillId="0" borderId="13" xfId="26" applyFont="1" applyBorder="1" applyAlignment="1">
      <alignment horizontal="left" vertical="center" wrapText="1"/>
    </xf>
    <xf numFmtId="43" fontId="33" fillId="25" borderId="2" xfId="63" applyFont="1" applyFill="1" applyBorder="1" applyAlignment="1" applyProtection="1">
      <alignment horizontal="center" vertical="center" wrapText="1"/>
    </xf>
    <xf numFmtId="3" fontId="33" fillId="25" borderId="2" xfId="63" applyNumberFormat="1" applyFont="1" applyFill="1" applyBorder="1" applyAlignment="1" applyProtection="1">
      <alignment horizontal="center" vertical="center" wrapText="1"/>
    </xf>
    <xf numFmtId="0" fontId="36" fillId="0" borderId="2" xfId="78" applyFont="1" applyBorder="1" applyAlignment="1">
      <alignment horizontal="left" vertical="center"/>
    </xf>
    <xf numFmtId="0" fontId="36" fillId="0" borderId="2" xfId="78" applyFont="1" applyBorder="1" applyAlignment="1">
      <alignment vertical="center" wrapText="1"/>
    </xf>
    <xf numFmtId="43" fontId="33" fillId="0" borderId="2" xfId="63" applyFont="1" applyFill="1" applyBorder="1" applyAlignment="1" applyProtection="1">
      <alignment horizontal="center" vertical="center"/>
      <protection locked="0"/>
    </xf>
    <xf numFmtId="0" fontId="33" fillId="0" borderId="14" xfId="78" applyFont="1" applyBorder="1" applyAlignment="1">
      <alignment horizontal="left" vertical="center"/>
    </xf>
    <xf numFmtId="0" fontId="33" fillId="0" borderId="16" xfId="78" applyFont="1" applyBorder="1" applyAlignment="1">
      <alignment vertical="center" wrapText="1"/>
    </xf>
    <xf numFmtId="0" fontId="38" fillId="27" borderId="2" xfId="78" applyFont="1" applyFill="1" applyBorder="1" applyAlignment="1">
      <alignment horizontal="left" vertical="center" wrapText="1"/>
    </xf>
    <xf numFmtId="3" fontId="38" fillId="27" borderId="2" xfId="78" applyNumberFormat="1" applyFont="1" applyFill="1" applyBorder="1" applyAlignment="1">
      <alignment horizontal="left" vertical="center" wrapText="1"/>
    </xf>
    <xf numFmtId="0" fontId="33" fillId="0" borderId="11" xfId="78" applyFont="1" applyBorder="1" applyAlignment="1">
      <alignment vertical="center"/>
    </xf>
    <xf numFmtId="0" fontId="12" fillId="25" borderId="2" xfId="28" applyFont="1" applyFill="1" applyBorder="1" applyAlignment="1">
      <alignment horizontal="center" vertical="center" wrapText="1"/>
    </xf>
    <xf numFmtId="0" fontId="12" fillId="25" borderId="2" xfId="28" applyFont="1" applyFill="1" applyBorder="1" applyAlignment="1">
      <alignment horizontal="center" vertical="center"/>
    </xf>
    <xf numFmtId="0" fontId="12" fillId="25" borderId="11" xfId="28" applyFont="1" applyFill="1" applyBorder="1" applyAlignment="1">
      <alignment horizontal="center" vertical="center"/>
    </xf>
    <xf numFmtId="0" fontId="33" fillId="0" borderId="13" xfId="24" applyFont="1" applyBorder="1" applyAlignment="1">
      <alignment horizontal="left" vertical="center"/>
    </xf>
    <xf numFmtId="0" fontId="33" fillId="26" borderId="2" xfId="24" applyFont="1" applyFill="1" applyBorder="1" applyAlignment="1">
      <alignment horizontal="center" vertical="center" wrapText="1"/>
    </xf>
    <xf numFmtId="0" fontId="33" fillId="0" borderId="2" xfId="0" applyFont="1" applyBorder="1" applyAlignment="1">
      <alignment horizontal="left" vertical="center" wrapText="1"/>
    </xf>
    <xf numFmtId="0" fontId="33" fillId="0" borderId="2" xfId="24" applyFont="1" applyBorder="1" applyAlignment="1">
      <alignment horizontal="left" vertical="center"/>
    </xf>
    <xf numFmtId="166" fontId="33" fillId="0" borderId="13" xfId="24" applyNumberFormat="1" applyFont="1" applyBorder="1" applyAlignment="1">
      <alignment horizontal="left" vertical="center"/>
    </xf>
    <xf numFmtId="0" fontId="33" fillId="0" borderId="0" xfId="24" applyFont="1" applyAlignment="1">
      <alignment vertical="center"/>
    </xf>
    <xf numFmtId="43" fontId="33" fillId="0" borderId="2" xfId="25" applyFont="1" applyFill="1" applyBorder="1" applyAlignment="1" applyProtection="1">
      <alignment horizontal="center" vertical="center" wrapText="1"/>
    </xf>
    <xf numFmtId="0" fontId="33" fillId="0" borderId="2" xfId="24" applyFont="1" applyBorder="1" applyAlignment="1" applyProtection="1">
      <alignment horizontal="center" vertical="center" wrapText="1"/>
      <protection locked="0"/>
    </xf>
    <xf numFmtId="0" fontId="38" fillId="26" borderId="2" xfId="24" applyFont="1" applyFill="1" applyBorder="1" applyAlignment="1" applyProtection="1">
      <alignment horizontal="left" vertical="center" wrapText="1"/>
      <protection locked="0"/>
    </xf>
    <xf numFmtId="0" fontId="34" fillId="0" borderId="2" xfId="0" applyFont="1" applyBorder="1" applyAlignment="1" applyProtection="1">
      <alignment vertical="center" wrapText="1"/>
      <protection locked="0"/>
    </xf>
    <xf numFmtId="0" fontId="13" fillId="0" borderId="0" xfId="28" applyFont="1" applyAlignment="1" applyProtection="1">
      <alignment horizontal="centerContinuous" vertical="center"/>
      <protection locked="0"/>
    </xf>
    <xf numFmtId="0" fontId="13" fillId="0" borderId="0" xfId="28" applyFont="1" applyProtection="1">
      <protection locked="0"/>
    </xf>
    <xf numFmtId="0" fontId="12" fillId="0" borderId="0" xfId="28" applyFont="1" applyAlignment="1" applyProtection="1">
      <alignment vertical="center"/>
      <protection locked="0"/>
    </xf>
    <xf numFmtId="0" fontId="14" fillId="0" borderId="0" xfId="28" applyFont="1" applyAlignment="1" applyProtection="1">
      <alignment horizontal="center" vertical="center" wrapText="1"/>
      <protection locked="0"/>
    </xf>
    <xf numFmtId="0" fontId="14" fillId="0" borderId="0" xfId="28" applyFont="1" applyAlignment="1" applyProtection="1">
      <alignment vertical="center" wrapText="1"/>
      <protection locked="0"/>
    </xf>
    <xf numFmtId="0" fontId="35" fillId="3" borderId="0" xfId="30" applyFont="1" applyFill="1" applyAlignment="1" applyProtection="1">
      <alignment horizontal="left" vertical="center" wrapText="1"/>
      <protection locked="0"/>
    </xf>
    <xf numFmtId="0" fontId="33" fillId="0" borderId="0" xfId="78" applyFont="1" applyAlignment="1">
      <alignment vertical="center"/>
    </xf>
    <xf numFmtId="0" fontId="36" fillId="25" borderId="2" xfId="0" applyFont="1" applyFill="1" applyBorder="1" applyAlignment="1">
      <alignment vertical="center"/>
    </xf>
    <xf numFmtId="0" fontId="36" fillId="25" borderId="2" xfId="0" applyFont="1" applyFill="1" applyBorder="1" applyAlignment="1">
      <alignment vertical="center" wrapText="1"/>
    </xf>
    <xf numFmtId="166" fontId="33" fillId="0" borderId="13" xfId="78" applyNumberFormat="1" applyFont="1" applyBorder="1" applyAlignment="1">
      <alignment horizontal="left" vertical="center"/>
    </xf>
    <xf numFmtId="0" fontId="33" fillId="0" borderId="11" xfId="78" applyFont="1" applyBorder="1" applyAlignment="1">
      <alignment horizontal="left" vertical="center"/>
    </xf>
    <xf numFmtId="166" fontId="33" fillId="0" borderId="2" xfId="78" applyNumberFormat="1" applyFont="1" applyBorder="1" applyAlignment="1">
      <alignment horizontal="left" vertical="center"/>
    </xf>
    <xf numFmtId="43" fontId="33" fillId="0" borderId="0" xfId="24" applyNumberFormat="1" applyFont="1" applyAlignment="1" applyProtection="1">
      <alignment vertical="center"/>
      <protection locked="0"/>
    </xf>
    <xf numFmtId="167" fontId="13" fillId="0" borderId="2" xfId="29" applyNumberFormat="1" applyFont="1" applyFill="1" applyBorder="1" applyAlignment="1" applyProtection="1">
      <alignment horizontal="right" vertical="center"/>
    </xf>
    <xf numFmtId="167" fontId="12" fillId="25" borderId="2" xfId="28" applyNumberFormat="1" applyFont="1" applyFill="1" applyBorder="1" applyAlignment="1">
      <alignment horizontal="right" vertical="center"/>
    </xf>
    <xf numFmtId="168" fontId="34" fillId="0" borderId="2" xfId="25" applyNumberFormat="1" applyFont="1" applyFill="1" applyBorder="1" applyAlignment="1" applyProtection="1">
      <alignment horizontal="right" vertical="center" wrapText="1"/>
      <protection locked="0"/>
    </xf>
    <xf numFmtId="168" fontId="34" fillId="0" borderId="2" xfId="25" applyNumberFormat="1" applyFont="1" applyFill="1" applyBorder="1" applyAlignment="1" applyProtection="1">
      <alignment horizontal="right" vertical="center" wrapText="1"/>
    </xf>
    <xf numFmtId="168" fontId="34" fillId="0" borderId="2" xfId="25" applyNumberFormat="1" applyFont="1" applyFill="1" applyBorder="1" applyAlignment="1" applyProtection="1">
      <alignment horizontal="right" vertical="center"/>
      <protection locked="0"/>
    </xf>
    <xf numFmtId="168" fontId="34" fillId="0" borderId="2" xfId="25" applyNumberFormat="1" applyFont="1" applyFill="1" applyBorder="1" applyAlignment="1" applyProtection="1">
      <alignment horizontal="right" vertical="center"/>
    </xf>
    <xf numFmtId="168" fontId="33" fillId="0" borderId="2" xfId="25" applyNumberFormat="1" applyFont="1" applyFill="1" applyBorder="1" applyAlignment="1" applyProtection="1">
      <alignment horizontal="right" vertical="center"/>
    </xf>
    <xf numFmtId="168" fontId="34" fillId="0" borderId="2" xfId="63" applyNumberFormat="1" applyFont="1" applyFill="1" applyBorder="1" applyAlignment="1" applyProtection="1">
      <alignment horizontal="right" vertical="center" wrapText="1"/>
      <protection locked="0"/>
    </xf>
    <xf numFmtId="168" fontId="34" fillId="0" borderId="2" xfId="63" applyNumberFormat="1" applyFont="1" applyFill="1" applyBorder="1" applyAlignment="1" applyProtection="1">
      <alignment horizontal="right" vertical="center" wrapText="1"/>
    </xf>
    <xf numFmtId="168" fontId="34" fillId="0" borderId="2" xfId="63" applyNumberFormat="1" applyFont="1" applyFill="1" applyBorder="1" applyAlignment="1" applyProtection="1">
      <alignment horizontal="right" vertical="center"/>
      <protection locked="0"/>
    </xf>
    <xf numFmtId="168" fontId="34" fillId="0" borderId="2" xfId="63" applyNumberFormat="1" applyFont="1" applyFill="1" applyBorder="1" applyAlignment="1" applyProtection="1">
      <alignment horizontal="right" vertical="center"/>
    </xf>
    <xf numFmtId="168" fontId="33" fillId="0" borderId="2" xfId="63" applyNumberFormat="1" applyFont="1" applyFill="1" applyBorder="1" applyAlignment="1" applyProtection="1">
      <alignment horizontal="right" vertical="center"/>
    </xf>
    <xf numFmtId="168" fontId="33" fillId="0" borderId="2" xfId="0" applyNumberFormat="1" applyFont="1" applyBorder="1" applyAlignment="1" applyProtection="1">
      <alignment horizontal="right" vertical="center" wrapText="1"/>
      <protection locked="0"/>
    </xf>
    <xf numFmtId="168" fontId="33" fillId="0" borderId="2" xfId="0" applyNumberFormat="1" applyFont="1" applyBorder="1" applyAlignment="1">
      <alignment horizontal="right" vertical="center" wrapText="1"/>
    </xf>
    <xf numFmtId="168" fontId="33" fillId="0" borderId="2" xfId="24" applyNumberFormat="1" applyFont="1" applyBorder="1" applyAlignment="1" applyProtection="1">
      <alignment horizontal="right" vertical="center"/>
      <protection locked="0"/>
    </xf>
    <xf numFmtId="168" fontId="33" fillId="0" borderId="2" xfId="24" applyNumberFormat="1" applyFont="1" applyBorder="1" applyAlignment="1">
      <alignment horizontal="right" vertical="center"/>
    </xf>
    <xf numFmtId="168" fontId="42" fillId="0" borderId="2" xfId="63" applyNumberFormat="1" applyFont="1" applyFill="1" applyBorder="1" applyAlignment="1" applyProtection="1">
      <alignment horizontal="right" vertical="center" wrapText="1"/>
      <protection locked="0"/>
    </xf>
    <xf numFmtId="168" fontId="33" fillId="25" borderId="2" xfId="25" applyNumberFormat="1" applyFont="1" applyFill="1" applyBorder="1" applyAlignment="1" applyProtection="1">
      <alignment horizontal="right" vertical="center"/>
      <protection locked="0"/>
    </xf>
    <xf numFmtId="168" fontId="33" fillId="25" borderId="2" xfId="25" applyNumberFormat="1" applyFont="1" applyFill="1" applyBorder="1" applyAlignment="1" applyProtection="1">
      <alignment horizontal="right" vertical="center"/>
    </xf>
    <xf numFmtId="168" fontId="33" fillId="25" borderId="2" xfId="25" applyNumberFormat="1" applyFont="1" applyFill="1" applyBorder="1" applyAlignment="1" applyProtection="1">
      <alignment horizontal="right" vertical="center" wrapText="1"/>
    </xf>
    <xf numFmtId="168" fontId="36" fillId="0" borderId="2" xfId="25" applyNumberFormat="1" applyFont="1" applyFill="1" applyBorder="1" applyAlignment="1" applyProtection="1">
      <alignment horizontal="right" vertical="center"/>
    </xf>
    <xf numFmtId="168" fontId="38" fillId="27" borderId="2" xfId="24" applyNumberFormat="1" applyFont="1" applyFill="1" applyBorder="1" applyAlignment="1">
      <alignment horizontal="right" vertical="center" wrapText="1"/>
    </xf>
    <xf numFmtId="168" fontId="38" fillId="27" borderId="2" xfId="25" applyNumberFormat="1" applyFont="1" applyFill="1" applyBorder="1" applyAlignment="1" applyProtection="1">
      <alignment horizontal="right" vertical="center"/>
    </xf>
    <xf numFmtId="168" fontId="34" fillId="0" borderId="2" xfId="0" applyNumberFormat="1" applyFont="1" applyBorder="1" applyAlignment="1" applyProtection="1">
      <alignment horizontal="right" vertical="center" wrapText="1"/>
      <protection locked="0"/>
    </xf>
    <xf numFmtId="168" fontId="34" fillId="0" borderId="2" xfId="0" applyNumberFormat="1" applyFont="1" applyBorder="1" applyAlignment="1">
      <alignment horizontal="right" vertical="center" wrapText="1"/>
    </xf>
    <xf numFmtId="168" fontId="33" fillId="25" borderId="2" xfId="0" applyNumberFormat="1" applyFont="1" applyFill="1" applyBorder="1" applyAlignment="1">
      <alignment horizontal="right" vertical="center" wrapText="1"/>
    </xf>
    <xf numFmtId="168" fontId="38" fillId="26" borderId="2" xfId="24" applyNumberFormat="1" applyFont="1" applyFill="1" applyBorder="1" applyAlignment="1" applyProtection="1">
      <alignment horizontal="right" vertical="center" wrapText="1"/>
      <protection locked="0"/>
    </xf>
    <xf numFmtId="168" fontId="38" fillId="26" borderId="2" xfId="24" applyNumberFormat="1" applyFont="1" applyFill="1" applyBorder="1" applyAlignment="1">
      <alignment horizontal="right" vertical="center" wrapText="1"/>
    </xf>
    <xf numFmtId="168" fontId="33" fillId="25" borderId="2" xfId="0" applyNumberFormat="1" applyFont="1" applyFill="1" applyBorder="1" applyAlignment="1" applyProtection="1">
      <alignment horizontal="right" vertical="center" wrapText="1"/>
      <protection locked="0"/>
    </xf>
    <xf numFmtId="168" fontId="33" fillId="25" borderId="2" xfId="25" applyNumberFormat="1" applyFont="1" applyFill="1" applyBorder="1" applyAlignment="1" applyProtection="1">
      <alignment horizontal="right" vertical="center" wrapText="1"/>
      <protection locked="0"/>
    </xf>
    <xf numFmtId="168" fontId="33" fillId="25" borderId="2" xfId="63" applyNumberFormat="1" applyFont="1" applyFill="1" applyBorder="1" applyAlignment="1" applyProtection="1">
      <alignment horizontal="right" vertical="center"/>
      <protection locked="0"/>
    </xf>
    <xf numFmtId="168" fontId="33" fillId="25" borderId="2" xfId="63" applyNumberFormat="1" applyFont="1" applyFill="1" applyBorder="1" applyAlignment="1" applyProtection="1">
      <alignment horizontal="right" vertical="center"/>
    </xf>
    <xf numFmtId="168" fontId="33" fillId="25" borderId="2" xfId="63" applyNumberFormat="1" applyFont="1" applyFill="1" applyBorder="1" applyAlignment="1" applyProtection="1">
      <alignment horizontal="right" vertical="center" wrapText="1"/>
    </xf>
    <xf numFmtId="168" fontId="38" fillId="27" borderId="2" xfId="78" applyNumberFormat="1" applyFont="1" applyFill="1" applyBorder="1" applyAlignment="1">
      <alignment horizontal="right" vertical="center" wrapText="1"/>
    </xf>
    <xf numFmtId="168" fontId="38" fillId="27" borderId="2" xfId="63" applyNumberFormat="1" applyFont="1" applyFill="1" applyBorder="1" applyAlignment="1" applyProtection="1">
      <alignment horizontal="right" vertical="center"/>
    </xf>
    <xf numFmtId="0" fontId="36" fillId="0" borderId="14" xfId="28" applyFont="1" applyBorder="1" applyAlignment="1">
      <alignment horizontal="center" vertical="center" wrapText="1"/>
    </xf>
    <xf numFmtId="0" fontId="36" fillId="0" borderId="15" xfId="28" applyFont="1" applyBorder="1" applyAlignment="1">
      <alignment horizontal="center" vertical="center" wrapText="1"/>
    </xf>
    <xf numFmtId="0" fontId="36" fillId="0" borderId="16" xfId="28" applyFont="1" applyBorder="1" applyAlignment="1">
      <alignment horizontal="center" vertical="center" wrapText="1"/>
    </xf>
    <xf numFmtId="0" fontId="14" fillId="0" borderId="0" xfId="28" applyFont="1" applyAlignment="1" applyProtection="1">
      <alignment horizontal="center" vertical="center" wrapText="1"/>
      <protection locked="0"/>
    </xf>
    <xf numFmtId="0" fontId="12" fillId="25" borderId="2" xfId="28" applyFont="1" applyFill="1" applyBorder="1" applyAlignment="1">
      <alignment horizontal="center" vertical="center" wrapText="1"/>
    </xf>
    <xf numFmtId="0" fontId="12" fillId="25" borderId="11" xfId="28" applyFont="1" applyFill="1" applyBorder="1" applyAlignment="1">
      <alignment horizontal="center" vertical="center" wrapText="1"/>
    </xf>
    <xf numFmtId="0" fontId="12" fillId="25" borderId="2" xfId="28" applyFont="1" applyFill="1" applyBorder="1" applyAlignment="1">
      <alignment horizontal="center" vertical="center"/>
    </xf>
    <xf numFmtId="0" fontId="12" fillId="25" borderId="11" xfId="28" applyFont="1" applyFill="1" applyBorder="1" applyAlignment="1">
      <alignment horizontal="center" vertical="center"/>
    </xf>
    <xf numFmtId="0" fontId="33" fillId="0" borderId="18" xfId="24" applyFont="1" applyBorder="1" applyAlignment="1">
      <alignment horizontal="center" vertical="center"/>
    </xf>
    <xf numFmtId="0" fontId="33" fillId="26" borderId="2" xfId="24" applyFont="1" applyFill="1" applyBorder="1" applyAlignment="1">
      <alignment horizontal="center" vertical="center" wrapText="1"/>
    </xf>
    <xf numFmtId="0" fontId="33" fillId="0" borderId="11" xfId="24" applyFont="1" applyBorder="1" applyAlignment="1">
      <alignment horizontal="left" vertical="center"/>
    </xf>
    <xf numFmtId="0" fontId="33" fillId="0" borderId="13" xfId="24" applyFont="1" applyBorder="1" applyAlignment="1">
      <alignment horizontal="left" vertical="center"/>
    </xf>
    <xf numFmtId="0" fontId="36" fillId="25" borderId="14" xfId="0" applyFont="1" applyFill="1" applyBorder="1" applyAlignment="1">
      <alignment horizontal="left" vertical="center" wrapText="1"/>
    </xf>
    <xf numFmtId="0" fontId="36" fillId="25" borderId="16" xfId="0" applyFont="1" applyFill="1" applyBorder="1" applyAlignment="1">
      <alignment horizontal="left" vertical="center" wrapText="1"/>
    </xf>
    <xf numFmtId="0" fontId="33" fillId="0" borderId="11" xfId="78" applyFont="1" applyBorder="1" applyAlignment="1">
      <alignment horizontal="left" vertical="center"/>
    </xf>
    <xf numFmtId="0" fontId="33" fillId="0" borderId="13" xfId="78" applyFont="1" applyBorder="1" applyAlignment="1">
      <alignment horizontal="left" vertical="center"/>
    </xf>
    <xf numFmtId="0" fontId="33" fillId="26" borderId="11" xfId="24" applyFont="1" applyFill="1" applyBorder="1" applyAlignment="1">
      <alignment horizontal="center" vertical="center" wrapText="1"/>
    </xf>
    <xf numFmtId="0" fontId="33" fillId="26" borderId="12" xfId="24" applyFont="1" applyFill="1" applyBorder="1" applyAlignment="1">
      <alignment horizontal="center" vertical="center" wrapText="1"/>
    </xf>
    <xf numFmtId="0" fontId="33" fillId="26" borderId="13" xfId="24" applyFont="1" applyFill="1" applyBorder="1" applyAlignment="1">
      <alignment horizontal="center" vertical="center" wrapText="1"/>
    </xf>
    <xf numFmtId="168" fontId="34" fillId="0" borderId="11" xfId="63" applyNumberFormat="1" applyFont="1" applyFill="1" applyBorder="1" applyAlignment="1" applyProtection="1">
      <alignment horizontal="right" vertical="center" wrapText="1"/>
    </xf>
    <xf numFmtId="168" fontId="34" fillId="0" borderId="12" xfId="63" applyNumberFormat="1" applyFont="1" applyFill="1" applyBorder="1" applyAlignment="1" applyProtection="1">
      <alignment horizontal="right" vertical="center" wrapText="1"/>
    </xf>
    <xf numFmtId="168" fontId="34" fillId="0" borderId="13" xfId="63" applyNumberFormat="1" applyFont="1" applyFill="1" applyBorder="1" applyAlignment="1" applyProtection="1">
      <alignment horizontal="right" vertical="center" wrapText="1"/>
    </xf>
    <xf numFmtId="168" fontId="34" fillId="0" borderId="11" xfId="25" applyNumberFormat="1" applyFont="1" applyFill="1" applyBorder="1" applyAlignment="1" applyProtection="1">
      <alignment horizontal="right" vertical="center" wrapText="1"/>
    </xf>
    <xf numFmtId="168" fontId="34" fillId="0" borderId="12" xfId="25" applyNumberFormat="1" applyFont="1" applyFill="1" applyBorder="1" applyAlignment="1" applyProtection="1">
      <alignment horizontal="right" vertical="center" wrapText="1"/>
    </xf>
    <xf numFmtId="168" fontId="34" fillId="0" borderId="13" xfId="25" applyNumberFormat="1" applyFont="1" applyFill="1" applyBorder="1" applyAlignment="1" applyProtection="1">
      <alignment horizontal="right" vertical="center" wrapText="1"/>
    </xf>
    <xf numFmtId="168" fontId="34" fillId="0" borderId="11" xfId="25" applyNumberFormat="1" applyFont="1" applyFill="1" applyBorder="1" applyAlignment="1" applyProtection="1">
      <alignment horizontal="right" vertical="center"/>
      <protection locked="0"/>
    </xf>
    <xf numFmtId="168" fontId="34" fillId="0" borderId="12" xfId="25" applyNumberFormat="1" applyFont="1" applyFill="1" applyBorder="1" applyAlignment="1" applyProtection="1">
      <alignment horizontal="right" vertical="center"/>
      <protection locked="0"/>
    </xf>
    <xf numFmtId="168" fontId="34" fillId="0" borderId="13" xfId="25" applyNumberFormat="1" applyFont="1" applyFill="1" applyBorder="1" applyAlignment="1" applyProtection="1">
      <alignment horizontal="right" vertical="center"/>
      <protection locked="0"/>
    </xf>
    <xf numFmtId="168" fontId="34" fillId="0" borderId="11" xfId="25" applyNumberFormat="1" applyFont="1" applyFill="1" applyBorder="1" applyAlignment="1" applyProtection="1">
      <alignment horizontal="right" vertical="center"/>
    </xf>
    <xf numFmtId="168" fontId="34" fillId="0" borderId="12" xfId="25" applyNumberFormat="1" applyFont="1" applyFill="1" applyBorder="1" applyAlignment="1" applyProtection="1">
      <alignment horizontal="right" vertical="center"/>
    </xf>
    <xf numFmtId="168" fontId="34" fillId="0" borderId="13" xfId="25" applyNumberFormat="1" applyFont="1" applyFill="1" applyBorder="1" applyAlignment="1" applyProtection="1">
      <alignment horizontal="right" vertical="center"/>
    </xf>
    <xf numFmtId="168" fontId="33" fillId="0" borderId="11" xfId="25" applyNumberFormat="1" applyFont="1" applyFill="1" applyBorder="1" applyAlignment="1" applyProtection="1">
      <alignment horizontal="right" vertical="center"/>
    </xf>
    <xf numFmtId="168" fontId="33" fillId="0" borderId="12" xfId="25" applyNumberFormat="1" applyFont="1" applyFill="1" applyBorder="1" applyAlignment="1" applyProtection="1">
      <alignment horizontal="right" vertical="center"/>
    </xf>
    <xf numFmtId="168" fontId="33" fillId="0" borderId="13" xfId="25" applyNumberFormat="1" applyFont="1" applyFill="1" applyBorder="1" applyAlignment="1" applyProtection="1">
      <alignment horizontal="right" vertical="center"/>
    </xf>
    <xf numFmtId="0" fontId="38" fillId="27" borderId="14" xfId="24" applyFont="1" applyFill="1" applyBorder="1" applyAlignment="1">
      <alignment horizontal="center" vertical="center" wrapText="1"/>
    </xf>
    <xf numFmtId="0" fontId="38" fillId="27" borderId="16" xfId="24" applyFont="1" applyFill="1" applyBorder="1" applyAlignment="1">
      <alignment horizontal="center" vertical="center" wrapText="1"/>
    </xf>
    <xf numFmtId="0" fontId="33" fillId="0" borderId="11" xfId="0" applyFont="1" applyBorder="1" applyAlignment="1">
      <alignment horizontal="left" vertical="center" wrapText="1"/>
    </xf>
    <xf numFmtId="0" fontId="33" fillId="0" borderId="12" xfId="0" applyFont="1" applyBorder="1" applyAlignment="1">
      <alignment horizontal="left" vertical="center" wrapText="1"/>
    </xf>
    <xf numFmtId="0" fontId="33" fillId="0" borderId="13" xfId="0" applyFont="1" applyBorder="1" applyAlignment="1">
      <alignment horizontal="left" vertical="center" wrapText="1"/>
    </xf>
    <xf numFmtId="2" fontId="33" fillId="0" borderId="11" xfId="78" applyNumberFormat="1" applyFont="1" applyBorder="1" applyAlignment="1">
      <alignment horizontal="left" vertical="center"/>
    </xf>
    <xf numFmtId="2" fontId="33" fillId="0" borderId="13" xfId="78" applyNumberFormat="1" applyFont="1" applyBorder="1" applyAlignment="1">
      <alignment horizontal="left" vertical="center"/>
    </xf>
    <xf numFmtId="0" fontId="33" fillId="0" borderId="2" xfId="0" applyFont="1" applyBorder="1" applyAlignment="1">
      <alignment horizontal="left" vertical="center" wrapText="1"/>
    </xf>
    <xf numFmtId="0" fontId="33" fillId="0" borderId="2" xfId="24" applyFont="1" applyBorder="1" applyAlignment="1">
      <alignment horizontal="left" vertical="center"/>
    </xf>
    <xf numFmtId="2" fontId="33" fillId="0" borderId="11" xfId="0" applyNumberFormat="1" applyFont="1" applyBorder="1" applyAlignment="1">
      <alignment horizontal="left" vertical="center" wrapText="1"/>
    </xf>
    <xf numFmtId="2" fontId="33" fillId="0" borderId="13" xfId="0" applyNumberFormat="1" applyFont="1" applyBorder="1" applyAlignment="1">
      <alignment horizontal="left" vertical="center" wrapText="1"/>
    </xf>
    <xf numFmtId="168" fontId="34" fillId="0" borderId="11" xfId="63" applyNumberFormat="1" applyFont="1" applyFill="1" applyBorder="1" applyAlignment="1" applyProtection="1">
      <alignment horizontal="right" vertical="center"/>
      <protection locked="0"/>
    </xf>
    <xf numFmtId="168" fontId="34" fillId="0" borderId="12" xfId="63" applyNumberFormat="1" applyFont="1" applyFill="1" applyBorder="1" applyAlignment="1" applyProtection="1">
      <alignment horizontal="right" vertical="center"/>
      <protection locked="0"/>
    </xf>
    <xf numFmtId="168" fontId="34" fillId="0" borderId="13" xfId="63" applyNumberFormat="1" applyFont="1" applyFill="1" applyBorder="1" applyAlignment="1" applyProtection="1">
      <alignment horizontal="right" vertical="center"/>
      <protection locked="0"/>
    </xf>
    <xf numFmtId="168" fontId="34" fillId="0" borderId="11" xfId="63" applyNumberFormat="1" applyFont="1" applyFill="1" applyBorder="1" applyAlignment="1" applyProtection="1">
      <alignment horizontal="right" vertical="center"/>
    </xf>
    <xf numFmtId="168" fontId="34" fillId="0" borderId="12" xfId="63" applyNumberFormat="1" applyFont="1" applyFill="1" applyBorder="1" applyAlignment="1" applyProtection="1">
      <alignment horizontal="right" vertical="center"/>
    </xf>
    <xf numFmtId="168" fontId="34" fillId="0" borderId="13" xfId="63" applyNumberFormat="1" applyFont="1" applyFill="1" applyBorder="1" applyAlignment="1" applyProtection="1">
      <alignment horizontal="right" vertical="center"/>
    </xf>
    <xf numFmtId="168" fontId="33" fillId="0" borderId="11" xfId="63" applyNumberFormat="1" applyFont="1" applyFill="1" applyBorder="1" applyAlignment="1" applyProtection="1">
      <alignment horizontal="right" vertical="center"/>
    </xf>
    <xf numFmtId="168" fontId="33" fillId="0" borderId="12" xfId="63" applyNumberFormat="1" applyFont="1" applyFill="1" applyBorder="1" applyAlignment="1" applyProtection="1">
      <alignment horizontal="right" vertical="center"/>
    </xf>
    <xf numFmtId="168" fontId="33" fillId="0" borderId="13" xfId="63" applyNumberFormat="1" applyFont="1" applyFill="1" applyBorder="1" applyAlignment="1" applyProtection="1">
      <alignment horizontal="right" vertical="center"/>
    </xf>
    <xf numFmtId="166" fontId="33" fillId="0" borderId="11" xfId="24" applyNumberFormat="1" applyFont="1" applyBorder="1" applyAlignment="1">
      <alignment horizontal="left" vertical="center"/>
    </xf>
    <xf numFmtId="166" fontId="33" fillId="0" borderId="13" xfId="24" applyNumberFormat="1" applyFont="1" applyBorder="1" applyAlignment="1">
      <alignment horizontal="left" vertical="center"/>
    </xf>
    <xf numFmtId="0" fontId="38" fillId="27" borderId="2" xfId="24" applyFont="1" applyFill="1" applyBorder="1" applyAlignment="1">
      <alignment horizontal="center" vertical="center" wrapText="1"/>
    </xf>
    <xf numFmtId="3" fontId="33" fillId="26" borderId="2" xfId="24" applyNumberFormat="1" applyFont="1" applyFill="1" applyBorder="1" applyAlignment="1">
      <alignment horizontal="center" vertical="center" wrapText="1"/>
    </xf>
    <xf numFmtId="0" fontId="33" fillId="0" borderId="18" xfId="78" applyFont="1" applyBorder="1" applyAlignment="1">
      <alignment horizontal="center" vertical="center"/>
    </xf>
    <xf numFmtId="0" fontId="33" fillId="26" borderId="2" xfId="78" applyFont="1" applyFill="1" applyBorder="1" applyAlignment="1">
      <alignment horizontal="center" vertical="center" wrapText="1"/>
    </xf>
    <xf numFmtId="0" fontId="38" fillId="27" borderId="2" xfId="78" applyFont="1" applyFill="1" applyBorder="1" applyAlignment="1">
      <alignment horizontal="center" vertical="center" wrapText="1"/>
    </xf>
    <xf numFmtId="0" fontId="33" fillId="26" borderId="11" xfId="78" applyFont="1" applyFill="1" applyBorder="1" applyAlignment="1">
      <alignment horizontal="center" vertical="center" wrapText="1"/>
    </xf>
    <xf numFmtId="0" fontId="33" fillId="26" borderId="12" xfId="78" applyFont="1" applyFill="1" applyBorder="1" applyAlignment="1">
      <alignment horizontal="center" vertical="center" wrapText="1"/>
    </xf>
    <xf numFmtId="0" fontId="33" fillId="26" borderId="13" xfId="78" applyFont="1" applyFill="1" applyBorder="1" applyAlignment="1">
      <alignment horizontal="center" vertical="center" wrapText="1"/>
    </xf>
    <xf numFmtId="3" fontId="33" fillId="26" borderId="2" xfId="78" applyNumberFormat="1" applyFont="1" applyFill="1" applyBorder="1" applyAlignment="1">
      <alignment horizontal="center" vertical="center" wrapText="1"/>
    </xf>
  </cellXfs>
  <cellStyles count="107">
    <cellStyle name="20% - Accent1 2" xfId="32" xr:uid="{00000000-0005-0000-0000-000000000000}"/>
    <cellStyle name="20% - Accent2 2" xfId="33" xr:uid="{00000000-0005-0000-0000-000001000000}"/>
    <cellStyle name="20% - Accent3 2" xfId="34" xr:uid="{00000000-0005-0000-0000-000002000000}"/>
    <cellStyle name="20% - Accent4 2" xfId="35" xr:uid="{00000000-0005-0000-0000-000003000000}"/>
    <cellStyle name="20% - Accent5 2" xfId="36" xr:uid="{00000000-0005-0000-0000-000004000000}"/>
    <cellStyle name="20% - Accent6 2" xfId="37" xr:uid="{00000000-0005-0000-0000-000005000000}"/>
    <cellStyle name="40% - Accent1 2" xfId="38" xr:uid="{00000000-0005-0000-0000-000006000000}"/>
    <cellStyle name="40% - Accent2 2" xfId="39" xr:uid="{00000000-0005-0000-0000-000007000000}"/>
    <cellStyle name="40% - Accent3 2" xfId="40" xr:uid="{00000000-0005-0000-0000-000008000000}"/>
    <cellStyle name="40% - Accent4 2" xfId="41" xr:uid="{00000000-0005-0000-0000-000009000000}"/>
    <cellStyle name="40% - Accent5 2" xfId="42" xr:uid="{00000000-0005-0000-0000-00000A000000}"/>
    <cellStyle name="40% - Accent6 2" xfId="43" xr:uid="{00000000-0005-0000-0000-00000B000000}"/>
    <cellStyle name="60% - Accent1 2" xfId="44" xr:uid="{00000000-0005-0000-0000-00000C000000}"/>
    <cellStyle name="60% - Accent2 2" xfId="45" xr:uid="{00000000-0005-0000-0000-00000D000000}"/>
    <cellStyle name="60% - Accent3 2" xfId="46" xr:uid="{00000000-0005-0000-0000-00000E000000}"/>
    <cellStyle name="60% - Accent4 2" xfId="47" xr:uid="{00000000-0005-0000-0000-00000F000000}"/>
    <cellStyle name="60% - Accent5 2" xfId="48" xr:uid="{00000000-0005-0000-0000-000010000000}"/>
    <cellStyle name="60% - Accent6 2" xfId="49" xr:uid="{00000000-0005-0000-0000-000011000000}"/>
    <cellStyle name="Accent1 2" xfId="50" xr:uid="{00000000-0005-0000-0000-000012000000}"/>
    <cellStyle name="Accent2 2" xfId="51" xr:uid="{00000000-0005-0000-0000-000013000000}"/>
    <cellStyle name="Accent3 2" xfId="52" xr:uid="{00000000-0005-0000-0000-000014000000}"/>
    <cellStyle name="Accent4 2" xfId="53" xr:uid="{00000000-0005-0000-0000-000015000000}"/>
    <cellStyle name="Accent5 2" xfId="54" xr:uid="{00000000-0005-0000-0000-000016000000}"/>
    <cellStyle name="Accent6 2" xfId="55" xr:uid="{00000000-0005-0000-0000-000017000000}"/>
    <cellStyle name="Bad 2" xfId="56" xr:uid="{00000000-0005-0000-0000-000018000000}"/>
    <cellStyle name="Calculation 2" xfId="57" xr:uid="{00000000-0005-0000-0000-000019000000}"/>
    <cellStyle name="Check Cell 2" xfId="58" xr:uid="{00000000-0005-0000-0000-00001A000000}"/>
    <cellStyle name="Comma 2" xfId="2" xr:uid="{00000000-0005-0000-0000-00001B000000}"/>
    <cellStyle name="Comma 2 2" xfId="29" xr:uid="{00000000-0005-0000-0000-00001C000000}"/>
    <cellStyle name="Comma 2 2 2" xfId="61" xr:uid="{00000000-0005-0000-0000-00001D000000}"/>
    <cellStyle name="Comma 2 3" xfId="62" xr:uid="{00000000-0005-0000-0000-00001E000000}"/>
    <cellStyle name="Comma 2 3 2" xfId="101" xr:uid="{00000000-0005-0000-0000-00001F000000}"/>
    <cellStyle name="Comma 2 4" xfId="60" xr:uid="{00000000-0005-0000-0000-000020000000}"/>
    <cellStyle name="Comma 2 4 2" xfId="100" xr:uid="{00000000-0005-0000-0000-000021000000}"/>
    <cellStyle name="Comma 3" xfId="25" xr:uid="{00000000-0005-0000-0000-000022000000}"/>
    <cellStyle name="Comma 3 2" xfId="63" xr:uid="{00000000-0005-0000-0000-000023000000}"/>
    <cellStyle name="Comma 4" xfId="64" xr:uid="{00000000-0005-0000-0000-000024000000}"/>
    <cellStyle name="Comma 4 2" xfId="102" xr:uid="{00000000-0005-0000-0000-000025000000}"/>
    <cellStyle name="Comma 5" xfId="59" xr:uid="{00000000-0005-0000-0000-000026000000}"/>
    <cellStyle name="Comma 5 2" xfId="99" xr:uid="{00000000-0005-0000-0000-000027000000}"/>
    <cellStyle name="Explanatory Text 2" xfId="65" xr:uid="{00000000-0005-0000-0000-000028000000}"/>
    <cellStyle name="Good 2" xfId="66" xr:uid="{00000000-0005-0000-0000-000029000000}"/>
    <cellStyle name="Heading 1 2" xfId="67" xr:uid="{00000000-0005-0000-0000-00002A000000}"/>
    <cellStyle name="Heading 2 2" xfId="68" xr:uid="{00000000-0005-0000-0000-00002B000000}"/>
    <cellStyle name="Heading 3 2" xfId="69" xr:uid="{00000000-0005-0000-0000-00002C000000}"/>
    <cellStyle name="Heading 4 2" xfId="70" xr:uid="{00000000-0005-0000-0000-00002D000000}"/>
    <cellStyle name="Input 2" xfId="71" xr:uid="{00000000-0005-0000-0000-00002E000000}"/>
    <cellStyle name="Linked Cell 2" xfId="72" xr:uid="{00000000-0005-0000-0000-00002F000000}"/>
    <cellStyle name="Neutral 2" xfId="73" xr:uid="{00000000-0005-0000-0000-000030000000}"/>
    <cellStyle name="Normal" xfId="0" builtinId="0"/>
    <cellStyle name="Normal 10" xfId="3" xr:uid="{00000000-0005-0000-0000-000032000000}"/>
    <cellStyle name="Normal 11" xfId="4" xr:uid="{00000000-0005-0000-0000-000033000000}"/>
    <cellStyle name="Normal 2" xfId="5" xr:uid="{00000000-0005-0000-0000-000034000000}"/>
    <cellStyle name="Normal 2 2" xfId="6" xr:uid="{00000000-0005-0000-0000-000035000000}"/>
    <cellStyle name="Normal 2 2 7" xfId="13" xr:uid="{00000000-0005-0000-0000-000036000000}"/>
    <cellStyle name="Normal 2 3" xfId="7" xr:uid="{00000000-0005-0000-0000-000037000000}"/>
    <cellStyle name="Normal 2 4" xfId="20" xr:uid="{00000000-0005-0000-0000-000038000000}"/>
    <cellStyle name="Normal 2 4 2" xfId="92" xr:uid="{00000000-0005-0000-0000-000039000000}"/>
    <cellStyle name="Normal 2 5" xfId="15" xr:uid="{00000000-0005-0000-0000-00003A000000}"/>
    <cellStyle name="Normal 2 5 2" xfId="87" xr:uid="{00000000-0005-0000-0000-00003B000000}"/>
    <cellStyle name="Normal 2 6" xfId="82" xr:uid="{00000000-0005-0000-0000-00003C000000}"/>
    <cellStyle name="Normal 3" xfId="8" xr:uid="{00000000-0005-0000-0000-00003D000000}"/>
    <cellStyle name="Normal 3 2" xfId="1" xr:uid="{00000000-0005-0000-0000-00003E000000}"/>
    <cellStyle name="Normal 3 2 2" xfId="19" xr:uid="{00000000-0005-0000-0000-00003F000000}"/>
    <cellStyle name="Normal 3 2 2 2" xfId="91" xr:uid="{00000000-0005-0000-0000-000040000000}"/>
    <cellStyle name="Normal 3 2 3" xfId="14" xr:uid="{00000000-0005-0000-0000-000041000000}"/>
    <cellStyle name="Normal 3 2 3 2" xfId="86" xr:uid="{00000000-0005-0000-0000-000042000000}"/>
    <cellStyle name="Normal 3 2 4" xfId="79" xr:uid="{00000000-0005-0000-0000-000043000000}"/>
    <cellStyle name="Normal 3 2 4 2" xfId="103" xr:uid="{00000000-0005-0000-0000-000044000000}"/>
    <cellStyle name="Normal 3 2 5" xfId="81" xr:uid="{00000000-0005-0000-0000-000045000000}"/>
    <cellStyle name="Normal 3 3" xfId="21" xr:uid="{00000000-0005-0000-0000-000046000000}"/>
    <cellStyle name="Normal 3 3 2" xfId="93" xr:uid="{00000000-0005-0000-0000-000047000000}"/>
    <cellStyle name="Normal 3 4" xfId="16" xr:uid="{00000000-0005-0000-0000-000048000000}"/>
    <cellStyle name="Normal 3 4 2" xfId="88" xr:uid="{00000000-0005-0000-0000-000049000000}"/>
    <cellStyle name="Normal 3 5" xfId="83" xr:uid="{00000000-0005-0000-0000-00004A000000}"/>
    <cellStyle name="Normal 4" xfId="9" xr:uid="{00000000-0005-0000-0000-00004B000000}"/>
    <cellStyle name="Normal 4 2" xfId="22" xr:uid="{00000000-0005-0000-0000-00004C000000}"/>
    <cellStyle name="Normal 4 2 2" xfId="94" xr:uid="{00000000-0005-0000-0000-00004D000000}"/>
    <cellStyle name="Normal 4 3" xfId="17" xr:uid="{00000000-0005-0000-0000-00004E000000}"/>
    <cellStyle name="Normal 4 3 2" xfId="89" xr:uid="{00000000-0005-0000-0000-00004F000000}"/>
    <cellStyle name="Normal 4 4" xfId="84" xr:uid="{00000000-0005-0000-0000-000050000000}"/>
    <cellStyle name="Normal 5" xfId="10" xr:uid="{00000000-0005-0000-0000-000051000000}"/>
    <cellStyle name="Normal 5 2" xfId="23" xr:uid="{00000000-0005-0000-0000-000052000000}"/>
    <cellStyle name="Normal 5 2 2" xfId="95" xr:uid="{00000000-0005-0000-0000-000053000000}"/>
    <cellStyle name="Normal 5 3" xfId="18" xr:uid="{00000000-0005-0000-0000-000054000000}"/>
    <cellStyle name="Normal 5 3 2" xfId="90" xr:uid="{00000000-0005-0000-0000-000055000000}"/>
    <cellStyle name="Normal 5 4" xfId="85" xr:uid="{00000000-0005-0000-0000-000056000000}"/>
    <cellStyle name="Normal 6" xfId="24" xr:uid="{00000000-0005-0000-0000-000057000000}"/>
    <cellStyle name="Normal 6 2" xfId="78" xr:uid="{00000000-0005-0000-0000-000058000000}"/>
    <cellStyle name="Normal 7" xfId="27" xr:uid="{00000000-0005-0000-0000-000059000000}"/>
    <cellStyle name="Normal 7 2" xfId="80" xr:uid="{00000000-0005-0000-0000-00005A000000}"/>
    <cellStyle name="Normal 7 2 2" xfId="104" xr:uid="{00000000-0005-0000-0000-00005B000000}"/>
    <cellStyle name="Normal 7 3" xfId="96" xr:uid="{00000000-0005-0000-0000-00005C000000}"/>
    <cellStyle name="Normal 7 4" xfId="106" xr:uid="{00000000-0005-0000-0000-00005D000000}"/>
    <cellStyle name="Normal 8" xfId="28" xr:uid="{00000000-0005-0000-0000-00005E000000}"/>
    <cellStyle name="Normal 8 2" xfId="97" xr:uid="{00000000-0005-0000-0000-00005F000000}"/>
    <cellStyle name="Normal 9" xfId="31" xr:uid="{00000000-0005-0000-0000-000060000000}"/>
    <cellStyle name="Normal 9 2" xfId="98" xr:uid="{00000000-0005-0000-0000-000061000000}"/>
    <cellStyle name="Normal_Sheet1" xfId="30" xr:uid="{00000000-0005-0000-0000-000062000000}"/>
    <cellStyle name="Normal_Sheet2" xfId="26" xr:uid="{00000000-0005-0000-0000-000063000000}"/>
    <cellStyle name="Normal_Sheet3" xfId="105" xr:uid="{00000000-0005-0000-0000-000064000000}"/>
    <cellStyle name="Note 2" xfId="11" xr:uid="{00000000-0005-0000-0000-000065000000}"/>
    <cellStyle name="Note 3" xfId="12" xr:uid="{00000000-0005-0000-0000-000066000000}"/>
    <cellStyle name="Output 2" xfId="74" xr:uid="{00000000-0005-0000-0000-000067000000}"/>
    <cellStyle name="Title 2" xfId="75" xr:uid="{00000000-0005-0000-0000-000068000000}"/>
    <cellStyle name="Total 2" xfId="76" xr:uid="{00000000-0005-0000-0000-000069000000}"/>
    <cellStyle name="Warning Text 2" xfId="77" xr:uid="{00000000-0005-0000-0000-00006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1847850</xdr:colOff>
      <xdr:row>151</xdr:row>
      <xdr:rowOff>0</xdr:rowOff>
    </xdr:from>
    <xdr:to>
      <xdr:col>1</xdr:col>
      <xdr:colOff>1847850</xdr:colOff>
      <xdr:row>151</xdr:row>
      <xdr:rowOff>0</xdr:rowOff>
    </xdr:to>
    <xdr:sp macro="" textlink="">
      <xdr:nvSpPr>
        <xdr:cNvPr id="2" name="Line 58">
          <a:extLst>
            <a:ext uri="{FF2B5EF4-FFF2-40B4-BE49-F238E27FC236}">
              <a16:creationId xmlns:a16="http://schemas.microsoft.com/office/drawing/2014/main" id="{00000000-0008-0000-0100-000002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3" name="Line 59">
          <a:extLst>
            <a:ext uri="{FF2B5EF4-FFF2-40B4-BE49-F238E27FC236}">
              <a16:creationId xmlns:a16="http://schemas.microsoft.com/office/drawing/2014/main" id="{00000000-0008-0000-0100-000003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4" name="Line 60">
          <a:extLst>
            <a:ext uri="{FF2B5EF4-FFF2-40B4-BE49-F238E27FC236}">
              <a16:creationId xmlns:a16="http://schemas.microsoft.com/office/drawing/2014/main" id="{00000000-0008-0000-0100-000004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5" name="Line 61">
          <a:extLst>
            <a:ext uri="{FF2B5EF4-FFF2-40B4-BE49-F238E27FC236}">
              <a16:creationId xmlns:a16="http://schemas.microsoft.com/office/drawing/2014/main" id="{00000000-0008-0000-0100-000005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6" name="Line 58">
          <a:extLst>
            <a:ext uri="{FF2B5EF4-FFF2-40B4-BE49-F238E27FC236}">
              <a16:creationId xmlns:a16="http://schemas.microsoft.com/office/drawing/2014/main" id="{00000000-0008-0000-0100-000006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7" name="Line 59">
          <a:extLst>
            <a:ext uri="{FF2B5EF4-FFF2-40B4-BE49-F238E27FC236}">
              <a16:creationId xmlns:a16="http://schemas.microsoft.com/office/drawing/2014/main" id="{00000000-0008-0000-0100-000007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8" name="Line 60">
          <a:extLst>
            <a:ext uri="{FF2B5EF4-FFF2-40B4-BE49-F238E27FC236}">
              <a16:creationId xmlns:a16="http://schemas.microsoft.com/office/drawing/2014/main" id="{00000000-0008-0000-0100-000008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9" name="Line 61">
          <a:extLst>
            <a:ext uri="{FF2B5EF4-FFF2-40B4-BE49-F238E27FC236}">
              <a16:creationId xmlns:a16="http://schemas.microsoft.com/office/drawing/2014/main" id="{00000000-0008-0000-0100-000009000000}"/>
            </a:ext>
          </a:extLst>
        </xdr:cNvPr>
        <xdr:cNvSpPr>
          <a:spLocks noChangeShapeType="1"/>
        </xdr:cNvSpPr>
      </xdr:nvSpPr>
      <xdr:spPr bwMode="auto">
        <a:xfrm>
          <a:off x="4362450" y="239268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0" name="Line 58">
          <a:extLst>
            <a:ext uri="{FF2B5EF4-FFF2-40B4-BE49-F238E27FC236}">
              <a16:creationId xmlns:a16="http://schemas.microsoft.com/office/drawing/2014/main" id="{00000000-0008-0000-0100-00000A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1" name="Line 59">
          <a:extLst>
            <a:ext uri="{FF2B5EF4-FFF2-40B4-BE49-F238E27FC236}">
              <a16:creationId xmlns:a16="http://schemas.microsoft.com/office/drawing/2014/main" id="{00000000-0008-0000-0100-00000B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2" name="Line 60">
          <a:extLst>
            <a:ext uri="{FF2B5EF4-FFF2-40B4-BE49-F238E27FC236}">
              <a16:creationId xmlns:a16="http://schemas.microsoft.com/office/drawing/2014/main" id="{00000000-0008-0000-0100-00000C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3" name="Line 61">
          <a:extLst>
            <a:ext uri="{FF2B5EF4-FFF2-40B4-BE49-F238E27FC236}">
              <a16:creationId xmlns:a16="http://schemas.microsoft.com/office/drawing/2014/main" id="{00000000-0008-0000-0100-00000D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4" name="Line 58">
          <a:extLst>
            <a:ext uri="{FF2B5EF4-FFF2-40B4-BE49-F238E27FC236}">
              <a16:creationId xmlns:a16="http://schemas.microsoft.com/office/drawing/2014/main" id="{00000000-0008-0000-0100-00000E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5" name="Line 59">
          <a:extLst>
            <a:ext uri="{FF2B5EF4-FFF2-40B4-BE49-F238E27FC236}">
              <a16:creationId xmlns:a16="http://schemas.microsoft.com/office/drawing/2014/main" id="{00000000-0008-0000-0100-00000F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6" name="Line 60">
          <a:extLst>
            <a:ext uri="{FF2B5EF4-FFF2-40B4-BE49-F238E27FC236}">
              <a16:creationId xmlns:a16="http://schemas.microsoft.com/office/drawing/2014/main" id="{00000000-0008-0000-0100-000010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7" name="Line 61">
          <a:extLst>
            <a:ext uri="{FF2B5EF4-FFF2-40B4-BE49-F238E27FC236}">
              <a16:creationId xmlns:a16="http://schemas.microsoft.com/office/drawing/2014/main" id="{00000000-0008-0000-0100-000011000000}"/>
            </a:ext>
          </a:extLst>
        </xdr:cNvPr>
        <xdr:cNvSpPr>
          <a:spLocks noChangeShapeType="1"/>
        </xdr:cNvSpPr>
      </xdr:nvSpPr>
      <xdr:spPr bwMode="auto">
        <a:xfrm>
          <a:off x="4362450" y="25593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8" name="Line 58">
          <a:extLst>
            <a:ext uri="{FF2B5EF4-FFF2-40B4-BE49-F238E27FC236}">
              <a16:creationId xmlns:a16="http://schemas.microsoft.com/office/drawing/2014/main" id="{00000000-0008-0000-0100-000012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9" name="Line 59">
          <a:extLst>
            <a:ext uri="{FF2B5EF4-FFF2-40B4-BE49-F238E27FC236}">
              <a16:creationId xmlns:a16="http://schemas.microsoft.com/office/drawing/2014/main" id="{00000000-0008-0000-0100-000013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0" name="Line 60">
          <a:extLst>
            <a:ext uri="{FF2B5EF4-FFF2-40B4-BE49-F238E27FC236}">
              <a16:creationId xmlns:a16="http://schemas.microsoft.com/office/drawing/2014/main" id="{00000000-0008-0000-0100-000014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1" name="Line 61">
          <a:extLst>
            <a:ext uri="{FF2B5EF4-FFF2-40B4-BE49-F238E27FC236}">
              <a16:creationId xmlns:a16="http://schemas.microsoft.com/office/drawing/2014/main" id="{00000000-0008-0000-0100-000015000000}"/>
            </a:ext>
          </a:extLst>
        </xdr:cNvPr>
        <xdr:cNvSpPr>
          <a:spLocks noChangeShapeType="1"/>
        </xdr:cNvSpPr>
      </xdr:nvSpPr>
      <xdr:spPr bwMode="auto">
        <a:xfrm>
          <a:off x="4362450" y="26355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2" name="Line 58">
          <a:extLst>
            <a:ext uri="{FF2B5EF4-FFF2-40B4-BE49-F238E27FC236}">
              <a16:creationId xmlns:a16="http://schemas.microsoft.com/office/drawing/2014/main" id="{00000000-0008-0000-0100-000016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3" name="Line 59">
          <a:extLst>
            <a:ext uri="{FF2B5EF4-FFF2-40B4-BE49-F238E27FC236}">
              <a16:creationId xmlns:a16="http://schemas.microsoft.com/office/drawing/2014/main" id="{00000000-0008-0000-0100-000017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4" name="Line 60">
          <a:extLst>
            <a:ext uri="{FF2B5EF4-FFF2-40B4-BE49-F238E27FC236}">
              <a16:creationId xmlns:a16="http://schemas.microsoft.com/office/drawing/2014/main" id="{00000000-0008-0000-0100-000018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5" name="Line 61">
          <a:extLst>
            <a:ext uri="{FF2B5EF4-FFF2-40B4-BE49-F238E27FC236}">
              <a16:creationId xmlns:a16="http://schemas.microsoft.com/office/drawing/2014/main" id="{00000000-0008-0000-0100-000019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6" name="Line 58">
          <a:extLst>
            <a:ext uri="{FF2B5EF4-FFF2-40B4-BE49-F238E27FC236}">
              <a16:creationId xmlns:a16="http://schemas.microsoft.com/office/drawing/2014/main" id="{00000000-0008-0000-0100-00001A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7" name="Line 59">
          <a:extLst>
            <a:ext uri="{FF2B5EF4-FFF2-40B4-BE49-F238E27FC236}">
              <a16:creationId xmlns:a16="http://schemas.microsoft.com/office/drawing/2014/main" id="{00000000-0008-0000-0100-00001B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8" name="Line 60">
          <a:extLst>
            <a:ext uri="{FF2B5EF4-FFF2-40B4-BE49-F238E27FC236}">
              <a16:creationId xmlns:a16="http://schemas.microsoft.com/office/drawing/2014/main" id="{00000000-0008-0000-0100-00001C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9" name="Line 61">
          <a:extLst>
            <a:ext uri="{FF2B5EF4-FFF2-40B4-BE49-F238E27FC236}">
              <a16:creationId xmlns:a16="http://schemas.microsoft.com/office/drawing/2014/main" id="{00000000-0008-0000-0100-00001D000000}"/>
            </a:ext>
          </a:extLst>
        </xdr:cNvPr>
        <xdr:cNvSpPr>
          <a:spLocks noChangeShapeType="1"/>
        </xdr:cNvSpPr>
      </xdr:nvSpPr>
      <xdr:spPr bwMode="auto">
        <a:xfrm>
          <a:off x="4362450" y="27117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0" name="Line 58">
          <a:extLst>
            <a:ext uri="{FF2B5EF4-FFF2-40B4-BE49-F238E27FC236}">
              <a16:creationId xmlns:a16="http://schemas.microsoft.com/office/drawing/2014/main" id="{00000000-0008-0000-0100-00001E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1" name="Line 59">
          <a:extLst>
            <a:ext uri="{FF2B5EF4-FFF2-40B4-BE49-F238E27FC236}">
              <a16:creationId xmlns:a16="http://schemas.microsoft.com/office/drawing/2014/main" id="{00000000-0008-0000-0100-00001F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2" name="Line 60">
          <a:extLst>
            <a:ext uri="{FF2B5EF4-FFF2-40B4-BE49-F238E27FC236}">
              <a16:creationId xmlns:a16="http://schemas.microsoft.com/office/drawing/2014/main" id="{00000000-0008-0000-0100-000020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3" name="Line 61">
          <a:extLst>
            <a:ext uri="{FF2B5EF4-FFF2-40B4-BE49-F238E27FC236}">
              <a16:creationId xmlns:a16="http://schemas.microsoft.com/office/drawing/2014/main" id="{00000000-0008-0000-0100-000021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4" name="Line 58">
          <a:extLst>
            <a:ext uri="{FF2B5EF4-FFF2-40B4-BE49-F238E27FC236}">
              <a16:creationId xmlns:a16="http://schemas.microsoft.com/office/drawing/2014/main" id="{00000000-0008-0000-0100-000022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5" name="Line 59">
          <a:extLst>
            <a:ext uri="{FF2B5EF4-FFF2-40B4-BE49-F238E27FC236}">
              <a16:creationId xmlns:a16="http://schemas.microsoft.com/office/drawing/2014/main" id="{00000000-0008-0000-0100-000023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6" name="Line 60">
          <a:extLst>
            <a:ext uri="{FF2B5EF4-FFF2-40B4-BE49-F238E27FC236}">
              <a16:creationId xmlns:a16="http://schemas.microsoft.com/office/drawing/2014/main" id="{00000000-0008-0000-0100-000024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7" name="Line 61">
          <a:extLst>
            <a:ext uri="{FF2B5EF4-FFF2-40B4-BE49-F238E27FC236}">
              <a16:creationId xmlns:a16="http://schemas.microsoft.com/office/drawing/2014/main" id="{00000000-0008-0000-0100-000025000000}"/>
            </a:ext>
          </a:extLst>
        </xdr:cNvPr>
        <xdr:cNvSpPr>
          <a:spLocks noChangeShapeType="1"/>
        </xdr:cNvSpPr>
      </xdr:nvSpPr>
      <xdr:spPr bwMode="auto">
        <a:xfrm>
          <a:off x="4362450" y="29022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8" name="Line 12">
          <a:extLst>
            <a:ext uri="{FF2B5EF4-FFF2-40B4-BE49-F238E27FC236}">
              <a16:creationId xmlns:a16="http://schemas.microsoft.com/office/drawing/2014/main" id="{00000000-0008-0000-0100-000026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9" name="Line 13">
          <a:extLst>
            <a:ext uri="{FF2B5EF4-FFF2-40B4-BE49-F238E27FC236}">
              <a16:creationId xmlns:a16="http://schemas.microsoft.com/office/drawing/2014/main" id="{00000000-0008-0000-0100-000027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0" name="Line 14">
          <a:extLst>
            <a:ext uri="{FF2B5EF4-FFF2-40B4-BE49-F238E27FC236}">
              <a16:creationId xmlns:a16="http://schemas.microsoft.com/office/drawing/2014/main" id="{00000000-0008-0000-0100-000028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1" name="Line 15">
          <a:extLst>
            <a:ext uri="{FF2B5EF4-FFF2-40B4-BE49-F238E27FC236}">
              <a16:creationId xmlns:a16="http://schemas.microsoft.com/office/drawing/2014/main" id="{00000000-0008-0000-0100-000029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2" name="Line 51">
          <a:extLst>
            <a:ext uri="{FF2B5EF4-FFF2-40B4-BE49-F238E27FC236}">
              <a16:creationId xmlns:a16="http://schemas.microsoft.com/office/drawing/2014/main" id="{00000000-0008-0000-0100-00002A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3" name="Line 52">
          <a:extLst>
            <a:ext uri="{FF2B5EF4-FFF2-40B4-BE49-F238E27FC236}">
              <a16:creationId xmlns:a16="http://schemas.microsoft.com/office/drawing/2014/main" id="{00000000-0008-0000-0100-00002B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4" name="Line 53">
          <a:extLst>
            <a:ext uri="{FF2B5EF4-FFF2-40B4-BE49-F238E27FC236}">
              <a16:creationId xmlns:a16="http://schemas.microsoft.com/office/drawing/2014/main" id="{00000000-0008-0000-0100-00002C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5" name="Line 54">
          <a:extLst>
            <a:ext uri="{FF2B5EF4-FFF2-40B4-BE49-F238E27FC236}">
              <a16:creationId xmlns:a16="http://schemas.microsoft.com/office/drawing/2014/main" id="{00000000-0008-0000-0100-00002D000000}"/>
            </a:ext>
          </a:extLst>
        </xdr:cNvPr>
        <xdr:cNvSpPr>
          <a:spLocks noChangeShapeType="1"/>
        </xdr:cNvSpPr>
      </xdr:nvSpPr>
      <xdr:spPr bwMode="auto">
        <a:xfrm>
          <a:off x="4362450" y="29984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2" name="Line 58">
          <a:extLst>
            <a:ext uri="{FF2B5EF4-FFF2-40B4-BE49-F238E27FC236}">
              <a16:creationId xmlns:a16="http://schemas.microsoft.com/office/drawing/2014/main" id="{00000000-0008-0000-0100-00003E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3" name="Line 59">
          <a:extLst>
            <a:ext uri="{FF2B5EF4-FFF2-40B4-BE49-F238E27FC236}">
              <a16:creationId xmlns:a16="http://schemas.microsoft.com/office/drawing/2014/main" id="{00000000-0008-0000-0100-00003F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4" name="Line 60">
          <a:extLst>
            <a:ext uri="{FF2B5EF4-FFF2-40B4-BE49-F238E27FC236}">
              <a16:creationId xmlns:a16="http://schemas.microsoft.com/office/drawing/2014/main" id="{00000000-0008-0000-0100-000040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65" name="Line 61">
          <a:extLst>
            <a:ext uri="{FF2B5EF4-FFF2-40B4-BE49-F238E27FC236}">
              <a16:creationId xmlns:a16="http://schemas.microsoft.com/office/drawing/2014/main" id="{00000000-0008-0000-0100-000041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6" name="Line 58">
          <a:extLst>
            <a:ext uri="{FF2B5EF4-FFF2-40B4-BE49-F238E27FC236}">
              <a16:creationId xmlns:a16="http://schemas.microsoft.com/office/drawing/2014/main" id="{00000000-0008-0000-0100-000042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7" name="Line 59">
          <a:extLst>
            <a:ext uri="{FF2B5EF4-FFF2-40B4-BE49-F238E27FC236}">
              <a16:creationId xmlns:a16="http://schemas.microsoft.com/office/drawing/2014/main" id="{00000000-0008-0000-0100-000043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8" name="Line 60">
          <a:extLst>
            <a:ext uri="{FF2B5EF4-FFF2-40B4-BE49-F238E27FC236}">
              <a16:creationId xmlns:a16="http://schemas.microsoft.com/office/drawing/2014/main" id="{00000000-0008-0000-0100-000044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9" name="Line 61">
          <a:extLst>
            <a:ext uri="{FF2B5EF4-FFF2-40B4-BE49-F238E27FC236}">
              <a16:creationId xmlns:a16="http://schemas.microsoft.com/office/drawing/2014/main" id="{00000000-0008-0000-0100-000045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0" name="Line 58">
          <a:extLst>
            <a:ext uri="{FF2B5EF4-FFF2-40B4-BE49-F238E27FC236}">
              <a16:creationId xmlns:a16="http://schemas.microsoft.com/office/drawing/2014/main" id="{00000000-0008-0000-0100-000046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1" name="Line 59">
          <a:extLst>
            <a:ext uri="{FF2B5EF4-FFF2-40B4-BE49-F238E27FC236}">
              <a16:creationId xmlns:a16="http://schemas.microsoft.com/office/drawing/2014/main" id="{00000000-0008-0000-0100-000047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2" name="Line 60">
          <a:extLst>
            <a:ext uri="{FF2B5EF4-FFF2-40B4-BE49-F238E27FC236}">
              <a16:creationId xmlns:a16="http://schemas.microsoft.com/office/drawing/2014/main" id="{00000000-0008-0000-0100-000048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73" name="Line 61">
          <a:extLst>
            <a:ext uri="{FF2B5EF4-FFF2-40B4-BE49-F238E27FC236}">
              <a16:creationId xmlns:a16="http://schemas.microsoft.com/office/drawing/2014/main" id="{00000000-0008-0000-0100-000049000000}"/>
            </a:ext>
          </a:extLst>
        </xdr:cNvPr>
        <xdr:cNvSpPr>
          <a:spLocks noChangeShapeType="1"/>
        </xdr:cNvSpPr>
      </xdr:nvSpPr>
      <xdr:spPr bwMode="auto">
        <a:xfrm>
          <a:off x="4362450" y="32099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4" name="Line 58">
          <a:extLst>
            <a:ext uri="{FF2B5EF4-FFF2-40B4-BE49-F238E27FC236}">
              <a16:creationId xmlns:a16="http://schemas.microsoft.com/office/drawing/2014/main" id="{00000000-0008-0000-0100-00004A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5" name="Line 59">
          <a:extLst>
            <a:ext uri="{FF2B5EF4-FFF2-40B4-BE49-F238E27FC236}">
              <a16:creationId xmlns:a16="http://schemas.microsoft.com/office/drawing/2014/main" id="{00000000-0008-0000-0100-00004B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6" name="Line 60">
          <a:extLst>
            <a:ext uri="{FF2B5EF4-FFF2-40B4-BE49-F238E27FC236}">
              <a16:creationId xmlns:a16="http://schemas.microsoft.com/office/drawing/2014/main" id="{00000000-0008-0000-0100-00004C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77" name="Line 61">
          <a:extLst>
            <a:ext uri="{FF2B5EF4-FFF2-40B4-BE49-F238E27FC236}">
              <a16:creationId xmlns:a16="http://schemas.microsoft.com/office/drawing/2014/main" id="{00000000-0008-0000-0100-00004D000000}"/>
            </a:ext>
          </a:extLst>
        </xdr:cNvPr>
        <xdr:cNvSpPr>
          <a:spLocks noChangeShapeType="1"/>
        </xdr:cNvSpPr>
      </xdr:nvSpPr>
      <xdr:spPr bwMode="auto">
        <a:xfrm>
          <a:off x="4362450" y="317182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8" name="Line 58">
          <a:extLst>
            <a:ext uri="{FF2B5EF4-FFF2-40B4-BE49-F238E27FC236}">
              <a16:creationId xmlns:a16="http://schemas.microsoft.com/office/drawing/2014/main" id="{00000000-0008-0000-0100-00004E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9" name="Line 59">
          <a:extLst>
            <a:ext uri="{FF2B5EF4-FFF2-40B4-BE49-F238E27FC236}">
              <a16:creationId xmlns:a16="http://schemas.microsoft.com/office/drawing/2014/main" id="{00000000-0008-0000-0100-00004F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80" name="Line 60">
          <a:extLst>
            <a:ext uri="{FF2B5EF4-FFF2-40B4-BE49-F238E27FC236}">
              <a16:creationId xmlns:a16="http://schemas.microsoft.com/office/drawing/2014/main" id="{00000000-0008-0000-0100-000050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81" name="Line 61">
          <a:extLst>
            <a:ext uri="{FF2B5EF4-FFF2-40B4-BE49-F238E27FC236}">
              <a16:creationId xmlns:a16="http://schemas.microsoft.com/office/drawing/2014/main" id="{00000000-0008-0000-0100-000051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2" name="Line 58">
          <a:extLst>
            <a:ext uri="{FF2B5EF4-FFF2-40B4-BE49-F238E27FC236}">
              <a16:creationId xmlns:a16="http://schemas.microsoft.com/office/drawing/2014/main" id="{00000000-0008-0000-0100-000052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3" name="Line 59">
          <a:extLst>
            <a:ext uri="{FF2B5EF4-FFF2-40B4-BE49-F238E27FC236}">
              <a16:creationId xmlns:a16="http://schemas.microsoft.com/office/drawing/2014/main" id="{00000000-0008-0000-0100-000053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4" name="Line 60">
          <a:extLst>
            <a:ext uri="{FF2B5EF4-FFF2-40B4-BE49-F238E27FC236}">
              <a16:creationId xmlns:a16="http://schemas.microsoft.com/office/drawing/2014/main" id="{00000000-0008-0000-0100-000054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5" name="Line 61">
          <a:extLst>
            <a:ext uri="{FF2B5EF4-FFF2-40B4-BE49-F238E27FC236}">
              <a16:creationId xmlns:a16="http://schemas.microsoft.com/office/drawing/2014/main" id="{00000000-0008-0000-0100-000055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6" name="Line 58">
          <a:extLst>
            <a:ext uri="{FF2B5EF4-FFF2-40B4-BE49-F238E27FC236}">
              <a16:creationId xmlns:a16="http://schemas.microsoft.com/office/drawing/2014/main" id="{00000000-0008-0000-0100-000056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7" name="Line 59">
          <a:extLst>
            <a:ext uri="{FF2B5EF4-FFF2-40B4-BE49-F238E27FC236}">
              <a16:creationId xmlns:a16="http://schemas.microsoft.com/office/drawing/2014/main" id="{00000000-0008-0000-0100-000057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8" name="Line 60">
          <a:extLst>
            <a:ext uri="{FF2B5EF4-FFF2-40B4-BE49-F238E27FC236}">
              <a16:creationId xmlns:a16="http://schemas.microsoft.com/office/drawing/2014/main" id="{00000000-0008-0000-0100-000058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89" name="Line 61">
          <a:extLst>
            <a:ext uri="{FF2B5EF4-FFF2-40B4-BE49-F238E27FC236}">
              <a16:creationId xmlns:a16="http://schemas.microsoft.com/office/drawing/2014/main" id="{00000000-0008-0000-0100-000059000000}"/>
            </a:ext>
          </a:extLst>
        </xdr:cNvPr>
        <xdr:cNvSpPr>
          <a:spLocks noChangeShapeType="1"/>
        </xdr:cNvSpPr>
      </xdr:nvSpPr>
      <xdr:spPr bwMode="auto">
        <a:xfrm>
          <a:off x="4362450" y="35823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0" name="Line 58">
          <a:extLst>
            <a:ext uri="{FF2B5EF4-FFF2-40B4-BE49-F238E27FC236}">
              <a16:creationId xmlns:a16="http://schemas.microsoft.com/office/drawing/2014/main" id="{00000000-0008-0000-0100-00005A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1" name="Line 59">
          <a:extLst>
            <a:ext uri="{FF2B5EF4-FFF2-40B4-BE49-F238E27FC236}">
              <a16:creationId xmlns:a16="http://schemas.microsoft.com/office/drawing/2014/main" id="{00000000-0008-0000-0100-00005B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2" name="Line 60">
          <a:extLst>
            <a:ext uri="{FF2B5EF4-FFF2-40B4-BE49-F238E27FC236}">
              <a16:creationId xmlns:a16="http://schemas.microsoft.com/office/drawing/2014/main" id="{00000000-0008-0000-0100-00005C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93" name="Line 61">
          <a:extLst>
            <a:ext uri="{FF2B5EF4-FFF2-40B4-BE49-F238E27FC236}">
              <a16:creationId xmlns:a16="http://schemas.microsoft.com/office/drawing/2014/main" id="{00000000-0008-0000-0100-00005D000000}"/>
            </a:ext>
          </a:extLst>
        </xdr:cNvPr>
        <xdr:cNvSpPr>
          <a:spLocks noChangeShapeType="1"/>
        </xdr:cNvSpPr>
      </xdr:nvSpPr>
      <xdr:spPr bwMode="auto">
        <a:xfrm>
          <a:off x="4362450" y="37728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4" name="Line 58">
          <a:extLst>
            <a:ext uri="{FF2B5EF4-FFF2-40B4-BE49-F238E27FC236}">
              <a16:creationId xmlns:a16="http://schemas.microsoft.com/office/drawing/2014/main" id="{00000000-0008-0000-0100-00005E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5" name="Line 59">
          <a:extLst>
            <a:ext uri="{FF2B5EF4-FFF2-40B4-BE49-F238E27FC236}">
              <a16:creationId xmlns:a16="http://schemas.microsoft.com/office/drawing/2014/main" id="{00000000-0008-0000-0100-00005F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6" name="Line 60">
          <a:extLst>
            <a:ext uri="{FF2B5EF4-FFF2-40B4-BE49-F238E27FC236}">
              <a16:creationId xmlns:a16="http://schemas.microsoft.com/office/drawing/2014/main" id="{00000000-0008-0000-0100-000060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97" name="Line 61">
          <a:extLst>
            <a:ext uri="{FF2B5EF4-FFF2-40B4-BE49-F238E27FC236}">
              <a16:creationId xmlns:a16="http://schemas.microsoft.com/office/drawing/2014/main" id="{00000000-0008-0000-0100-000061000000}"/>
            </a:ext>
          </a:extLst>
        </xdr:cNvPr>
        <xdr:cNvSpPr>
          <a:spLocks noChangeShapeType="1"/>
        </xdr:cNvSpPr>
      </xdr:nvSpPr>
      <xdr:spPr bwMode="auto">
        <a:xfrm>
          <a:off x="4362450" y="365855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98" name="Line 58">
          <a:extLst>
            <a:ext uri="{FF2B5EF4-FFF2-40B4-BE49-F238E27FC236}">
              <a16:creationId xmlns:a16="http://schemas.microsoft.com/office/drawing/2014/main" id="{00000000-0008-0000-0100-000062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99" name="Line 59">
          <a:extLst>
            <a:ext uri="{FF2B5EF4-FFF2-40B4-BE49-F238E27FC236}">
              <a16:creationId xmlns:a16="http://schemas.microsoft.com/office/drawing/2014/main" id="{00000000-0008-0000-0100-000063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100" name="Line 60">
          <a:extLst>
            <a:ext uri="{FF2B5EF4-FFF2-40B4-BE49-F238E27FC236}">
              <a16:creationId xmlns:a16="http://schemas.microsoft.com/office/drawing/2014/main" id="{00000000-0008-0000-0100-000064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101" name="Line 61">
          <a:extLst>
            <a:ext uri="{FF2B5EF4-FFF2-40B4-BE49-F238E27FC236}">
              <a16:creationId xmlns:a16="http://schemas.microsoft.com/office/drawing/2014/main" id="{00000000-0008-0000-0100-000065000000}"/>
            </a:ext>
          </a:extLst>
        </xdr:cNvPr>
        <xdr:cNvSpPr>
          <a:spLocks noChangeShapeType="1"/>
        </xdr:cNvSpPr>
      </xdr:nvSpPr>
      <xdr:spPr bwMode="auto">
        <a:xfrm>
          <a:off x="2847975" y="96202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uhf\engineering\Documents%20and%20Settings\popovic\Local%20Settings\Temporary%20Internet%20Files\OLK11D\intermedi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N-4352%20-%20BOQ%20Civil%20Works%20-%20%20Khalifa%20Park,%20W2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123085\AppData\Local\Microsoft\Windows\Temporary%20Internet%20Files\Content.Outlook\Q30JSB4P\New%20folder\Section%20V%20-%20BOQ%20-S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90_H2"/>
      <sheetName val="E19"/>
      <sheetName val="E48"/>
      <sheetName val="R.E. Works"/>
      <sheetName val="Telecom."/>
      <sheetName val="Summary"/>
      <sheetName val="Eng. &amp; Transport"/>
      <sheetName val="E19 (Schreibgeschützt)"/>
      <sheetName val="E48 (schreibgeschützt)"/>
      <sheetName val="R.E. Wrks (schreibtgeschützt)"/>
      <sheetName val="Telecomm (screibgeschützt)"/>
      <sheetName val="Summary (schreibgeschützt)"/>
      <sheetName val="TeleC-35 (geschützt)"/>
      <sheetName val="TeleC-36 (geschützt)"/>
      <sheetName val="TeleC-37 (geschützt)"/>
      <sheetName val="TeleC-38 (geschützt)"/>
      <sheetName val="TeleC-38a (geschützt)"/>
      <sheetName val="Details-Smelter"/>
      <sheetName val="Data Sheet"/>
    </sheetNames>
    <sheetDataSet>
      <sheetData sheetId="0" refreshError="1">
        <row r="4">
          <cell r="G4">
            <v>0.26595744680851063</v>
          </cell>
        </row>
        <row r="35">
          <cell r="C35">
            <v>13184775.128</v>
          </cell>
        </row>
        <row r="42">
          <cell r="C42">
            <v>18952544.758977193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alifa Parkf"/>
      <sheetName val="W24f"/>
      <sheetName val="Kalk_90_H2"/>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CHEDULE 1"/>
      <sheetName val="APPENDIX 1"/>
      <sheetName val="APPENDIX 2"/>
      <sheetName val="APPENDIX 3"/>
      <sheetName val="APPENDIX 4"/>
      <sheetName val="APPENDIX 5"/>
      <sheetName val="APPENDIX 6"/>
      <sheetName val="Module1"/>
      <sheetName val="APPENDIX 7"/>
      <sheetName val="APPENDIX 8"/>
      <sheetName val="APPENDIX 9"/>
    </sheetNames>
    <sheetDataSet>
      <sheetData sheetId="0"/>
      <sheetData sheetId="1"/>
      <sheetData sheetId="2"/>
      <sheetData sheetId="3"/>
      <sheetData sheetId="4"/>
      <sheetData sheetId="5"/>
      <sheetData sheetId="6"/>
      <sheetData sheetId="7"/>
      <sheetData sheetId="8" refreshError="1"/>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8"/>
  <sheetViews>
    <sheetView view="pageBreakPreview" topLeftCell="A10" zoomScale="85" zoomScaleNormal="85" zoomScaleSheetLayoutView="85" workbookViewId="0">
      <selection activeCell="A16" sqref="A16:C16"/>
    </sheetView>
  </sheetViews>
  <sheetFormatPr defaultRowHeight="15.5" x14ac:dyDescent="0.35"/>
  <cols>
    <col min="1" max="1" width="10" style="136" customWidth="1"/>
    <col min="2" max="2" width="66.36328125" style="136" customWidth="1"/>
    <col min="3" max="5" width="26.08984375" style="136" customWidth="1"/>
    <col min="6" max="6" width="34.08984375" style="136" customWidth="1"/>
    <col min="7" max="7" width="12.90625" style="136" customWidth="1"/>
    <col min="8" max="8" width="5.453125" style="136" bestFit="1" customWidth="1"/>
    <col min="9" max="9" width="5.54296875" style="136" bestFit="1" customWidth="1"/>
    <col min="10" max="10" width="5.453125" style="136" bestFit="1" customWidth="1"/>
    <col min="11" max="11" width="5.54296875" style="136" bestFit="1" customWidth="1"/>
    <col min="12" max="12" width="5.453125" style="136" bestFit="1" customWidth="1"/>
    <col min="13" max="13" width="5.54296875" style="136" bestFit="1" customWidth="1"/>
    <col min="14" max="14" width="18.54296875" style="136" bestFit="1" customWidth="1"/>
    <col min="15" max="16" width="9.08984375" style="136"/>
    <col min="17" max="17" width="44.08984375" style="136" customWidth="1"/>
    <col min="18" max="255" width="9.08984375" style="136"/>
    <col min="256" max="256" width="3.90625" style="136" customWidth="1"/>
    <col min="257" max="257" width="0" style="136" hidden="1" customWidth="1"/>
    <col min="258" max="258" width="10" style="136" customWidth="1"/>
    <col min="259" max="259" width="49.36328125" style="136" customWidth="1"/>
    <col min="260" max="260" width="34.08984375" style="136" customWidth="1"/>
    <col min="261" max="261" width="49.36328125" style="136" customWidth="1"/>
    <col min="262" max="262" width="34.08984375" style="136" customWidth="1"/>
    <col min="263" max="263" width="12.90625" style="136" customWidth="1"/>
    <col min="264" max="264" width="5.453125" style="136" bestFit="1" customWidth="1"/>
    <col min="265" max="265" width="5.54296875" style="136" bestFit="1" customWidth="1"/>
    <col min="266" max="266" width="5.453125" style="136" bestFit="1" customWidth="1"/>
    <col min="267" max="267" width="5.54296875" style="136" bestFit="1" customWidth="1"/>
    <col min="268" max="268" width="5.453125" style="136" bestFit="1" customWidth="1"/>
    <col min="269" max="269" width="5.54296875" style="136" bestFit="1" customWidth="1"/>
    <col min="270" max="270" width="18.54296875" style="136" bestFit="1" customWidth="1"/>
    <col min="271" max="272" width="9.08984375" style="136"/>
    <col min="273" max="273" width="44.08984375" style="136" customWidth="1"/>
    <col min="274" max="511" width="9.08984375" style="136"/>
    <col min="512" max="512" width="3.90625" style="136" customWidth="1"/>
    <col min="513" max="513" width="0" style="136" hidden="1" customWidth="1"/>
    <col min="514" max="514" width="10" style="136" customWidth="1"/>
    <col min="515" max="515" width="49.36328125" style="136" customWidth="1"/>
    <col min="516" max="516" width="34.08984375" style="136" customWidth="1"/>
    <col min="517" max="517" width="49.36328125" style="136" customWidth="1"/>
    <col min="518" max="518" width="34.08984375" style="136" customWidth="1"/>
    <col min="519" max="519" width="12.90625" style="136" customWidth="1"/>
    <col min="520" max="520" width="5.453125" style="136" bestFit="1" customWidth="1"/>
    <col min="521" max="521" width="5.54296875" style="136" bestFit="1" customWidth="1"/>
    <col min="522" max="522" width="5.453125" style="136" bestFit="1" customWidth="1"/>
    <col min="523" max="523" width="5.54296875" style="136" bestFit="1" customWidth="1"/>
    <col min="524" max="524" width="5.453125" style="136" bestFit="1" customWidth="1"/>
    <col min="525" max="525" width="5.54296875" style="136" bestFit="1" customWidth="1"/>
    <col min="526" max="526" width="18.54296875" style="136" bestFit="1" customWidth="1"/>
    <col min="527" max="528" width="9.08984375" style="136"/>
    <col min="529" max="529" width="44.08984375" style="136" customWidth="1"/>
    <col min="530" max="767" width="9.08984375" style="136"/>
    <col min="768" max="768" width="3.90625" style="136" customWidth="1"/>
    <col min="769" max="769" width="0" style="136" hidden="1" customWidth="1"/>
    <col min="770" max="770" width="10" style="136" customWidth="1"/>
    <col min="771" max="771" width="49.36328125" style="136" customWidth="1"/>
    <col min="772" max="772" width="34.08984375" style="136" customWidth="1"/>
    <col min="773" max="773" width="49.36328125" style="136" customWidth="1"/>
    <col min="774" max="774" width="34.08984375" style="136" customWidth="1"/>
    <col min="775" max="775" width="12.90625" style="136" customWidth="1"/>
    <col min="776" max="776" width="5.453125" style="136" bestFit="1" customWidth="1"/>
    <col min="777" max="777" width="5.54296875" style="136" bestFit="1" customWidth="1"/>
    <col min="778" max="778" width="5.453125" style="136" bestFit="1" customWidth="1"/>
    <col min="779" max="779" width="5.54296875" style="136" bestFit="1" customWidth="1"/>
    <col min="780" max="780" width="5.453125" style="136" bestFit="1" customWidth="1"/>
    <col min="781" max="781" width="5.54296875" style="136" bestFit="1" customWidth="1"/>
    <col min="782" max="782" width="18.54296875" style="136" bestFit="1" customWidth="1"/>
    <col min="783" max="784" width="9.08984375" style="136"/>
    <col min="785" max="785" width="44.08984375" style="136" customWidth="1"/>
    <col min="786" max="1023" width="9.08984375" style="136"/>
    <col min="1024" max="1024" width="3.90625" style="136" customWidth="1"/>
    <col min="1025" max="1025" width="0" style="136" hidden="1" customWidth="1"/>
    <col min="1026" max="1026" width="10" style="136" customWidth="1"/>
    <col min="1027" max="1027" width="49.36328125" style="136" customWidth="1"/>
    <col min="1028" max="1028" width="34.08984375" style="136" customWidth="1"/>
    <col min="1029" max="1029" width="49.36328125" style="136" customWidth="1"/>
    <col min="1030" max="1030" width="34.08984375" style="136" customWidth="1"/>
    <col min="1031" max="1031" width="12.90625" style="136" customWidth="1"/>
    <col min="1032" max="1032" width="5.453125" style="136" bestFit="1" customWidth="1"/>
    <col min="1033" max="1033" width="5.54296875" style="136" bestFit="1" customWidth="1"/>
    <col min="1034" max="1034" width="5.453125" style="136" bestFit="1" customWidth="1"/>
    <col min="1035" max="1035" width="5.54296875" style="136" bestFit="1" customWidth="1"/>
    <col min="1036" max="1036" width="5.453125" style="136" bestFit="1" customWidth="1"/>
    <col min="1037" max="1037" width="5.54296875" style="136" bestFit="1" customWidth="1"/>
    <col min="1038" max="1038" width="18.54296875" style="136" bestFit="1" customWidth="1"/>
    <col min="1039" max="1040" width="9.08984375" style="136"/>
    <col min="1041" max="1041" width="44.08984375" style="136" customWidth="1"/>
    <col min="1042" max="1279" width="9.08984375" style="136"/>
    <col min="1280" max="1280" width="3.90625" style="136" customWidth="1"/>
    <col min="1281" max="1281" width="0" style="136" hidden="1" customWidth="1"/>
    <col min="1282" max="1282" width="10" style="136" customWidth="1"/>
    <col min="1283" max="1283" width="49.36328125" style="136" customWidth="1"/>
    <col min="1284" max="1284" width="34.08984375" style="136" customWidth="1"/>
    <col min="1285" max="1285" width="49.36328125" style="136" customWidth="1"/>
    <col min="1286" max="1286" width="34.08984375" style="136" customWidth="1"/>
    <col min="1287" max="1287" width="12.90625" style="136" customWidth="1"/>
    <col min="1288" max="1288" width="5.453125" style="136" bestFit="1" customWidth="1"/>
    <col min="1289" max="1289" width="5.54296875" style="136" bestFit="1" customWidth="1"/>
    <col min="1290" max="1290" width="5.453125" style="136" bestFit="1" customWidth="1"/>
    <col min="1291" max="1291" width="5.54296875" style="136" bestFit="1" customWidth="1"/>
    <col min="1292" max="1292" width="5.453125" style="136" bestFit="1" customWidth="1"/>
    <col min="1293" max="1293" width="5.54296875" style="136" bestFit="1" customWidth="1"/>
    <col min="1294" max="1294" width="18.54296875" style="136" bestFit="1" customWidth="1"/>
    <col min="1295" max="1296" width="9.08984375" style="136"/>
    <col min="1297" max="1297" width="44.08984375" style="136" customWidth="1"/>
    <col min="1298" max="1535" width="9.08984375" style="136"/>
    <col min="1536" max="1536" width="3.90625" style="136" customWidth="1"/>
    <col min="1537" max="1537" width="0" style="136" hidden="1" customWidth="1"/>
    <col min="1538" max="1538" width="10" style="136" customWidth="1"/>
    <col min="1539" max="1539" width="49.36328125" style="136" customWidth="1"/>
    <col min="1540" max="1540" width="34.08984375" style="136" customWidth="1"/>
    <col min="1541" max="1541" width="49.36328125" style="136" customWidth="1"/>
    <col min="1542" max="1542" width="34.08984375" style="136" customWidth="1"/>
    <col min="1543" max="1543" width="12.90625" style="136" customWidth="1"/>
    <col min="1544" max="1544" width="5.453125" style="136" bestFit="1" customWidth="1"/>
    <col min="1545" max="1545" width="5.54296875" style="136" bestFit="1" customWidth="1"/>
    <col min="1546" max="1546" width="5.453125" style="136" bestFit="1" customWidth="1"/>
    <col min="1547" max="1547" width="5.54296875" style="136" bestFit="1" customWidth="1"/>
    <col min="1548" max="1548" width="5.453125" style="136" bestFit="1" customWidth="1"/>
    <col min="1549" max="1549" width="5.54296875" style="136" bestFit="1" customWidth="1"/>
    <col min="1550" max="1550" width="18.54296875" style="136" bestFit="1" customWidth="1"/>
    <col min="1551" max="1552" width="9.08984375" style="136"/>
    <col min="1553" max="1553" width="44.08984375" style="136" customWidth="1"/>
    <col min="1554" max="1791" width="9.08984375" style="136"/>
    <col min="1792" max="1792" width="3.90625" style="136" customWidth="1"/>
    <col min="1793" max="1793" width="0" style="136" hidden="1" customWidth="1"/>
    <col min="1794" max="1794" width="10" style="136" customWidth="1"/>
    <col min="1795" max="1795" width="49.36328125" style="136" customWidth="1"/>
    <col min="1796" max="1796" width="34.08984375" style="136" customWidth="1"/>
    <col min="1797" max="1797" width="49.36328125" style="136" customWidth="1"/>
    <col min="1798" max="1798" width="34.08984375" style="136" customWidth="1"/>
    <col min="1799" max="1799" width="12.90625" style="136" customWidth="1"/>
    <col min="1800" max="1800" width="5.453125" style="136" bestFit="1" customWidth="1"/>
    <col min="1801" max="1801" width="5.54296875" style="136" bestFit="1" customWidth="1"/>
    <col min="1802" max="1802" width="5.453125" style="136" bestFit="1" customWidth="1"/>
    <col min="1803" max="1803" width="5.54296875" style="136" bestFit="1" customWidth="1"/>
    <col min="1804" max="1804" width="5.453125" style="136" bestFit="1" customWidth="1"/>
    <col min="1805" max="1805" width="5.54296875" style="136" bestFit="1" customWidth="1"/>
    <col min="1806" max="1806" width="18.54296875" style="136" bestFit="1" customWidth="1"/>
    <col min="1807" max="1808" width="9.08984375" style="136"/>
    <col min="1809" max="1809" width="44.08984375" style="136" customWidth="1"/>
    <col min="1810" max="2047" width="9.08984375" style="136"/>
    <col min="2048" max="2048" width="3.90625" style="136" customWidth="1"/>
    <col min="2049" max="2049" width="0" style="136" hidden="1" customWidth="1"/>
    <col min="2050" max="2050" width="10" style="136" customWidth="1"/>
    <col min="2051" max="2051" width="49.36328125" style="136" customWidth="1"/>
    <col min="2052" max="2052" width="34.08984375" style="136" customWidth="1"/>
    <col min="2053" max="2053" width="49.36328125" style="136" customWidth="1"/>
    <col min="2054" max="2054" width="34.08984375" style="136" customWidth="1"/>
    <col min="2055" max="2055" width="12.90625" style="136" customWidth="1"/>
    <col min="2056" max="2056" width="5.453125" style="136" bestFit="1" customWidth="1"/>
    <col min="2057" max="2057" width="5.54296875" style="136" bestFit="1" customWidth="1"/>
    <col min="2058" max="2058" width="5.453125" style="136" bestFit="1" customWidth="1"/>
    <col min="2059" max="2059" width="5.54296875" style="136" bestFit="1" customWidth="1"/>
    <col min="2060" max="2060" width="5.453125" style="136" bestFit="1" customWidth="1"/>
    <col min="2061" max="2061" width="5.54296875" style="136" bestFit="1" customWidth="1"/>
    <col min="2062" max="2062" width="18.54296875" style="136" bestFit="1" customWidth="1"/>
    <col min="2063" max="2064" width="9.08984375" style="136"/>
    <col min="2065" max="2065" width="44.08984375" style="136" customWidth="1"/>
    <col min="2066" max="2303" width="9.08984375" style="136"/>
    <col min="2304" max="2304" width="3.90625" style="136" customWidth="1"/>
    <col min="2305" max="2305" width="0" style="136" hidden="1" customWidth="1"/>
    <col min="2306" max="2306" width="10" style="136" customWidth="1"/>
    <col min="2307" max="2307" width="49.36328125" style="136" customWidth="1"/>
    <col min="2308" max="2308" width="34.08984375" style="136" customWidth="1"/>
    <col min="2309" max="2309" width="49.36328125" style="136" customWidth="1"/>
    <col min="2310" max="2310" width="34.08984375" style="136" customWidth="1"/>
    <col min="2311" max="2311" width="12.90625" style="136" customWidth="1"/>
    <col min="2312" max="2312" width="5.453125" style="136" bestFit="1" customWidth="1"/>
    <col min="2313" max="2313" width="5.54296875" style="136" bestFit="1" customWidth="1"/>
    <col min="2314" max="2314" width="5.453125" style="136" bestFit="1" customWidth="1"/>
    <col min="2315" max="2315" width="5.54296875" style="136" bestFit="1" customWidth="1"/>
    <col min="2316" max="2316" width="5.453125" style="136" bestFit="1" customWidth="1"/>
    <col min="2317" max="2317" width="5.54296875" style="136" bestFit="1" customWidth="1"/>
    <col min="2318" max="2318" width="18.54296875" style="136" bestFit="1" customWidth="1"/>
    <col min="2319" max="2320" width="9.08984375" style="136"/>
    <col min="2321" max="2321" width="44.08984375" style="136" customWidth="1"/>
    <col min="2322" max="2559" width="9.08984375" style="136"/>
    <col min="2560" max="2560" width="3.90625" style="136" customWidth="1"/>
    <col min="2561" max="2561" width="0" style="136" hidden="1" customWidth="1"/>
    <col min="2562" max="2562" width="10" style="136" customWidth="1"/>
    <col min="2563" max="2563" width="49.36328125" style="136" customWidth="1"/>
    <col min="2564" max="2564" width="34.08984375" style="136" customWidth="1"/>
    <col min="2565" max="2565" width="49.36328125" style="136" customWidth="1"/>
    <col min="2566" max="2566" width="34.08984375" style="136" customWidth="1"/>
    <col min="2567" max="2567" width="12.90625" style="136" customWidth="1"/>
    <col min="2568" max="2568" width="5.453125" style="136" bestFit="1" customWidth="1"/>
    <col min="2569" max="2569" width="5.54296875" style="136" bestFit="1" customWidth="1"/>
    <col min="2570" max="2570" width="5.453125" style="136" bestFit="1" customWidth="1"/>
    <col min="2571" max="2571" width="5.54296875" style="136" bestFit="1" customWidth="1"/>
    <col min="2572" max="2572" width="5.453125" style="136" bestFit="1" customWidth="1"/>
    <col min="2573" max="2573" width="5.54296875" style="136" bestFit="1" customWidth="1"/>
    <col min="2574" max="2574" width="18.54296875" style="136" bestFit="1" customWidth="1"/>
    <col min="2575" max="2576" width="9.08984375" style="136"/>
    <col min="2577" max="2577" width="44.08984375" style="136" customWidth="1"/>
    <col min="2578" max="2815" width="9.08984375" style="136"/>
    <col min="2816" max="2816" width="3.90625" style="136" customWidth="1"/>
    <col min="2817" max="2817" width="0" style="136" hidden="1" customWidth="1"/>
    <col min="2818" max="2818" width="10" style="136" customWidth="1"/>
    <col min="2819" max="2819" width="49.36328125" style="136" customWidth="1"/>
    <col min="2820" max="2820" width="34.08984375" style="136" customWidth="1"/>
    <col min="2821" max="2821" width="49.36328125" style="136" customWidth="1"/>
    <col min="2822" max="2822" width="34.08984375" style="136" customWidth="1"/>
    <col min="2823" max="2823" width="12.90625" style="136" customWidth="1"/>
    <col min="2824" max="2824" width="5.453125" style="136" bestFit="1" customWidth="1"/>
    <col min="2825" max="2825" width="5.54296875" style="136" bestFit="1" customWidth="1"/>
    <col min="2826" max="2826" width="5.453125" style="136" bestFit="1" customWidth="1"/>
    <col min="2827" max="2827" width="5.54296875" style="136" bestFit="1" customWidth="1"/>
    <col min="2828" max="2828" width="5.453125" style="136" bestFit="1" customWidth="1"/>
    <col min="2829" max="2829" width="5.54296875" style="136" bestFit="1" customWidth="1"/>
    <col min="2830" max="2830" width="18.54296875" style="136" bestFit="1" customWidth="1"/>
    <col min="2831" max="2832" width="9.08984375" style="136"/>
    <col min="2833" max="2833" width="44.08984375" style="136" customWidth="1"/>
    <col min="2834" max="3071" width="9.08984375" style="136"/>
    <col min="3072" max="3072" width="3.90625" style="136" customWidth="1"/>
    <col min="3073" max="3073" width="0" style="136" hidden="1" customWidth="1"/>
    <col min="3074" max="3074" width="10" style="136" customWidth="1"/>
    <col min="3075" max="3075" width="49.36328125" style="136" customWidth="1"/>
    <col min="3076" max="3076" width="34.08984375" style="136" customWidth="1"/>
    <col min="3077" max="3077" width="49.36328125" style="136" customWidth="1"/>
    <col min="3078" max="3078" width="34.08984375" style="136" customWidth="1"/>
    <col min="3079" max="3079" width="12.90625" style="136" customWidth="1"/>
    <col min="3080" max="3080" width="5.453125" style="136" bestFit="1" customWidth="1"/>
    <col min="3081" max="3081" width="5.54296875" style="136" bestFit="1" customWidth="1"/>
    <col min="3082" max="3082" width="5.453125" style="136" bestFit="1" customWidth="1"/>
    <col min="3083" max="3083" width="5.54296875" style="136" bestFit="1" customWidth="1"/>
    <col min="3084" max="3084" width="5.453125" style="136" bestFit="1" customWidth="1"/>
    <col min="3085" max="3085" width="5.54296875" style="136" bestFit="1" customWidth="1"/>
    <col min="3086" max="3086" width="18.54296875" style="136" bestFit="1" customWidth="1"/>
    <col min="3087" max="3088" width="9.08984375" style="136"/>
    <col min="3089" max="3089" width="44.08984375" style="136" customWidth="1"/>
    <col min="3090" max="3327" width="9.08984375" style="136"/>
    <col min="3328" max="3328" width="3.90625" style="136" customWidth="1"/>
    <col min="3329" max="3329" width="0" style="136" hidden="1" customWidth="1"/>
    <col min="3330" max="3330" width="10" style="136" customWidth="1"/>
    <col min="3331" max="3331" width="49.36328125" style="136" customWidth="1"/>
    <col min="3332" max="3332" width="34.08984375" style="136" customWidth="1"/>
    <col min="3333" max="3333" width="49.36328125" style="136" customWidth="1"/>
    <col min="3334" max="3334" width="34.08984375" style="136" customWidth="1"/>
    <col min="3335" max="3335" width="12.90625" style="136" customWidth="1"/>
    <col min="3336" max="3336" width="5.453125" style="136" bestFit="1" customWidth="1"/>
    <col min="3337" max="3337" width="5.54296875" style="136" bestFit="1" customWidth="1"/>
    <col min="3338" max="3338" width="5.453125" style="136" bestFit="1" customWidth="1"/>
    <col min="3339" max="3339" width="5.54296875" style="136" bestFit="1" customWidth="1"/>
    <col min="3340" max="3340" width="5.453125" style="136" bestFit="1" customWidth="1"/>
    <col min="3341" max="3341" width="5.54296875" style="136" bestFit="1" customWidth="1"/>
    <col min="3342" max="3342" width="18.54296875" style="136" bestFit="1" customWidth="1"/>
    <col min="3343" max="3344" width="9.08984375" style="136"/>
    <col min="3345" max="3345" width="44.08984375" style="136" customWidth="1"/>
    <col min="3346" max="3583" width="9.08984375" style="136"/>
    <col min="3584" max="3584" width="3.90625" style="136" customWidth="1"/>
    <col min="3585" max="3585" width="0" style="136" hidden="1" customWidth="1"/>
    <col min="3586" max="3586" width="10" style="136" customWidth="1"/>
    <col min="3587" max="3587" width="49.36328125" style="136" customWidth="1"/>
    <col min="3588" max="3588" width="34.08984375" style="136" customWidth="1"/>
    <col min="3589" max="3589" width="49.36328125" style="136" customWidth="1"/>
    <col min="3590" max="3590" width="34.08984375" style="136" customWidth="1"/>
    <col min="3591" max="3591" width="12.90625" style="136" customWidth="1"/>
    <col min="3592" max="3592" width="5.453125" style="136" bestFit="1" customWidth="1"/>
    <col min="3593" max="3593" width="5.54296875" style="136" bestFit="1" customWidth="1"/>
    <col min="3594" max="3594" width="5.453125" style="136" bestFit="1" customWidth="1"/>
    <col min="3595" max="3595" width="5.54296875" style="136" bestFit="1" customWidth="1"/>
    <col min="3596" max="3596" width="5.453125" style="136" bestFit="1" customWidth="1"/>
    <col min="3597" max="3597" width="5.54296875" style="136" bestFit="1" customWidth="1"/>
    <col min="3598" max="3598" width="18.54296875" style="136" bestFit="1" customWidth="1"/>
    <col min="3599" max="3600" width="9.08984375" style="136"/>
    <col min="3601" max="3601" width="44.08984375" style="136" customWidth="1"/>
    <col min="3602" max="3839" width="9.08984375" style="136"/>
    <col min="3840" max="3840" width="3.90625" style="136" customWidth="1"/>
    <col min="3841" max="3841" width="0" style="136" hidden="1" customWidth="1"/>
    <col min="3842" max="3842" width="10" style="136" customWidth="1"/>
    <col min="3843" max="3843" width="49.36328125" style="136" customWidth="1"/>
    <col min="3844" max="3844" width="34.08984375" style="136" customWidth="1"/>
    <col min="3845" max="3845" width="49.36328125" style="136" customWidth="1"/>
    <col min="3846" max="3846" width="34.08984375" style="136" customWidth="1"/>
    <col min="3847" max="3847" width="12.90625" style="136" customWidth="1"/>
    <col min="3848" max="3848" width="5.453125" style="136" bestFit="1" customWidth="1"/>
    <col min="3849" max="3849" width="5.54296875" style="136" bestFit="1" customWidth="1"/>
    <col min="3850" max="3850" width="5.453125" style="136" bestFit="1" customWidth="1"/>
    <col min="3851" max="3851" width="5.54296875" style="136" bestFit="1" customWidth="1"/>
    <col min="3852" max="3852" width="5.453125" style="136" bestFit="1" customWidth="1"/>
    <col min="3853" max="3853" width="5.54296875" style="136" bestFit="1" customWidth="1"/>
    <col min="3854" max="3854" width="18.54296875" style="136" bestFit="1" customWidth="1"/>
    <col min="3855" max="3856" width="9.08984375" style="136"/>
    <col min="3857" max="3857" width="44.08984375" style="136" customWidth="1"/>
    <col min="3858" max="4095" width="9.08984375" style="136"/>
    <col min="4096" max="4096" width="3.90625" style="136" customWidth="1"/>
    <col min="4097" max="4097" width="0" style="136" hidden="1" customWidth="1"/>
    <col min="4098" max="4098" width="10" style="136" customWidth="1"/>
    <col min="4099" max="4099" width="49.36328125" style="136" customWidth="1"/>
    <col min="4100" max="4100" width="34.08984375" style="136" customWidth="1"/>
    <col min="4101" max="4101" width="49.36328125" style="136" customWidth="1"/>
    <col min="4102" max="4102" width="34.08984375" style="136" customWidth="1"/>
    <col min="4103" max="4103" width="12.90625" style="136" customWidth="1"/>
    <col min="4104" max="4104" width="5.453125" style="136" bestFit="1" customWidth="1"/>
    <col min="4105" max="4105" width="5.54296875" style="136" bestFit="1" customWidth="1"/>
    <col min="4106" max="4106" width="5.453125" style="136" bestFit="1" customWidth="1"/>
    <col min="4107" max="4107" width="5.54296875" style="136" bestFit="1" customWidth="1"/>
    <col min="4108" max="4108" width="5.453125" style="136" bestFit="1" customWidth="1"/>
    <col min="4109" max="4109" width="5.54296875" style="136" bestFit="1" customWidth="1"/>
    <col min="4110" max="4110" width="18.54296875" style="136" bestFit="1" customWidth="1"/>
    <col min="4111" max="4112" width="9.08984375" style="136"/>
    <col min="4113" max="4113" width="44.08984375" style="136" customWidth="1"/>
    <col min="4114" max="4351" width="9.08984375" style="136"/>
    <col min="4352" max="4352" width="3.90625" style="136" customWidth="1"/>
    <col min="4353" max="4353" width="0" style="136" hidden="1" customWidth="1"/>
    <col min="4354" max="4354" width="10" style="136" customWidth="1"/>
    <col min="4355" max="4355" width="49.36328125" style="136" customWidth="1"/>
    <col min="4356" max="4356" width="34.08984375" style="136" customWidth="1"/>
    <col min="4357" max="4357" width="49.36328125" style="136" customWidth="1"/>
    <col min="4358" max="4358" width="34.08984375" style="136" customWidth="1"/>
    <col min="4359" max="4359" width="12.90625" style="136" customWidth="1"/>
    <col min="4360" max="4360" width="5.453125" style="136" bestFit="1" customWidth="1"/>
    <col min="4361" max="4361" width="5.54296875" style="136" bestFit="1" customWidth="1"/>
    <col min="4362" max="4362" width="5.453125" style="136" bestFit="1" customWidth="1"/>
    <col min="4363" max="4363" width="5.54296875" style="136" bestFit="1" customWidth="1"/>
    <col min="4364" max="4364" width="5.453125" style="136" bestFit="1" customWidth="1"/>
    <col min="4365" max="4365" width="5.54296875" style="136" bestFit="1" customWidth="1"/>
    <col min="4366" max="4366" width="18.54296875" style="136" bestFit="1" customWidth="1"/>
    <col min="4367" max="4368" width="9.08984375" style="136"/>
    <col min="4369" max="4369" width="44.08984375" style="136" customWidth="1"/>
    <col min="4370" max="4607" width="9.08984375" style="136"/>
    <col min="4608" max="4608" width="3.90625" style="136" customWidth="1"/>
    <col min="4609" max="4609" width="0" style="136" hidden="1" customWidth="1"/>
    <col min="4610" max="4610" width="10" style="136" customWidth="1"/>
    <col min="4611" max="4611" width="49.36328125" style="136" customWidth="1"/>
    <col min="4612" max="4612" width="34.08984375" style="136" customWidth="1"/>
    <col min="4613" max="4613" width="49.36328125" style="136" customWidth="1"/>
    <col min="4614" max="4614" width="34.08984375" style="136" customWidth="1"/>
    <col min="4615" max="4615" width="12.90625" style="136" customWidth="1"/>
    <col min="4616" max="4616" width="5.453125" style="136" bestFit="1" customWidth="1"/>
    <col min="4617" max="4617" width="5.54296875" style="136" bestFit="1" customWidth="1"/>
    <col min="4618" max="4618" width="5.453125" style="136" bestFit="1" customWidth="1"/>
    <col min="4619" max="4619" width="5.54296875" style="136" bestFit="1" customWidth="1"/>
    <col min="4620" max="4620" width="5.453125" style="136" bestFit="1" customWidth="1"/>
    <col min="4621" max="4621" width="5.54296875" style="136" bestFit="1" customWidth="1"/>
    <col min="4622" max="4622" width="18.54296875" style="136" bestFit="1" customWidth="1"/>
    <col min="4623" max="4624" width="9.08984375" style="136"/>
    <col min="4625" max="4625" width="44.08984375" style="136" customWidth="1"/>
    <col min="4626" max="4863" width="9.08984375" style="136"/>
    <col min="4864" max="4864" width="3.90625" style="136" customWidth="1"/>
    <col min="4865" max="4865" width="0" style="136" hidden="1" customWidth="1"/>
    <col min="4866" max="4866" width="10" style="136" customWidth="1"/>
    <col min="4867" max="4867" width="49.36328125" style="136" customWidth="1"/>
    <col min="4868" max="4868" width="34.08984375" style="136" customWidth="1"/>
    <col min="4869" max="4869" width="49.36328125" style="136" customWidth="1"/>
    <col min="4870" max="4870" width="34.08984375" style="136" customWidth="1"/>
    <col min="4871" max="4871" width="12.90625" style="136" customWidth="1"/>
    <col min="4872" max="4872" width="5.453125" style="136" bestFit="1" customWidth="1"/>
    <col min="4873" max="4873" width="5.54296875" style="136" bestFit="1" customWidth="1"/>
    <col min="4874" max="4874" width="5.453125" style="136" bestFit="1" customWidth="1"/>
    <col min="4875" max="4875" width="5.54296875" style="136" bestFit="1" customWidth="1"/>
    <col min="4876" max="4876" width="5.453125" style="136" bestFit="1" customWidth="1"/>
    <col min="4877" max="4877" width="5.54296875" style="136" bestFit="1" customWidth="1"/>
    <col min="4878" max="4878" width="18.54296875" style="136" bestFit="1" customWidth="1"/>
    <col min="4879" max="4880" width="9.08984375" style="136"/>
    <col min="4881" max="4881" width="44.08984375" style="136" customWidth="1"/>
    <col min="4882" max="5119" width="9.08984375" style="136"/>
    <col min="5120" max="5120" width="3.90625" style="136" customWidth="1"/>
    <col min="5121" max="5121" width="0" style="136" hidden="1" customWidth="1"/>
    <col min="5122" max="5122" width="10" style="136" customWidth="1"/>
    <col min="5123" max="5123" width="49.36328125" style="136" customWidth="1"/>
    <col min="5124" max="5124" width="34.08984375" style="136" customWidth="1"/>
    <col min="5125" max="5125" width="49.36328125" style="136" customWidth="1"/>
    <col min="5126" max="5126" width="34.08984375" style="136" customWidth="1"/>
    <col min="5127" max="5127" width="12.90625" style="136" customWidth="1"/>
    <col min="5128" max="5128" width="5.453125" style="136" bestFit="1" customWidth="1"/>
    <col min="5129" max="5129" width="5.54296875" style="136" bestFit="1" customWidth="1"/>
    <col min="5130" max="5130" width="5.453125" style="136" bestFit="1" customWidth="1"/>
    <col min="5131" max="5131" width="5.54296875" style="136" bestFit="1" customWidth="1"/>
    <col min="5132" max="5132" width="5.453125" style="136" bestFit="1" customWidth="1"/>
    <col min="5133" max="5133" width="5.54296875" style="136" bestFit="1" customWidth="1"/>
    <col min="5134" max="5134" width="18.54296875" style="136" bestFit="1" customWidth="1"/>
    <col min="5135" max="5136" width="9.08984375" style="136"/>
    <col min="5137" max="5137" width="44.08984375" style="136" customWidth="1"/>
    <col min="5138" max="5375" width="9.08984375" style="136"/>
    <col min="5376" max="5376" width="3.90625" style="136" customWidth="1"/>
    <col min="5377" max="5377" width="0" style="136" hidden="1" customWidth="1"/>
    <col min="5378" max="5378" width="10" style="136" customWidth="1"/>
    <col min="5379" max="5379" width="49.36328125" style="136" customWidth="1"/>
    <col min="5380" max="5380" width="34.08984375" style="136" customWidth="1"/>
    <col min="5381" max="5381" width="49.36328125" style="136" customWidth="1"/>
    <col min="5382" max="5382" width="34.08984375" style="136" customWidth="1"/>
    <col min="5383" max="5383" width="12.90625" style="136" customWidth="1"/>
    <col min="5384" max="5384" width="5.453125" style="136" bestFit="1" customWidth="1"/>
    <col min="5385" max="5385" width="5.54296875" style="136" bestFit="1" customWidth="1"/>
    <col min="5386" max="5386" width="5.453125" style="136" bestFit="1" customWidth="1"/>
    <col min="5387" max="5387" width="5.54296875" style="136" bestFit="1" customWidth="1"/>
    <col min="5388" max="5388" width="5.453125" style="136" bestFit="1" customWidth="1"/>
    <col min="5389" max="5389" width="5.54296875" style="136" bestFit="1" customWidth="1"/>
    <col min="5390" max="5390" width="18.54296875" style="136" bestFit="1" customWidth="1"/>
    <col min="5391" max="5392" width="9.08984375" style="136"/>
    <col min="5393" max="5393" width="44.08984375" style="136" customWidth="1"/>
    <col min="5394" max="5631" width="9.08984375" style="136"/>
    <col min="5632" max="5632" width="3.90625" style="136" customWidth="1"/>
    <col min="5633" max="5633" width="0" style="136" hidden="1" customWidth="1"/>
    <col min="5634" max="5634" width="10" style="136" customWidth="1"/>
    <col min="5635" max="5635" width="49.36328125" style="136" customWidth="1"/>
    <col min="5636" max="5636" width="34.08984375" style="136" customWidth="1"/>
    <col min="5637" max="5637" width="49.36328125" style="136" customWidth="1"/>
    <col min="5638" max="5638" width="34.08984375" style="136" customWidth="1"/>
    <col min="5639" max="5639" width="12.90625" style="136" customWidth="1"/>
    <col min="5640" max="5640" width="5.453125" style="136" bestFit="1" customWidth="1"/>
    <col min="5641" max="5641" width="5.54296875" style="136" bestFit="1" customWidth="1"/>
    <col min="5642" max="5642" width="5.453125" style="136" bestFit="1" customWidth="1"/>
    <col min="5643" max="5643" width="5.54296875" style="136" bestFit="1" customWidth="1"/>
    <col min="5644" max="5644" width="5.453125" style="136" bestFit="1" customWidth="1"/>
    <col min="5645" max="5645" width="5.54296875" style="136" bestFit="1" customWidth="1"/>
    <col min="5646" max="5646" width="18.54296875" style="136" bestFit="1" customWidth="1"/>
    <col min="5647" max="5648" width="9.08984375" style="136"/>
    <col min="5649" max="5649" width="44.08984375" style="136" customWidth="1"/>
    <col min="5650" max="5887" width="9.08984375" style="136"/>
    <col min="5888" max="5888" width="3.90625" style="136" customWidth="1"/>
    <col min="5889" max="5889" width="0" style="136" hidden="1" customWidth="1"/>
    <col min="5890" max="5890" width="10" style="136" customWidth="1"/>
    <col min="5891" max="5891" width="49.36328125" style="136" customWidth="1"/>
    <col min="5892" max="5892" width="34.08984375" style="136" customWidth="1"/>
    <col min="5893" max="5893" width="49.36328125" style="136" customWidth="1"/>
    <col min="5894" max="5894" width="34.08984375" style="136" customWidth="1"/>
    <col min="5895" max="5895" width="12.90625" style="136" customWidth="1"/>
    <col min="5896" max="5896" width="5.453125" style="136" bestFit="1" customWidth="1"/>
    <col min="5897" max="5897" width="5.54296875" style="136" bestFit="1" customWidth="1"/>
    <col min="5898" max="5898" width="5.453125" style="136" bestFit="1" customWidth="1"/>
    <col min="5899" max="5899" width="5.54296875" style="136" bestFit="1" customWidth="1"/>
    <col min="5900" max="5900" width="5.453125" style="136" bestFit="1" customWidth="1"/>
    <col min="5901" max="5901" width="5.54296875" style="136" bestFit="1" customWidth="1"/>
    <col min="5902" max="5902" width="18.54296875" style="136" bestFit="1" customWidth="1"/>
    <col min="5903" max="5904" width="9.08984375" style="136"/>
    <col min="5905" max="5905" width="44.08984375" style="136" customWidth="1"/>
    <col min="5906" max="6143" width="9.08984375" style="136"/>
    <col min="6144" max="6144" width="3.90625" style="136" customWidth="1"/>
    <col min="6145" max="6145" width="0" style="136" hidden="1" customWidth="1"/>
    <col min="6146" max="6146" width="10" style="136" customWidth="1"/>
    <col min="6147" max="6147" width="49.36328125" style="136" customWidth="1"/>
    <col min="6148" max="6148" width="34.08984375" style="136" customWidth="1"/>
    <col min="6149" max="6149" width="49.36328125" style="136" customWidth="1"/>
    <col min="6150" max="6150" width="34.08984375" style="136" customWidth="1"/>
    <col min="6151" max="6151" width="12.90625" style="136" customWidth="1"/>
    <col min="6152" max="6152" width="5.453125" style="136" bestFit="1" customWidth="1"/>
    <col min="6153" max="6153" width="5.54296875" style="136" bestFit="1" customWidth="1"/>
    <col min="6154" max="6154" width="5.453125" style="136" bestFit="1" customWidth="1"/>
    <col min="6155" max="6155" width="5.54296875" style="136" bestFit="1" customWidth="1"/>
    <col min="6156" max="6156" width="5.453125" style="136" bestFit="1" customWidth="1"/>
    <col min="6157" max="6157" width="5.54296875" style="136" bestFit="1" customWidth="1"/>
    <col min="6158" max="6158" width="18.54296875" style="136" bestFit="1" customWidth="1"/>
    <col min="6159" max="6160" width="9.08984375" style="136"/>
    <col min="6161" max="6161" width="44.08984375" style="136" customWidth="1"/>
    <col min="6162" max="6399" width="9.08984375" style="136"/>
    <col min="6400" max="6400" width="3.90625" style="136" customWidth="1"/>
    <col min="6401" max="6401" width="0" style="136" hidden="1" customWidth="1"/>
    <col min="6402" max="6402" width="10" style="136" customWidth="1"/>
    <col min="6403" max="6403" width="49.36328125" style="136" customWidth="1"/>
    <col min="6404" max="6404" width="34.08984375" style="136" customWidth="1"/>
    <col min="6405" max="6405" width="49.36328125" style="136" customWidth="1"/>
    <col min="6406" max="6406" width="34.08984375" style="136" customWidth="1"/>
    <col min="6407" max="6407" width="12.90625" style="136" customWidth="1"/>
    <col min="6408" max="6408" width="5.453125" style="136" bestFit="1" customWidth="1"/>
    <col min="6409" max="6409" width="5.54296875" style="136" bestFit="1" customWidth="1"/>
    <col min="6410" max="6410" width="5.453125" style="136" bestFit="1" customWidth="1"/>
    <col min="6411" max="6411" width="5.54296875" style="136" bestFit="1" customWidth="1"/>
    <col min="6412" max="6412" width="5.453125" style="136" bestFit="1" customWidth="1"/>
    <col min="6413" max="6413" width="5.54296875" style="136" bestFit="1" customWidth="1"/>
    <col min="6414" max="6414" width="18.54296875" style="136" bestFit="1" customWidth="1"/>
    <col min="6415" max="6416" width="9.08984375" style="136"/>
    <col min="6417" max="6417" width="44.08984375" style="136" customWidth="1"/>
    <col min="6418" max="6655" width="9.08984375" style="136"/>
    <col min="6656" max="6656" width="3.90625" style="136" customWidth="1"/>
    <col min="6657" max="6657" width="0" style="136" hidden="1" customWidth="1"/>
    <col min="6658" max="6658" width="10" style="136" customWidth="1"/>
    <col min="6659" max="6659" width="49.36328125" style="136" customWidth="1"/>
    <col min="6660" max="6660" width="34.08984375" style="136" customWidth="1"/>
    <col min="6661" max="6661" width="49.36328125" style="136" customWidth="1"/>
    <col min="6662" max="6662" width="34.08984375" style="136" customWidth="1"/>
    <col min="6663" max="6663" width="12.90625" style="136" customWidth="1"/>
    <col min="6664" max="6664" width="5.453125" style="136" bestFit="1" customWidth="1"/>
    <col min="6665" max="6665" width="5.54296875" style="136" bestFit="1" customWidth="1"/>
    <col min="6666" max="6666" width="5.453125" style="136" bestFit="1" customWidth="1"/>
    <col min="6667" max="6667" width="5.54296875" style="136" bestFit="1" customWidth="1"/>
    <col min="6668" max="6668" width="5.453125" style="136" bestFit="1" customWidth="1"/>
    <col min="6669" max="6669" width="5.54296875" style="136" bestFit="1" customWidth="1"/>
    <col min="6670" max="6670" width="18.54296875" style="136" bestFit="1" customWidth="1"/>
    <col min="6671" max="6672" width="9.08984375" style="136"/>
    <col min="6673" max="6673" width="44.08984375" style="136" customWidth="1"/>
    <col min="6674" max="6911" width="9.08984375" style="136"/>
    <col min="6912" max="6912" width="3.90625" style="136" customWidth="1"/>
    <col min="6913" max="6913" width="0" style="136" hidden="1" customWidth="1"/>
    <col min="6914" max="6914" width="10" style="136" customWidth="1"/>
    <col min="6915" max="6915" width="49.36328125" style="136" customWidth="1"/>
    <col min="6916" max="6916" width="34.08984375" style="136" customWidth="1"/>
    <col min="6917" max="6917" width="49.36328125" style="136" customWidth="1"/>
    <col min="6918" max="6918" width="34.08984375" style="136" customWidth="1"/>
    <col min="6919" max="6919" width="12.90625" style="136" customWidth="1"/>
    <col min="6920" max="6920" width="5.453125" style="136" bestFit="1" customWidth="1"/>
    <col min="6921" max="6921" width="5.54296875" style="136" bestFit="1" customWidth="1"/>
    <col min="6922" max="6922" width="5.453125" style="136" bestFit="1" customWidth="1"/>
    <col min="6923" max="6923" width="5.54296875" style="136" bestFit="1" customWidth="1"/>
    <col min="6924" max="6924" width="5.453125" style="136" bestFit="1" customWidth="1"/>
    <col min="6925" max="6925" width="5.54296875" style="136" bestFit="1" customWidth="1"/>
    <col min="6926" max="6926" width="18.54296875" style="136" bestFit="1" customWidth="1"/>
    <col min="6927" max="6928" width="9.08984375" style="136"/>
    <col min="6929" max="6929" width="44.08984375" style="136" customWidth="1"/>
    <col min="6930" max="7167" width="9.08984375" style="136"/>
    <col min="7168" max="7168" width="3.90625" style="136" customWidth="1"/>
    <col min="7169" max="7169" width="0" style="136" hidden="1" customWidth="1"/>
    <col min="7170" max="7170" width="10" style="136" customWidth="1"/>
    <col min="7171" max="7171" width="49.36328125" style="136" customWidth="1"/>
    <col min="7172" max="7172" width="34.08984375" style="136" customWidth="1"/>
    <col min="7173" max="7173" width="49.36328125" style="136" customWidth="1"/>
    <col min="7174" max="7174" width="34.08984375" style="136" customWidth="1"/>
    <col min="7175" max="7175" width="12.90625" style="136" customWidth="1"/>
    <col min="7176" max="7176" width="5.453125" style="136" bestFit="1" customWidth="1"/>
    <col min="7177" max="7177" width="5.54296875" style="136" bestFit="1" customWidth="1"/>
    <col min="7178" max="7178" width="5.453125" style="136" bestFit="1" customWidth="1"/>
    <col min="7179" max="7179" width="5.54296875" style="136" bestFit="1" customWidth="1"/>
    <col min="7180" max="7180" width="5.453125" style="136" bestFit="1" customWidth="1"/>
    <col min="7181" max="7181" width="5.54296875" style="136" bestFit="1" customWidth="1"/>
    <col min="7182" max="7182" width="18.54296875" style="136" bestFit="1" customWidth="1"/>
    <col min="7183" max="7184" width="9.08984375" style="136"/>
    <col min="7185" max="7185" width="44.08984375" style="136" customWidth="1"/>
    <col min="7186" max="7423" width="9.08984375" style="136"/>
    <col min="7424" max="7424" width="3.90625" style="136" customWidth="1"/>
    <col min="7425" max="7425" width="0" style="136" hidden="1" customWidth="1"/>
    <col min="7426" max="7426" width="10" style="136" customWidth="1"/>
    <col min="7427" max="7427" width="49.36328125" style="136" customWidth="1"/>
    <col min="7428" max="7428" width="34.08984375" style="136" customWidth="1"/>
    <col min="7429" max="7429" width="49.36328125" style="136" customWidth="1"/>
    <col min="7430" max="7430" width="34.08984375" style="136" customWidth="1"/>
    <col min="7431" max="7431" width="12.90625" style="136" customWidth="1"/>
    <col min="7432" max="7432" width="5.453125" style="136" bestFit="1" customWidth="1"/>
    <col min="7433" max="7433" width="5.54296875" style="136" bestFit="1" customWidth="1"/>
    <col min="7434" max="7434" width="5.453125" style="136" bestFit="1" customWidth="1"/>
    <col min="7435" max="7435" width="5.54296875" style="136" bestFit="1" customWidth="1"/>
    <col min="7436" max="7436" width="5.453125" style="136" bestFit="1" customWidth="1"/>
    <col min="7437" max="7437" width="5.54296875" style="136" bestFit="1" customWidth="1"/>
    <col min="7438" max="7438" width="18.54296875" style="136" bestFit="1" customWidth="1"/>
    <col min="7439" max="7440" width="9.08984375" style="136"/>
    <col min="7441" max="7441" width="44.08984375" style="136" customWidth="1"/>
    <col min="7442" max="7679" width="9.08984375" style="136"/>
    <col min="7680" max="7680" width="3.90625" style="136" customWidth="1"/>
    <col min="7681" max="7681" width="0" style="136" hidden="1" customWidth="1"/>
    <col min="7682" max="7682" width="10" style="136" customWidth="1"/>
    <col min="7683" max="7683" width="49.36328125" style="136" customWidth="1"/>
    <col min="7684" max="7684" width="34.08984375" style="136" customWidth="1"/>
    <col min="7685" max="7685" width="49.36328125" style="136" customWidth="1"/>
    <col min="7686" max="7686" width="34.08984375" style="136" customWidth="1"/>
    <col min="7687" max="7687" width="12.90625" style="136" customWidth="1"/>
    <col min="7688" max="7688" width="5.453125" style="136" bestFit="1" customWidth="1"/>
    <col min="7689" max="7689" width="5.54296875" style="136" bestFit="1" customWidth="1"/>
    <col min="7690" max="7690" width="5.453125" style="136" bestFit="1" customWidth="1"/>
    <col min="7691" max="7691" width="5.54296875" style="136" bestFit="1" customWidth="1"/>
    <col min="7692" max="7692" width="5.453125" style="136" bestFit="1" customWidth="1"/>
    <col min="7693" max="7693" width="5.54296875" style="136" bestFit="1" customWidth="1"/>
    <col min="7694" max="7694" width="18.54296875" style="136" bestFit="1" customWidth="1"/>
    <col min="7695" max="7696" width="9.08984375" style="136"/>
    <col min="7697" max="7697" width="44.08984375" style="136" customWidth="1"/>
    <col min="7698" max="7935" width="9.08984375" style="136"/>
    <col min="7936" max="7936" width="3.90625" style="136" customWidth="1"/>
    <col min="7937" max="7937" width="0" style="136" hidden="1" customWidth="1"/>
    <col min="7938" max="7938" width="10" style="136" customWidth="1"/>
    <col min="7939" max="7939" width="49.36328125" style="136" customWidth="1"/>
    <col min="7940" max="7940" width="34.08984375" style="136" customWidth="1"/>
    <col min="7941" max="7941" width="49.36328125" style="136" customWidth="1"/>
    <col min="7942" max="7942" width="34.08984375" style="136" customWidth="1"/>
    <col min="7943" max="7943" width="12.90625" style="136" customWidth="1"/>
    <col min="7944" max="7944" width="5.453125" style="136" bestFit="1" customWidth="1"/>
    <col min="7945" max="7945" width="5.54296875" style="136" bestFit="1" customWidth="1"/>
    <col min="7946" max="7946" width="5.453125" style="136" bestFit="1" customWidth="1"/>
    <col min="7947" max="7947" width="5.54296875" style="136" bestFit="1" customWidth="1"/>
    <col min="7948" max="7948" width="5.453125" style="136" bestFit="1" customWidth="1"/>
    <col min="7949" max="7949" width="5.54296875" style="136" bestFit="1" customWidth="1"/>
    <col min="7950" max="7950" width="18.54296875" style="136" bestFit="1" customWidth="1"/>
    <col min="7951" max="7952" width="9.08984375" style="136"/>
    <col min="7953" max="7953" width="44.08984375" style="136" customWidth="1"/>
    <col min="7954" max="8191" width="9.08984375" style="136"/>
    <col min="8192" max="8192" width="3.90625" style="136" customWidth="1"/>
    <col min="8193" max="8193" width="0" style="136" hidden="1" customWidth="1"/>
    <col min="8194" max="8194" width="10" style="136" customWidth="1"/>
    <col min="8195" max="8195" width="49.36328125" style="136" customWidth="1"/>
    <col min="8196" max="8196" width="34.08984375" style="136" customWidth="1"/>
    <col min="8197" max="8197" width="49.36328125" style="136" customWidth="1"/>
    <col min="8198" max="8198" width="34.08984375" style="136" customWidth="1"/>
    <col min="8199" max="8199" width="12.90625" style="136" customWidth="1"/>
    <col min="8200" max="8200" width="5.453125" style="136" bestFit="1" customWidth="1"/>
    <col min="8201" max="8201" width="5.54296875" style="136" bestFit="1" customWidth="1"/>
    <col min="8202" max="8202" width="5.453125" style="136" bestFit="1" customWidth="1"/>
    <col min="8203" max="8203" width="5.54296875" style="136" bestFit="1" customWidth="1"/>
    <col min="8204" max="8204" width="5.453125" style="136" bestFit="1" customWidth="1"/>
    <col min="8205" max="8205" width="5.54296875" style="136" bestFit="1" customWidth="1"/>
    <col min="8206" max="8206" width="18.54296875" style="136" bestFit="1" customWidth="1"/>
    <col min="8207" max="8208" width="9.08984375" style="136"/>
    <col min="8209" max="8209" width="44.08984375" style="136" customWidth="1"/>
    <col min="8210" max="8447" width="9.08984375" style="136"/>
    <col min="8448" max="8448" width="3.90625" style="136" customWidth="1"/>
    <col min="8449" max="8449" width="0" style="136" hidden="1" customWidth="1"/>
    <col min="8450" max="8450" width="10" style="136" customWidth="1"/>
    <col min="8451" max="8451" width="49.36328125" style="136" customWidth="1"/>
    <col min="8452" max="8452" width="34.08984375" style="136" customWidth="1"/>
    <col min="8453" max="8453" width="49.36328125" style="136" customWidth="1"/>
    <col min="8454" max="8454" width="34.08984375" style="136" customWidth="1"/>
    <col min="8455" max="8455" width="12.90625" style="136" customWidth="1"/>
    <col min="8456" max="8456" width="5.453125" style="136" bestFit="1" customWidth="1"/>
    <col min="8457" max="8457" width="5.54296875" style="136" bestFit="1" customWidth="1"/>
    <col min="8458" max="8458" width="5.453125" style="136" bestFit="1" customWidth="1"/>
    <col min="8459" max="8459" width="5.54296875" style="136" bestFit="1" customWidth="1"/>
    <col min="8460" max="8460" width="5.453125" style="136" bestFit="1" customWidth="1"/>
    <col min="8461" max="8461" width="5.54296875" style="136" bestFit="1" customWidth="1"/>
    <col min="8462" max="8462" width="18.54296875" style="136" bestFit="1" customWidth="1"/>
    <col min="8463" max="8464" width="9.08984375" style="136"/>
    <col min="8465" max="8465" width="44.08984375" style="136" customWidth="1"/>
    <col min="8466" max="8703" width="9.08984375" style="136"/>
    <col min="8704" max="8704" width="3.90625" style="136" customWidth="1"/>
    <col min="8705" max="8705" width="0" style="136" hidden="1" customWidth="1"/>
    <col min="8706" max="8706" width="10" style="136" customWidth="1"/>
    <col min="8707" max="8707" width="49.36328125" style="136" customWidth="1"/>
    <col min="8708" max="8708" width="34.08984375" style="136" customWidth="1"/>
    <col min="8709" max="8709" width="49.36328125" style="136" customWidth="1"/>
    <col min="8710" max="8710" width="34.08984375" style="136" customWidth="1"/>
    <col min="8711" max="8711" width="12.90625" style="136" customWidth="1"/>
    <col min="8712" max="8712" width="5.453125" style="136" bestFit="1" customWidth="1"/>
    <col min="8713" max="8713" width="5.54296875" style="136" bestFit="1" customWidth="1"/>
    <col min="8714" max="8714" width="5.453125" style="136" bestFit="1" customWidth="1"/>
    <col min="8715" max="8715" width="5.54296875" style="136" bestFit="1" customWidth="1"/>
    <col min="8716" max="8716" width="5.453125" style="136" bestFit="1" customWidth="1"/>
    <col min="8717" max="8717" width="5.54296875" style="136" bestFit="1" customWidth="1"/>
    <col min="8718" max="8718" width="18.54296875" style="136" bestFit="1" customWidth="1"/>
    <col min="8719" max="8720" width="9.08984375" style="136"/>
    <col min="8721" max="8721" width="44.08984375" style="136" customWidth="1"/>
    <col min="8722" max="8959" width="9.08984375" style="136"/>
    <col min="8960" max="8960" width="3.90625" style="136" customWidth="1"/>
    <col min="8961" max="8961" width="0" style="136" hidden="1" customWidth="1"/>
    <col min="8962" max="8962" width="10" style="136" customWidth="1"/>
    <col min="8963" max="8963" width="49.36328125" style="136" customWidth="1"/>
    <col min="8964" max="8964" width="34.08984375" style="136" customWidth="1"/>
    <col min="8965" max="8965" width="49.36328125" style="136" customWidth="1"/>
    <col min="8966" max="8966" width="34.08984375" style="136" customWidth="1"/>
    <col min="8967" max="8967" width="12.90625" style="136" customWidth="1"/>
    <col min="8968" max="8968" width="5.453125" style="136" bestFit="1" customWidth="1"/>
    <col min="8969" max="8969" width="5.54296875" style="136" bestFit="1" customWidth="1"/>
    <col min="8970" max="8970" width="5.453125" style="136" bestFit="1" customWidth="1"/>
    <col min="8971" max="8971" width="5.54296875" style="136" bestFit="1" customWidth="1"/>
    <col min="8972" max="8972" width="5.453125" style="136" bestFit="1" customWidth="1"/>
    <col min="8973" max="8973" width="5.54296875" style="136" bestFit="1" customWidth="1"/>
    <col min="8974" max="8974" width="18.54296875" style="136" bestFit="1" customWidth="1"/>
    <col min="8975" max="8976" width="9.08984375" style="136"/>
    <col min="8977" max="8977" width="44.08984375" style="136" customWidth="1"/>
    <col min="8978" max="9215" width="9.08984375" style="136"/>
    <col min="9216" max="9216" width="3.90625" style="136" customWidth="1"/>
    <col min="9217" max="9217" width="0" style="136" hidden="1" customWidth="1"/>
    <col min="9218" max="9218" width="10" style="136" customWidth="1"/>
    <col min="9219" max="9219" width="49.36328125" style="136" customWidth="1"/>
    <col min="9220" max="9220" width="34.08984375" style="136" customWidth="1"/>
    <col min="9221" max="9221" width="49.36328125" style="136" customWidth="1"/>
    <col min="9222" max="9222" width="34.08984375" style="136" customWidth="1"/>
    <col min="9223" max="9223" width="12.90625" style="136" customWidth="1"/>
    <col min="9224" max="9224" width="5.453125" style="136" bestFit="1" customWidth="1"/>
    <col min="9225" max="9225" width="5.54296875" style="136" bestFit="1" customWidth="1"/>
    <col min="9226" max="9226" width="5.453125" style="136" bestFit="1" customWidth="1"/>
    <col min="9227" max="9227" width="5.54296875" style="136" bestFit="1" customWidth="1"/>
    <col min="9228" max="9228" width="5.453125" style="136" bestFit="1" customWidth="1"/>
    <col min="9229" max="9229" width="5.54296875" style="136" bestFit="1" customWidth="1"/>
    <col min="9230" max="9230" width="18.54296875" style="136" bestFit="1" customWidth="1"/>
    <col min="9231" max="9232" width="9.08984375" style="136"/>
    <col min="9233" max="9233" width="44.08984375" style="136" customWidth="1"/>
    <col min="9234" max="9471" width="9.08984375" style="136"/>
    <col min="9472" max="9472" width="3.90625" style="136" customWidth="1"/>
    <col min="9473" max="9473" width="0" style="136" hidden="1" customWidth="1"/>
    <col min="9474" max="9474" width="10" style="136" customWidth="1"/>
    <col min="9475" max="9475" width="49.36328125" style="136" customWidth="1"/>
    <col min="9476" max="9476" width="34.08984375" style="136" customWidth="1"/>
    <col min="9477" max="9477" width="49.36328125" style="136" customWidth="1"/>
    <col min="9478" max="9478" width="34.08984375" style="136" customWidth="1"/>
    <col min="9479" max="9479" width="12.90625" style="136" customWidth="1"/>
    <col min="9480" max="9480" width="5.453125" style="136" bestFit="1" customWidth="1"/>
    <col min="9481" max="9481" width="5.54296875" style="136" bestFit="1" customWidth="1"/>
    <col min="9482" max="9482" width="5.453125" style="136" bestFit="1" customWidth="1"/>
    <col min="9483" max="9483" width="5.54296875" style="136" bestFit="1" customWidth="1"/>
    <col min="9484" max="9484" width="5.453125" style="136" bestFit="1" customWidth="1"/>
    <col min="9485" max="9485" width="5.54296875" style="136" bestFit="1" customWidth="1"/>
    <col min="9486" max="9486" width="18.54296875" style="136" bestFit="1" customWidth="1"/>
    <col min="9487" max="9488" width="9.08984375" style="136"/>
    <col min="9489" max="9489" width="44.08984375" style="136" customWidth="1"/>
    <col min="9490" max="9727" width="9.08984375" style="136"/>
    <col min="9728" max="9728" width="3.90625" style="136" customWidth="1"/>
    <col min="9729" max="9729" width="0" style="136" hidden="1" customWidth="1"/>
    <col min="9730" max="9730" width="10" style="136" customWidth="1"/>
    <col min="9731" max="9731" width="49.36328125" style="136" customWidth="1"/>
    <col min="9732" max="9732" width="34.08984375" style="136" customWidth="1"/>
    <col min="9733" max="9733" width="49.36328125" style="136" customWidth="1"/>
    <col min="9734" max="9734" width="34.08984375" style="136" customWidth="1"/>
    <col min="9735" max="9735" width="12.90625" style="136" customWidth="1"/>
    <col min="9736" max="9736" width="5.453125" style="136" bestFit="1" customWidth="1"/>
    <col min="9737" max="9737" width="5.54296875" style="136" bestFit="1" customWidth="1"/>
    <col min="9738" max="9738" width="5.453125" style="136" bestFit="1" customWidth="1"/>
    <col min="9739" max="9739" width="5.54296875" style="136" bestFit="1" customWidth="1"/>
    <col min="9740" max="9740" width="5.453125" style="136" bestFit="1" customWidth="1"/>
    <col min="9741" max="9741" width="5.54296875" style="136" bestFit="1" customWidth="1"/>
    <col min="9742" max="9742" width="18.54296875" style="136" bestFit="1" customWidth="1"/>
    <col min="9743" max="9744" width="9.08984375" style="136"/>
    <col min="9745" max="9745" width="44.08984375" style="136" customWidth="1"/>
    <col min="9746" max="9983" width="9.08984375" style="136"/>
    <col min="9984" max="9984" width="3.90625" style="136" customWidth="1"/>
    <col min="9985" max="9985" width="0" style="136" hidden="1" customWidth="1"/>
    <col min="9986" max="9986" width="10" style="136" customWidth="1"/>
    <col min="9987" max="9987" width="49.36328125" style="136" customWidth="1"/>
    <col min="9988" max="9988" width="34.08984375" style="136" customWidth="1"/>
    <col min="9989" max="9989" width="49.36328125" style="136" customWidth="1"/>
    <col min="9990" max="9990" width="34.08984375" style="136" customWidth="1"/>
    <col min="9991" max="9991" width="12.90625" style="136" customWidth="1"/>
    <col min="9992" max="9992" width="5.453125" style="136" bestFit="1" customWidth="1"/>
    <col min="9993" max="9993" width="5.54296875" style="136" bestFit="1" customWidth="1"/>
    <col min="9994" max="9994" width="5.453125" style="136" bestFit="1" customWidth="1"/>
    <col min="9995" max="9995" width="5.54296875" style="136" bestFit="1" customWidth="1"/>
    <col min="9996" max="9996" width="5.453125" style="136" bestFit="1" customWidth="1"/>
    <col min="9997" max="9997" width="5.54296875" style="136" bestFit="1" customWidth="1"/>
    <col min="9998" max="9998" width="18.54296875" style="136" bestFit="1" customWidth="1"/>
    <col min="9999" max="10000" width="9.08984375" style="136"/>
    <col min="10001" max="10001" width="44.08984375" style="136" customWidth="1"/>
    <col min="10002" max="10239" width="9.08984375" style="136"/>
    <col min="10240" max="10240" width="3.90625" style="136" customWidth="1"/>
    <col min="10241" max="10241" width="0" style="136" hidden="1" customWidth="1"/>
    <col min="10242" max="10242" width="10" style="136" customWidth="1"/>
    <col min="10243" max="10243" width="49.36328125" style="136" customWidth="1"/>
    <col min="10244" max="10244" width="34.08984375" style="136" customWidth="1"/>
    <col min="10245" max="10245" width="49.36328125" style="136" customWidth="1"/>
    <col min="10246" max="10246" width="34.08984375" style="136" customWidth="1"/>
    <col min="10247" max="10247" width="12.90625" style="136" customWidth="1"/>
    <col min="10248" max="10248" width="5.453125" style="136" bestFit="1" customWidth="1"/>
    <col min="10249" max="10249" width="5.54296875" style="136" bestFit="1" customWidth="1"/>
    <col min="10250" max="10250" width="5.453125" style="136" bestFit="1" customWidth="1"/>
    <col min="10251" max="10251" width="5.54296875" style="136" bestFit="1" customWidth="1"/>
    <col min="10252" max="10252" width="5.453125" style="136" bestFit="1" customWidth="1"/>
    <col min="10253" max="10253" width="5.54296875" style="136" bestFit="1" customWidth="1"/>
    <col min="10254" max="10254" width="18.54296875" style="136" bestFit="1" customWidth="1"/>
    <col min="10255" max="10256" width="9.08984375" style="136"/>
    <col min="10257" max="10257" width="44.08984375" style="136" customWidth="1"/>
    <col min="10258" max="10495" width="9.08984375" style="136"/>
    <col min="10496" max="10496" width="3.90625" style="136" customWidth="1"/>
    <col min="10497" max="10497" width="0" style="136" hidden="1" customWidth="1"/>
    <col min="10498" max="10498" width="10" style="136" customWidth="1"/>
    <col min="10499" max="10499" width="49.36328125" style="136" customWidth="1"/>
    <col min="10500" max="10500" width="34.08984375" style="136" customWidth="1"/>
    <col min="10501" max="10501" width="49.36328125" style="136" customWidth="1"/>
    <col min="10502" max="10502" width="34.08984375" style="136" customWidth="1"/>
    <col min="10503" max="10503" width="12.90625" style="136" customWidth="1"/>
    <col min="10504" max="10504" width="5.453125" style="136" bestFit="1" customWidth="1"/>
    <col min="10505" max="10505" width="5.54296875" style="136" bestFit="1" customWidth="1"/>
    <col min="10506" max="10506" width="5.453125" style="136" bestFit="1" customWidth="1"/>
    <col min="10507" max="10507" width="5.54296875" style="136" bestFit="1" customWidth="1"/>
    <col min="10508" max="10508" width="5.453125" style="136" bestFit="1" customWidth="1"/>
    <col min="10509" max="10509" width="5.54296875" style="136" bestFit="1" customWidth="1"/>
    <col min="10510" max="10510" width="18.54296875" style="136" bestFit="1" customWidth="1"/>
    <col min="10511" max="10512" width="9.08984375" style="136"/>
    <col min="10513" max="10513" width="44.08984375" style="136" customWidth="1"/>
    <col min="10514" max="10751" width="9.08984375" style="136"/>
    <col min="10752" max="10752" width="3.90625" style="136" customWidth="1"/>
    <col min="10753" max="10753" width="0" style="136" hidden="1" customWidth="1"/>
    <col min="10754" max="10754" width="10" style="136" customWidth="1"/>
    <col min="10755" max="10755" width="49.36328125" style="136" customWidth="1"/>
    <col min="10756" max="10756" width="34.08984375" style="136" customWidth="1"/>
    <col min="10757" max="10757" width="49.36328125" style="136" customWidth="1"/>
    <col min="10758" max="10758" width="34.08984375" style="136" customWidth="1"/>
    <col min="10759" max="10759" width="12.90625" style="136" customWidth="1"/>
    <col min="10760" max="10760" width="5.453125" style="136" bestFit="1" customWidth="1"/>
    <col min="10761" max="10761" width="5.54296875" style="136" bestFit="1" customWidth="1"/>
    <col min="10762" max="10762" width="5.453125" style="136" bestFit="1" customWidth="1"/>
    <col min="10763" max="10763" width="5.54296875" style="136" bestFit="1" customWidth="1"/>
    <col min="10764" max="10764" width="5.453125" style="136" bestFit="1" customWidth="1"/>
    <col min="10765" max="10765" width="5.54296875" style="136" bestFit="1" customWidth="1"/>
    <col min="10766" max="10766" width="18.54296875" style="136" bestFit="1" customWidth="1"/>
    <col min="10767" max="10768" width="9.08984375" style="136"/>
    <col min="10769" max="10769" width="44.08984375" style="136" customWidth="1"/>
    <col min="10770" max="11007" width="9.08984375" style="136"/>
    <col min="11008" max="11008" width="3.90625" style="136" customWidth="1"/>
    <col min="11009" max="11009" width="0" style="136" hidden="1" customWidth="1"/>
    <col min="11010" max="11010" width="10" style="136" customWidth="1"/>
    <col min="11011" max="11011" width="49.36328125" style="136" customWidth="1"/>
    <col min="11012" max="11012" width="34.08984375" style="136" customWidth="1"/>
    <col min="11013" max="11013" width="49.36328125" style="136" customWidth="1"/>
    <col min="11014" max="11014" width="34.08984375" style="136" customWidth="1"/>
    <col min="11015" max="11015" width="12.90625" style="136" customWidth="1"/>
    <col min="11016" max="11016" width="5.453125" style="136" bestFit="1" customWidth="1"/>
    <col min="11017" max="11017" width="5.54296875" style="136" bestFit="1" customWidth="1"/>
    <col min="11018" max="11018" width="5.453125" style="136" bestFit="1" customWidth="1"/>
    <col min="11019" max="11019" width="5.54296875" style="136" bestFit="1" customWidth="1"/>
    <col min="11020" max="11020" width="5.453125" style="136" bestFit="1" customWidth="1"/>
    <col min="11021" max="11021" width="5.54296875" style="136" bestFit="1" customWidth="1"/>
    <col min="11022" max="11022" width="18.54296875" style="136" bestFit="1" customWidth="1"/>
    <col min="11023" max="11024" width="9.08984375" style="136"/>
    <col min="11025" max="11025" width="44.08984375" style="136" customWidth="1"/>
    <col min="11026" max="11263" width="9.08984375" style="136"/>
    <col min="11264" max="11264" width="3.90625" style="136" customWidth="1"/>
    <col min="11265" max="11265" width="0" style="136" hidden="1" customWidth="1"/>
    <col min="11266" max="11266" width="10" style="136" customWidth="1"/>
    <col min="11267" max="11267" width="49.36328125" style="136" customWidth="1"/>
    <col min="11268" max="11268" width="34.08984375" style="136" customWidth="1"/>
    <col min="11269" max="11269" width="49.36328125" style="136" customWidth="1"/>
    <col min="11270" max="11270" width="34.08984375" style="136" customWidth="1"/>
    <col min="11271" max="11271" width="12.90625" style="136" customWidth="1"/>
    <col min="11272" max="11272" width="5.453125" style="136" bestFit="1" customWidth="1"/>
    <col min="11273" max="11273" width="5.54296875" style="136" bestFit="1" customWidth="1"/>
    <col min="11274" max="11274" width="5.453125" style="136" bestFit="1" customWidth="1"/>
    <col min="11275" max="11275" width="5.54296875" style="136" bestFit="1" customWidth="1"/>
    <col min="11276" max="11276" width="5.453125" style="136" bestFit="1" customWidth="1"/>
    <col min="11277" max="11277" width="5.54296875" style="136" bestFit="1" customWidth="1"/>
    <col min="11278" max="11278" width="18.54296875" style="136" bestFit="1" customWidth="1"/>
    <col min="11279" max="11280" width="9.08984375" style="136"/>
    <col min="11281" max="11281" width="44.08984375" style="136" customWidth="1"/>
    <col min="11282" max="11519" width="9.08984375" style="136"/>
    <col min="11520" max="11520" width="3.90625" style="136" customWidth="1"/>
    <col min="11521" max="11521" width="0" style="136" hidden="1" customWidth="1"/>
    <col min="11522" max="11522" width="10" style="136" customWidth="1"/>
    <col min="11523" max="11523" width="49.36328125" style="136" customWidth="1"/>
    <col min="11524" max="11524" width="34.08984375" style="136" customWidth="1"/>
    <col min="11525" max="11525" width="49.36328125" style="136" customWidth="1"/>
    <col min="11526" max="11526" width="34.08984375" style="136" customWidth="1"/>
    <col min="11527" max="11527" width="12.90625" style="136" customWidth="1"/>
    <col min="11528" max="11528" width="5.453125" style="136" bestFit="1" customWidth="1"/>
    <col min="11529" max="11529" width="5.54296875" style="136" bestFit="1" customWidth="1"/>
    <col min="11530" max="11530" width="5.453125" style="136" bestFit="1" customWidth="1"/>
    <col min="11531" max="11531" width="5.54296875" style="136" bestFit="1" customWidth="1"/>
    <col min="11532" max="11532" width="5.453125" style="136" bestFit="1" customWidth="1"/>
    <col min="11533" max="11533" width="5.54296875" style="136" bestFit="1" customWidth="1"/>
    <col min="11534" max="11534" width="18.54296875" style="136" bestFit="1" customWidth="1"/>
    <col min="11535" max="11536" width="9.08984375" style="136"/>
    <col min="11537" max="11537" width="44.08984375" style="136" customWidth="1"/>
    <col min="11538" max="11775" width="9.08984375" style="136"/>
    <col min="11776" max="11776" width="3.90625" style="136" customWidth="1"/>
    <col min="11777" max="11777" width="0" style="136" hidden="1" customWidth="1"/>
    <col min="11778" max="11778" width="10" style="136" customWidth="1"/>
    <col min="11779" max="11779" width="49.36328125" style="136" customWidth="1"/>
    <col min="11780" max="11780" width="34.08984375" style="136" customWidth="1"/>
    <col min="11781" max="11781" width="49.36328125" style="136" customWidth="1"/>
    <col min="11782" max="11782" width="34.08984375" style="136" customWidth="1"/>
    <col min="11783" max="11783" width="12.90625" style="136" customWidth="1"/>
    <col min="11784" max="11784" width="5.453125" style="136" bestFit="1" customWidth="1"/>
    <col min="11785" max="11785" width="5.54296875" style="136" bestFit="1" customWidth="1"/>
    <col min="11786" max="11786" width="5.453125" style="136" bestFit="1" customWidth="1"/>
    <col min="11787" max="11787" width="5.54296875" style="136" bestFit="1" customWidth="1"/>
    <col min="11788" max="11788" width="5.453125" style="136" bestFit="1" customWidth="1"/>
    <col min="11789" max="11789" width="5.54296875" style="136" bestFit="1" customWidth="1"/>
    <col min="11790" max="11790" width="18.54296875" style="136" bestFit="1" customWidth="1"/>
    <col min="11791" max="11792" width="9.08984375" style="136"/>
    <col min="11793" max="11793" width="44.08984375" style="136" customWidth="1"/>
    <col min="11794" max="12031" width="9.08984375" style="136"/>
    <col min="12032" max="12032" width="3.90625" style="136" customWidth="1"/>
    <col min="12033" max="12033" width="0" style="136" hidden="1" customWidth="1"/>
    <col min="12034" max="12034" width="10" style="136" customWidth="1"/>
    <col min="12035" max="12035" width="49.36328125" style="136" customWidth="1"/>
    <col min="12036" max="12036" width="34.08984375" style="136" customWidth="1"/>
    <col min="12037" max="12037" width="49.36328125" style="136" customWidth="1"/>
    <col min="12038" max="12038" width="34.08984375" style="136" customWidth="1"/>
    <col min="12039" max="12039" width="12.90625" style="136" customWidth="1"/>
    <col min="12040" max="12040" width="5.453125" style="136" bestFit="1" customWidth="1"/>
    <col min="12041" max="12041" width="5.54296875" style="136" bestFit="1" customWidth="1"/>
    <col min="12042" max="12042" width="5.453125" style="136" bestFit="1" customWidth="1"/>
    <col min="12043" max="12043" width="5.54296875" style="136" bestFit="1" customWidth="1"/>
    <col min="12044" max="12044" width="5.453125" style="136" bestFit="1" customWidth="1"/>
    <col min="12045" max="12045" width="5.54296875" style="136" bestFit="1" customWidth="1"/>
    <col min="12046" max="12046" width="18.54296875" style="136" bestFit="1" customWidth="1"/>
    <col min="12047" max="12048" width="9.08984375" style="136"/>
    <col min="12049" max="12049" width="44.08984375" style="136" customWidth="1"/>
    <col min="12050" max="12287" width="9.08984375" style="136"/>
    <col min="12288" max="12288" width="3.90625" style="136" customWidth="1"/>
    <col min="12289" max="12289" width="0" style="136" hidden="1" customWidth="1"/>
    <col min="12290" max="12290" width="10" style="136" customWidth="1"/>
    <col min="12291" max="12291" width="49.36328125" style="136" customWidth="1"/>
    <col min="12292" max="12292" width="34.08984375" style="136" customWidth="1"/>
    <col min="12293" max="12293" width="49.36328125" style="136" customWidth="1"/>
    <col min="12294" max="12294" width="34.08984375" style="136" customWidth="1"/>
    <col min="12295" max="12295" width="12.90625" style="136" customWidth="1"/>
    <col min="12296" max="12296" width="5.453125" style="136" bestFit="1" customWidth="1"/>
    <col min="12297" max="12297" width="5.54296875" style="136" bestFit="1" customWidth="1"/>
    <col min="12298" max="12298" width="5.453125" style="136" bestFit="1" customWidth="1"/>
    <col min="12299" max="12299" width="5.54296875" style="136" bestFit="1" customWidth="1"/>
    <col min="12300" max="12300" width="5.453125" style="136" bestFit="1" customWidth="1"/>
    <col min="12301" max="12301" width="5.54296875" style="136" bestFit="1" customWidth="1"/>
    <col min="12302" max="12302" width="18.54296875" style="136" bestFit="1" customWidth="1"/>
    <col min="12303" max="12304" width="9.08984375" style="136"/>
    <col min="12305" max="12305" width="44.08984375" style="136" customWidth="1"/>
    <col min="12306" max="12543" width="9.08984375" style="136"/>
    <col min="12544" max="12544" width="3.90625" style="136" customWidth="1"/>
    <col min="12545" max="12545" width="0" style="136" hidden="1" customWidth="1"/>
    <col min="12546" max="12546" width="10" style="136" customWidth="1"/>
    <col min="12547" max="12547" width="49.36328125" style="136" customWidth="1"/>
    <col min="12548" max="12548" width="34.08984375" style="136" customWidth="1"/>
    <col min="12549" max="12549" width="49.36328125" style="136" customWidth="1"/>
    <col min="12550" max="12550" width="34.08984375" style="136" customWidth="1"/>
    <col min="12551" max="12551" width="12.90625" style="136" customWidth="1"/>
    <col min="12552" max="12552" width="5.453125" style="136" bestFit="1" customWidth="1"/>
    <col min="12553" max="12553" width="5.54296875" style="136" bestFit="1" customWidth="1"/>
    <col min="12554" max="12554" width="5.453125" style="136" bestFit="1" customWidth="1"/>
    <col min="12555" max="12555" width="5.54296875" style="136" bestFit="1" customWidth="1"/>
    <col min="12556" max="12556" width="5.453125" style="136" bestFit="1" customWidth="1"/>
    <col min="12557" max="12557" width="5.54296875" style="136" bestFit="1" customWidth="1"/>
    <col min="12558" max="12558" width="18.54296875" style="136" bestFit="1" customWidth="1"/>
    <col min="12559" max="12560" width="9.08984375" style="136"/>
    <col min="12561" max="12561" width="44.08984375" style="136" customWidth="1"/>
    <col min="12562" max="12799" width="9.08984375" style="136"/>
    <col min="12800" max="12800" width="3.90625" style="136" customWidth="1"/>
    <col min="12801" max="12801" width="0" style="136" hidden="1" customWidth="1"/>
    <col min="12802" max="12802" width="10" style="136" customWidth="1"/>
    <col min="12803" max="12803" width="49.36328125" style="136" customWidth="1"/>
    <col min="12804" max="12804" width="34.08984375" style="136" customWidth="1"/>
    <col min="12805" max="12805" width="49.36328125" style="136" customWidth="1"/>
    <col min="12806" max="12806" width="34.08984375" style="136" customWidth="1"/>
    <col min="12807" max="12807" width="12.90625" style="136" customWidth="1"/>
    <col min="12808" max="12808" width="5.453125" style="136" bestFit="1" customWidth="1"/>
    <col min="12809" max="12809" width="5.54296875" style="136" bestFit="1" customWidth="1"/>
    <col min="12810" max="12810" width="5.453125" style="136" bestFit="1" customWidth="1"/>
    <col min="12811" max="12811" width="5.54296875" style="136" bestFit="1" customWidth="1"/>
    <col min="12812" max="12812" width="5.453125" style="136" bestFit="1" customWidth="1"/>
    <col min="12813" max="12813" width="5.54296875" style="136" bestFit="1" customWidth="1"/>
    <col min="12814" max="12814" width="18.54296875" style="136" bestFit="1" customWidth="1"/>
    <col min="12815" max="12816" width="9.08984375" style="136"/>
    <col min="12817" max="12817" width="44.08984375" style="136" customWidth="1"/>
    <col min="12818" max="13055" width="9.08984375" style="136"/>
    <col min="13056" max="13056" width="3.90625" style="136" customWidth="1"/>
    <col min="13057" max="13057" width="0" style="136" hidden="1" customWidth="1"/>
    <col min="13058" max="13058" width="10" style="136" customWidth="1"/>
    <col min="13059" max="13059" width="49.36328125" style="136" customWidth="1"/>
    <col min="13060" max="13060" width="34.08984375" style="136" customWidth="1"/>
    <col min="13061" max="13061" width="49.36328125" style="136" customWidth="1"/>
    <col min="13062" max="13062" width="34.08984375" style="136" customWidth="1"/>
    <col min="13063" max="13063" width="12.90625" style="136" customWidth="1"/>
    <col min="13064" max="13064" width="5.453125" style="136" bestFit="1" customWidth="1"/>
    <col min="13065" max="13065" width="5.54296875" style="136" bestFit="1" customWidth="1"/>
    <col min="13066" max="13066" width="5.453125" style="136" bestFit="1" customWidth="1"/>
    <col min="13067" max="13067" width="5.54296875" style="136" bestFit="1" customWidth="1"/>
    <col min="13068" max="13068" width="5.453125" style="136" bestFit="1" customWidth="1"/>
    <col min="13069" max="13069" width="5.54296875" style="136" bestFit="1" customWidth="1"/>
    <col min="13070" max="13070" width="18.54296875" style="136" bestFit="1" customWidth="1"/>
    <col min="13071" max="13072" width="9.08984375" style="136"/>
    <col min="13073" max="13073" width="44.08984375" style="136" customWidth="1"/>
    <col min="13074" max="13311" width="9.08984375" style="136"/>
    <col min="13312" max="13312" width="3.90625" style="136" customWidth="1"/>
    <col min="13313" max="13313" width="0" style="136" hidden="1" customWidth="1"/>
    <col min="13314" max="13314" width="10" style="136" customWidth="1"/>
    <col min="13315" max="13315" width="49.36328125" style="136" customWidth="1"/>
    <col min="13316" max="13316" width="34.08984375" style="136" customWidth="1"/>
    <col min="13317" max="13317" width="49.36328125" style="136" customWidth="1"/>
    <col min="13318" max="13318" width="34.08984375" style="136" customWidth="1"/>
    <col min="13319" max="13319" width="12.90625" style="136" customWidth="1"/>
    <col min="13320" max="13320" width="5.453125" style="136" bestFit="1" customWidth="1"/>
    <col min="13321" max="13321" width="5.54296875" style="136" bestFit="1" customWidth="1"/>
    <col min="13322" max="13322" width="5.453125" style="136" bestFit="1" customWidth="1"/>
    <col min="13323" max="13323" width="5.54296875" style="136" bestFit="1" customWidth="1"/>
    <col min="13324" max="13324" width="5.453125" style="136" bestFit="1" customWidth="1"/>
    <col min="13325" max="13325" width="5.54296875" style="136" bestFit="1" customWidth="1"/>
    <col min="13326" max="13326" width="18.54296875" style="136" bestFit="1" customWidth="1"/>
    <col min="13327" max="13328" width="9.08984375" style="136"/>
    <col min="13329" max="13329" width="44.08984375" style="136" customWidth="1"/>
    <col min="13330" max="13567" width="9.08984375" style="136"/>
    <col min="13568" max="13568" width="3.90625" style="136" customWidth="1"/>
    <col min="13569" max="13569" width="0" style="136" hidden="1" customWidth="1"/>
    <col min="13570" max="13570" width="10" style="136" customWidth="1"/>
    <col min="13571" max="13571" width="49.36328125" style="136" customWidth="1"/>
    <col min="13572" max="13572" width="34.08984375" style="136" customWidth="1"/>
    <col min="13573" max="13573" width="49.36328125" style="136" customWidth="1"/>
    <col min="13574" max="13574" width="34.08984375" style="136" customWidth="1"/>
    <col min="13575" max="13575" width="12.90625" style="136" customWidth="1"/>
    <col min="13576" max="13576" width="5.453125" style="136" bestFit="1" customWidth="1"/>
    <col min="13577" max="13577" width="5.54296875" style="136" bestFit="1" customWidth="1"/>
    <col min="13578" max="13578" width="5.453125" style="136" bestFit="1" customWidth="1"/>
    <col min="13579" max="13579" width="5.54296875" style="136" bestFit="1" customWidth="1"/>
    <col min="13580" max="13580" width="5.453125" style="136" bestFit="1" customWidth="1"/>
    <col min="13581" max="13581" width="5.54296875" style="136" bestFit="1" customWidth="1"/>
    <col min="13582" max="13582" width="18.54296875" style="136" bestFit="1" customWidth="1"/>
    <col min="13583" max="13584" width="9.08984375" style="136"/>
    <col min="13585" max="13585" width="44.08984375" style="136" customWidth="1"/>
    <col min="13586" max="13823" width="9.08984375" style="136"/>
    <col min="13824" max="13824" width="3.90625" style="136" customWidth="1"/>
    <col min="13825" max="13825" width="0" style="136" hidden="1" customWidth="1"/>
    <col min="13826" max="13826" width="10" style="136" customWidth="1"/>
    <col min="13827" max="13827" width="49.36328125" style="136" customWidth="1"/>
    <col min="13828" max="13828" width="34.08984375" style="136" customWidth="1"/>
    <col min="13829" max="13829" width="49.36328125" style="136" customWidth="1"/>
    <col min="13830" max="13830" width="34.08984375" style="136" customWidth="1"/>
    <col min="13831" max="13831" width="12.90625" style="136" customWidth="1"/>
    <col min="13832" max="13832" width="5.453125" style="136" bestFit="1" customWidth="1"/>
    <col min="13833" max="13833" width="5.54296875" style="136" bestFit="1" customWidth="1"/>
    <col min="13834" max="13834" width="5.453125" style="136" bestFit="1" customWidth="1"/>
    <col min="13835" max="13835" width="5.54296875" style="136" bestFit="1" customWidth="1"/>
    <col min="13836" max="13836" width="5.453125" style="136" bestFit="1" customWidth="1"/>
    <col min="13837" max="13837" width="5.54296875" style="136" bestFit="1" customWidth="1"/>
    <col min="13838" max="13838" width="18.54296875" style="136" bestFit="1" customWidth="1"/>
    <col min="13839" max="13840" width="9.08984375" style="136"/>
    <col min="13841" max="13841" width="44.08984375" style="136" customWidth="1"/>
    <col min="13842" max="14079" width="9.08984375" style="136"/>
    <col min="14080" max="14080" width="3.90625" style="136" customWidth="1"/>
    <col min="14081" max="14081" width="0" style="136" hidden="1" customWidth="1"/>
    <col min="14082" max="14082" width="10" style="136" customWidth="1"/>
    <col min="14083" max="14083" width="49.36328125" style="136" customWidth="1"/>
    <col min="14084" max="14084" width="34.08984375" style="136" customWidth="1"/>
    <col min="14085" max="14085" width="49.36328125" style="136" customWidth="1"/>
    <col min="14086" max="14086" width="34.08984375" style="136" customWidth="1"/>
    <col min="14087" max="14087" width="12.90625" style="136" customWidth="1"/>
    <col min="14088" max="14088" width="5.453125" style="136" bestFit="1" customWidth="1"/>
    <col min="14089" max="14089" width="5.54296875" style="136" bestFit="1" customWidth="1"/>
    <col min="14090" max="14090" width="5.453125" style="136" bestFit="1" customWidth="1"/>
    <col min="14091" max="14091" width="5.54296875" style="136" bestFit="1" customWidth="1"/>
    <col min="14092" max="14092" width="5.453125" style="136" bestFit="1" customWidth="1"/>
    <col min="14093" max="14093" width="5.54296875" style="136" bestFit="1" customWidth="1"/>
    <col min="14094" max="14094" width="18.54296875" style="136" bestFit="1" customWidth="1"/>
    <col min="14095" max="14096" width="9.08984375" style="136"/>
    <col min="14097" max="14097" width="44.08984375" style="136" customWidth="1"/>
    <col min="14098" max="14335" width="9.08984375" style="136"/>
    <col min="14336" max="14336" width="3.90625" style="136" customWidth="1"/>
    <col min="14337" max="14337" width="0" style="136" hidden="1" customWidth="1"/>
    <col min="14338" max="14338" width="10" style="136" customWidth="1"/>
    <col min="14339" max="14339" width="49.36328125" style="136" customWidth="1"/>
    <col min="14340" max="14340" width="34.08984375" style="136" customWidth="1"/>
    <col min="14341" max="14341" width="49.36328125" style="136" customWidth="1"/>
    <col min="14342" max="14342" width="34.08984375" style="136" customWidth="1"/>
    <col min="14343" max="14343" width="12.90625" style="136" customWidth="1"/>
    <col min="14344" max="14344" width="5.453125" style="136" bestFit="1" customWidth="1"/>
    <col min="14345" max="14345" width="5.54296875" style="136" bestFit="1" customWidth="1"/>
    <col min="14346" max="14346" width="5.453125" style="136" bestFit="1" customWidth="1"/>
    <col min="14347" max="14347" width="5.54296875" style="136" bestFit="1" customWidth="1"/>
    <col min="14348" max="14348" width="5.453125" style="136" bestFit="1" customWidth="1"/>
    <col min="14349" max="14349" width="5.54296875" style="136" bestFit="1" customWidth="1"/>
    <col min="14350" max="14350" width="18.54296875" style="136" bestFit="1" customWidth="1"/>
    <col min="14351" max="14352" width="9.08984375" style="136"/>
    <col min="14353" max="14353" width="44.08984375" style="136" customWidth="1"/>
    <col min="14354" max="14591" width="9.08984375" style="136"/>
    <col min="14592" max="14592" width="3.90625" style="136" customWidth="1"/>
    <col min="14593" max="14593" width="0" style="136" hidden="1" customWidth="1"/>
    <col min="14594" max="14594" width="10" style="136" customWidth="1"/>
    <col min="14595" max="14595" width="49.36328125" style="136" customWidth="1"/>
    <col min="14596" max="14596" width="34.08984375" style="136" customWidth="1"/>
    <col min="14597" max="14597" width="49.36328125" style="136" customWidth="1"/>
    <col min="14598" max="14598" width="34.08984375" style="136" customWidth="1"/>
    <col min="14599" max="14599" width="12.90625" style="136" customWidth="1"/>
    <col min="14600" max="14600" width="5.453125" style="136" bestFit="1" customWidth="1"/>
    <col min="14601" max="14601" width="5.54296875" style="136" bestFit="1" customWidth="1"/>
    <col min="14602" max="14602" width="5.453125" style="136" bestFit="1" customWidth="1"/>
    <col min="14603" max="14603" width="5.54296875" style="136" bestFit="1" customWidth="1"/>
    <col min="14604" max="14604" width="5.453125" style="136" bestFit="1" customWidth="1"/>
    <col min="14605" max="14605" width="5.54296875" style="136" bestFit="1" customWidth="1"/>
    <col min="14606" max="14606" width="18.54296875" style="136" bestFit="1" customWidth="1"/>
    <col min="14607" max="14608" width="9.08984375" style="136"/>
    <col min="14609" max="14609" width="44.08984375" style="136" customWidth="1"/>
    <col min="14610" max="14847" width="9.08984375" style="136"/>
    <col min="14848" max="14848" width="3.90625" style="136" customWidth="1"/>
    <col min="14849" max="14849" width="0" style="136" hidden="1" customWidth="1"/>
    <col min="14850" max="14850" width="10" style="136" customWidth="1"/>
    <col min="14851" max="14851" width="49.36328125" style="136" customWidth="1"/>
    <col min="14852" max="14852" width="34.08984375" style="136" customWidth="1"/>
    <col min="14853" max="14853" width="49.36328125" style="136" customWidth="1"/>
    <col min="14854" max="14854" width="34.08984375" style="136" customWidth="1"/>
    <col min="14855" max="14855" width="12.90625" style="136" customWidth="1"/>
    <col min="14856" max="14856" width="5.453125" style="136" bestFit="1" customWidth="1"/>
    <col min="14857" max="14857" width="5.54296875" style="136" bestFit="1" customWidth="1"/>
    <col min="14858" max="14858" width="5.453125" style="136" bestFit="1" customWidth="1"/>
    <col min="14859" max="14859" width="5.54296875" style="136" bestFit="1" customWidth="1"/>
    <col min="14860" max="14860" width="5.453125" style="136" bestFit="1" customWidth="1"/>
    <col min="14861" max="14861" width="5.54296875" style="136" bestFit="1" customWidth="1"/>
    <col min="14862" max="14862" width="18.54296875" style="136" bestFit="1" customWidth="1"/>
    <col min="14863" max="14864" width="9.08984375" style="136"/>
    <col min="14865" max="14865" width="44.08984375" style="136" customWidth="1"/>
    <col min="14866" max="15103" width="9.08984375" style="136"/>
    <col min="15104" max="15104" width="3.90625" style="136" customWidth="1"/>
    <col min="15105" max="15105" width="0" style="136" hidden="1" customWidth="1"/>
    <col min="15106" max="15106" width="10" style="136" customWidth="1"/>
    <col min="15107" max="15107" width="49.36328125" style="136" customWidth="1"/>
    <col min="15108" max="15108" width="34.08984375" style="136" customWidth="1"/>
    <col min="15109" max="15109" width="49.36328125" style="136" customWidth="1"/>
    <col min="15110" max="15110" width="34.08984375" style="136" customWidth="1"/>
    <col min="15111" max="15111" width="12.90625" style="136" customWidth="1"/>
    <col min="15112" max="15112" width="5.453125" style="136" bestFit="1" customWidth="1"/>
    <col min="15113" max="15113" width="5.54296875" style="136" bestFit="1" customWidth="1"/>
    <col min="15114" max="15114" width="5.453125" style="136" bestFit="1" customWidth="1"/>
    <col min="15115" max="15115" width="5.54296875" style="136" bestFit="1" customWidth="1"/>
    <col min="15116" max="15116" width="5.453125" style="136" bestFit="1" customWidth="1"/>
    <col min="15117" max="15117" width="5.54296875" style="136" bestFit="1" customWidth="1"/>
    <col min="15118" max="15118" width="18.54296875" style="136" bestFit="1" customWidth="1"/>
    <col min="15119" max="15120" width="9.08984375" style="136"/>
    <col min="15121" max="15121" width="44.08984375" style="136" customWidth="1"/>
    <col min="15122" max="15359" width="9.08984375" style="136"/>
    <col min="15360" max="15360" width="3.90625" style="136" customWidth="1"/>
    <col min="15361" max="15361" width="0" style="136" hidden="1" customWidth="1"/>
    <col min="15362" max="15362" width="10" style="136" customWidth="1"/>
    <col min="15363" max="15363" width="49.36328125" style="136" customWidth="1"/>
    <col min="15364" max="15364" width="34.08984375" style="136" customWidth="1"/>
    <col min="15365" max="15365" width="49.36328125" style="136" customWidth="1"/>
    <col min="15366" max="15366" width="34.08984375" style="136" customWidth="1"/>
    <col min="15367" max="15367" width="12.90625" style="136" customWidth="1"/>
    <col min="15368" max="15368" width="5.453125" style="136" bestFit="1" customWidth="1"/>
    <col min="15369" max="15369" width="5.54296875" style="136" bestFit="1" customWidth="1"/>
    <col min="15370" max="15370" width="5.453125" style="136" bestFit="1" customWidth="1"/>
    <col min="15371" max="15371" width="5.54296875" style="136" bestFit="1" customWidth="1"/>
    <col min="15372" max="15372" width="5.453125" style="136" bestFit="1" customWidth="1"/>
    <col min="15373" max="15373" width="5.54296875" style="136" bestFit="1" customWidth="1"/>
    <col min="15374" max="15374" width="18.54296875" style="136" bestFit="1" customWidth="1"/>
    <col min="15375" max="15376" width="9.08984375" style="136"/>
    <col min="15377" max="15377" width="44.08984375" style="136" customWidth="1"/>
    <col min="15378" max="15615" width="9.08984375" style="136"/>
    <col min="15616" max="15616" width="3.90625" style="136" customWidth="1"/>
    <col min="15617" max="15617" width="0" style="136" hidden="1" customWidth="1"/>
    <col min="15618" max="15618" width="10" style="136" customWidth="1"/>
    <col min="15619" max="15619" width="49.36328125" style="136" customWidth="1"/>
    <col min="15620" max="15620" width="34.08984375" style="136" customWidth="1"/>
    <col min="15621" max="15621" width="49.36328125" style="136" customWidth="1"/>
    <col min="15622" max="15622" width="34.08984375" style="136" customWidth="1"/>
    <col min="15623" max="15623" width="12.90625" style="136" customWidth="1"/>
    <col min="15624" max="15624" width="5.453125" style="136" bestFit="1" customWidth="1"/>
    <col min="15625" max="15625" width="5.54296875" style="136" bestFit="1" customWidth="1"/>
    <col min="15626" max="15626" width="5.453125" style="136" bestFit="1" customWidth="1"/>
    <col min="15627" max="15627" width="5.54296875" style="136" bestFit="1" customWidth="1"/>
    <col min="15628" max="15628" width="5.453125" style="136" bestFit="1" customWidth="1"/>
    <col min="15629" max="15629" width="5.54296875" style="136" bestFit="1" customWidth="1"/>
    <col min="15630" max="15630" width="18.54296875" style="136" bestFit="1" customWidth="1"/>
    <col min="15631" max="15632" width="9.08984375" style="136"/>
    <col min="15633" max="15633" width="44.08984375" style="136" customWidth="1"/>
    <col min="15634" max="15871" width="9.08984375" style="136"/>
    <col min="15872" max="15872" width="3.90625" style="136" customWidth="1"/>
    <col min="15873" max="15873" width="0" style="136" hidden="1" customWidth="1"/>
    <col min="15874" max="15874" width="10" style="136" customWidth="1"/>
    <col min="15875" max="15875" width="49.36328125" style="136" customWidth="1"/>
    <col min="15876" max="15876" width="34.08984375" style="136" customWidth="1"/>
    <col min="15877" max="15877" width="49.36328125" style="136" customWidth="1"/>
    <col min="15878" max="15878" width="34.08984375" style="136" customWidth="1"/>
    <col min="15879" max="15879" width="12.90625" style="136" customWidth="1"/>
    <col min="15880" max="15880" width="5.453125" style="136" bestFit="1" customWidth="1"/>
    <col min="15881" max="15881" width="5.54296875" style="136" bestFit="1" customWidth="1"/>
    <col min="15882" max="15882" width="5.453125" style="136" bestFit="1" customWidth="1"/>
    <col min="15883" max="15883" width="5.54296875" style="136" bestFit="1" customWidth="1"/>
    <col min="15884" max="15884" width="5.453125" style="136" bestFit="1" customWidth="1"/>
    <col min="15885" max="15885" width="5.54296875" style="136" bestFit="1" customWidth="1"/>
    <col min="15886" max="15886" width="18.54296875" style="136" bestFit="1" customWidth="1"/>
    <col min="15887" max="15888" width="9.08984375" style="136"/>
    <col min="15889" max="15889" width="44.08984375" style="136" customWidth="1"/>
    <col min="15890" max="16127" width="9.08984375" style="136"/>
    <col min="16128" max="16128" width="3.90625" style="136" customWidth="1"/>
    <col min="16129" max="16129" width="0" style="136" hidden="1" customWidth="1"/>
    <col min="16130" max="16130" width="10" style="136" customWidth="1"/>
    <col min="16131" max="16131" width="49.36328125" style="136" customWidth="1"/>
    <col min="16132" max="16132" width="34.08984375" style="136" customWidth="1"/>
    <col min="16133" max="16133" width="49.36328125" style="136" customWidth="1"/>
    <col min="16134" max="16134" width="34.08984375" style="136" customWidth="1"/>
    <col min="16135" max="16135" width="12.90625" style="136" customWidth="1"/>
    <col min="16136" max="16136" width="5.453125" style="136" bestFit="1" customWidth="1"/>
    <col min="16137" max="16137" width="5.54296875" style="136" bestFit="1" customWidth="1"/>
    <col min="16138" max="16138" width="5.453125" style="136" bestFit="1" customWidth="1"/>
    <col min="16139" max="16139" width="5.54296875" style="136" bestFit="1" customWidth="1"/>
    <col min="16140" max="16140" width="5.453125" style="136" bestFit="1" customWidth="1"/>
    <col min="16141" max="16141" width="5.54296875" style="136" bestFit="1" customWidth="1"/>
    <col min="16142" max="16142" width="18.54296875" style="136" bestFit="1" customWidth="1"/>
    <col min="16143" max="16144" width="9.08984375" style="136"/>
    <col min="16145" max="16145" width="44.08984375" style="136" customWidth="1"/>
    <col min="16146" max="16384" width="9.08984375" style="136"/>
  </cols>
  <sheetData>
    <row r="1" spans="1:6" x14ac:dyDescent="0.35">
      <c r="A1" s="53"/>
      <c r="B1" s="53"/>
      <c r="C1" s="53"/>
      <c r="D1" s="53"/>
      <c r="E1" s="53"/>
      <c r="F1" s="135"/>
    </row>
    <row r="2" spans="1:6" ht="110.25" customHeight="1" x14ac:dyDescent="0.35">
      <c r="A2" s="183" t="s">
        <v>749</v>
      </c>
      <c r="B2" s="184"/>
      <c r="C2" s="184"/>
      <c r="D2" s="184"/>
      <c r="E2" s="185"/>
      <c r="F2" s="137"/>
    </row>
    <row r="3" spans="1:6" x14ac:dyDescent="0.35">
      <c r="A3" s="55"/>
      <c r="B3" s="56"/>
      <c r="C3" s="54"/>
      <c r="D3" s="54"/>
      <c r="E3" s="54"/>
    </row>
    <row r="4" spans="1:6" ht="37.65" customHeight="1" x14ac:dyDescent="0.35">
      <c r="A4" s="187" t="s">
        <v>20</v>
      </c>
      <c r="B4" s="189" t="s">
        <v>21</v>
      </c>
      <c r="C4" s="189" t="s">
        <v>12</v>
      </c>
      <c r="D4" s="189"/>
      <c r="E4" s="187" t="s">
        <v>23</v>
      </c>
    </row>
    <row r="5" spans="1:6" ht="37.65" customHeight="1" x14ac:dyDescent="0.35">
      <c r="A5" s="188"/>
      <c r="B5" s="190"/>
      <c r="C5" s="124" t="s">
        <v>10</v>
      </c>
      <c r="D5" s="124" t="s">
        <v>11</v>
      </c>
      <c r="E5" s="190"/>
    </row>
    <row r="6" spans="1:6" ht="36.75" customHeight="1" x14ac:dyDescent="0.35">
      <c r="A6" s="57">
        <v>1</v>
      </c>
      <c r="B6" s="58" t="str">
        <f>'Items 1,2,3-Construction Works'!B213</f>
        <v>Electrical Works for new 33/11 kV Primary Substation</v>
      </c>
      <c r="C6" s="148">
        <f>'Items 1,2,3-Construction Works'!F213</f>
        <v>26073870</v>
      </c>
      <c r="D6" s="148">
        <f>'Items 1,2,3-Construction Works'!H213</f>
        <v>7518770</v>
      </c>
      <c r="E6" s="148">
        <f>C6+D6</f>
        <v>33592640</v>
      </c>
    </row>
    <row r="7" spans="1:6" ht="36.75" customHeight="1" x14ac:dyDescent="0.35">
      <c r="A7" s="57">
        <v>2</v>
      </c>
      <c r="B7" s="58" t="str">
        <f>'Items 1,2,3-Construction Works'!B214</f>
        <v>Mechanical Works for new 33/11 kV Primary Substation</v>
      </c>
      <c r="C7" s="148">
        <f>'Items 1,2,3-Construction Works'!F214</f>
        <v>5858600</v>
      </c>
      <c r="D7" s="148">
        <f>'Items 1,2,3-Construction Works'!H214</f>
        <v>1037410</v>
      </c>
      <c r="E7" s="148">
        <f t="shared" ref="E7:E13" si="0">C7+D7</f>
        <v>6896010</v>
      </c>
    </row>
    <row r="8" spans="1:6" ht="36.75" customHeight="1" x14ac:dyDescent="0.35">
      <c r="A8" s="57">
        <v>3</v>
      </c>
      <c r="B8" s="58" t="str">
        <f>'Items 1,2,3-Construction Works'!B215</f>
        <v>Civil Works for new 33/11 kV Primary Substation Building</v>
      </c>
      <c r="C8" s="148">
        <f>'Items 1,2,3-Construction Works'!F215</f>
        <v>513510</v>
      </c>
      <c r="D8" s="148">
        <f>'Items 1,2,3-Construction Works'!H215</f>
        <v>17254830</v>
      </c>
      <c r="E8" s="148">
        <f t="shared" si="0"/>
        <v>17768340</v>
      </c>
    </row>
    <row r="9" spans="1:6" ht="40.5" customHeight="1" x14ac:dyDescent="0.35">
      <c r="A9" s="57">
        <v>4</v>
      </c>
      <c r="B9" s="58" t="str">
        <f>'Items 4-Load Diversion Works'!B71</f>
        <v>Interconnecting Cables between Grid Station and the new Primary Substation and Load Diversion works</v>
      </c>
      <c r="C9" s="148">
        <f>'Items 4-Load Diversion Works'!F73</f>
        <v>329916</v>
      </c>
      <c r="D9" s="148">
        <f>'Items 4-Load Diversion Works'!H73</f>
        <v>2134624</v>
      </c>
      <c r="E9" s="148">
        <f t="shared" si="0"/>
        <v>2464540</v>
      </c>
    </row>
    <row r="10" spans="1:6" ht="53.25" customHeight="1" x14ac:dyDescent="0.35">
      <c r="A10" s="57">
        <v>5</v>
      </c>
      <c r="B10" s="58" t="str">
        <f>'Items 5-8 Dismantl &amp; Modif work'!B21</f>
        <v>Dismantling, Decommissioning &amp; Demolition Works of existing old 33/11kV primary substation (SHBPRY)</v>
      </c>
      <c r="C10" s="148">
        <f>'Items 5-8 Dismantl &amp; Modif work'!F21</f>
        <v>0</v>
      </c>
      <c r="D10" s="148">
        <f>'Items 5-8 Dismantl &amp; Modif work'!H21</f>
        <v>1771310</v>
      </c>
      <c r="E10" s="148">
        <f t="shared" si="0"/>
        <v>1771310</v>
      </c>
    </row>
    <row r="11" spans="1:6" ht="38.25" customHeight="1" x14ac:dyDescent="0.35">
      <c r="A11" s="57">
        <v>6</v>
      </c>
      <c r="B11" s="58" t="str">
        <f>'Items 5-8 Dismantl &amp; Modif work'!B22</f>
        <v>Dismantling &amp; Decommissioning Works of old 2 nos. Package Units  (SHBPRY2 &amp; SHBPRY3)</v>
      </c>
      <c r="C11" s="148">
        <f>'Items 5-8 Dismantl &amp; Modif work'!F22</f>
        <v>0</v>
      </c>
      <c r="D11" s="148">
        <f>'Items 5-8 Dismantl &amp; Modif work'!H22</f>
        <v>1119330</v>
      </c>
      <c r="E11" s="148">
        <f t="shared" si="0"/>
        <v>1119330</v>
      </c>
    </row>
    <row r="12" spans="1:6" ht="36.75" customHeight="1" x14ac:dyDescent="0.35">
      <c r="A12" s="57">
        <v>7</v>
      </c>
      <c r="B12" s="58" t="str">
        <f>'Items 5-8 Dismantl &amp; Modif work'!B23</f>
        <v>33kV OHL Modification works for SHBPRY</v>
      </c>
      <c r="C12" s="148">
        <f>'Items 5-8 Dismantl &amp; Modif work'!F23</f>
        <v>173090</v>
      </c>
      <c r="D12" s="148">
        <f>'Items 5-8 Dismantl &amp; Modif work'!H23</f>
        <v>517700</v>
      </c>
      <c r="E12" s="148">
        <f t="shared" si="0"/>
        <v>690790</v>
      </c>
    </row>
    <row r="13" spans="1:6" ht="51" customHeight="1" x14ac:dyDescent="0.35">
      <c r="A13" s="57">
        <v>8</v>
      </c>
      <c r="B13" s="58" t="str">
        <f>'Items 5-8 Dismantl &amp; Modif work'!B24</f>
        <v>Shifting of existing 11kV TRM (GIS name: OKH12) to a location near existing TRM (DHS08) to connect Radial Transformer (SHB02) into a ring feeder</v>
      </c>
      <c r="C13" s="148">
        <f>'Items 5-8 Dismantl &amp; Modif work'!F24</f>
        <v>0</v>
      </c>
      <c r="D13" s="148">
        <f>'Items 5-8 Dismantl &amp; Modif work'!H24</f>
        <v>295410</v>
      </c>
      <c r="E13" s="148">
        <f t="shared" si="0"/>
        <v>295410</v>
      </c>
    </row>
    <row r="14" spans="1:6" ht="51" customHeight="1" x14ac:dyDescent="0.35">
      <c r="A14" s="57">
        <v>9</v>
      </c>
      <c r="B14" s="58" t="str">
        <f>'Items 9- Spare Parts (Optional)'!B156</f>
        <v>Spare Parts &amp; Tools (Optional)</v>
      </c>
      <c r="C14" s="148">
        <f>'Items 9- Spare Parts (Optional)'!F158</f>
        <v>1602440</v>
      </c>
      <c r="D14" s="148" t="s">
        <v>521</v>
      </c>
      <c r="E14" s="148">
        <f>C14</f>
        <v>1602440</v>
      </c>
    </row>
    <row r="15" spans="1:6" ht="50.25" customHeight="1" x14ac:dyDescent="0.35">
      <c r="A15" s="122"/>
      <c r="B15" s="123" t="s">
        <v>22</v>
      </c>
      <c r="C15" s="149">
        <f>SUM(C6:C14)</f>
        <v>34551426</v>
      </c>
      <c r="D15" s="149">
        <f>SUM(D6:D13)</f>
        <v>31649384</v>
      </c>
      <c r="E15" s="149">
        <f>SUM(E6:E14)</f>
        <v>66200810</v>
      </c>
    </row>
    <row r="16" spans="1:6" ht="30" customHeight="1" x14ac:dyDescent="0.35">
      <c r="A16" s="186" t="s">
        <v>755</v>
      </c>
      <c r="B16" s="186"/>
      <c r="C16" s="186"/>
      <c r="D16" s="138"/>
      <c r="E16" s="138"/>
      <c r="F16" s="139"/>
    </row>
    <row r="18" spans="1:2" x14ac:dyDescent="0.35">
      <c r="A18" s="140"/>
      <c r="B18" s="140"/>
    </row>
  </sheetData>
  <mergeCells count="6">
    <mergeCell ref="A2:E2"/>
    <mergeCell ref="A16:C16"/>
    <mergeCell ref="A4:A5"/>
    <mergeCell ref="B4:B5"/>
    <mergeCell ref="C4:D4"/>
    <mergeCell ref="E4:E5"/>
  </mergeCells>
  <printOptions horizontalCentered="1"/>
  <pageMargins left="0.70866141732283505" right="0.70866141732283505" top="1.5748031496063" bottom="1.1023622047244099" header="0.59055118110236204" footer="0.59055118110236204"/>
  <pageSetup paperSize="9" scale="60" orientation="landscape" r:id="rId1"/>
  <headerFooter>
    <oddHeader>&amp;L&amp;9CONSTRUCTION WORKS FOR REPLACEMENT OF SHBPRY, SMHPRY AND DRPRY SUBSTATION IN EASTERN REGION&amp;R&amp;G</oddHeader>
    <oddFooter>&amp;CPage &amp;P of &amp;N&amp;RMay 2023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18"/>
  <sheetViews>
    <sheetView view="pageBreakPreview" topLeftCell="A206" zoomScale="55" zoomScaleNormal="60" zoomScaleSheetLayoutView="55" zoomScalePageLayoutView="70" workbookViewId="0">
      <selection activeCell="B135" sqref="B135"/>
    </sheetView>
  </sheetViews>
  <sheetFormatPr defaultRowHeight="18" x14ac:dyDescent="0.25"/>
  <cols>
    <col min="1" max="1" width="15" style="26" customWidth="1"/>
    <col min="2" max="2" width="105.26953125" style="29" customWidth="1"/>
    <col min="3" max="3" width="13" style="27" customWidth="1"/>
    <col min="4" max="4" width="21" style="27" customWidth="1"/>
    <col min="5" max="5" width="22.453125" style="1" customWidth="1"/>
    <col min="6" max="6" width="30" style="1" customWidth="1"/>
    <col min="7" max="7" width="22.08984375" style="1" customWidth="1"/>
    <col min="8" max="8" width="28.08984375" style="1" customWidth="1"/>
    <col min="9" max="9" width="29.90625" style="6" customWidth="1"/>
    <col min="10" max="11" width="9.08984375" style="1"/>
    <col min="12" max="12" width="18.6328125" style="1" customWidth="1"/>
    <col min="13" max="249" width="9.08984375" style="1"/>
    <col min="250" max="250" width="7.6328125" style="1" bestFit="1" customWidth="1"/>
    <col min="251" max="251" width="88.36328125" style="1" customWidth="1"/>
    <col min="252" max="252" width="13" style="1" customWidth="1"/>
    <col min="253" max="253" width="18" style="1" customWidth="1"/>
    <col min="254" max="254" width="17" style="1" customWidth="1"/>
    <col min="255" max="255" width="17.90625" style="1" customWidth="1"/>
    <col min="256" max="256" width="20.453125" style="1" customWidth="1"/>
    <col min="257" max="257" width="14.90625" style="1" customWidth="1"/>
    <col min="258" max="260" width="18.08984375" style="1" customWidth="1"/>
    <col min="261" max="261" width="20.453125" style="1" customWidth="1"/>
    <col min="262" max="262" width="14.08984375" style="1" bestFit="1" customWidth="1"/>
    <col min="263" max="263" width="10" style="1" bestFit="1" customWidth="1"/>
    <col min="264" max="505" width="9.08984375" style="1"/>
    <col min="506" max="506" width="7.6328125" style="1" bestFit="1" customWidth="1"/>
    <col min="507" max="507" width="88.36328125" style="1" customWidth="1"/>
    <col min="508" max="508" width="13" style="1" customWidth="1"/>
    <col min="509" max="509" width="18" style="1" customWidth="1"/>
    <col min="510" max="510" width="17" style="1" customWidth="1"/>
    <col min="511" max="511" width="17.90625" style="1" customWidth="1"/>
    <col min="512" max="512" width="20.453125" style="1" customWidth="1"/>
    <col min="513" max="513" width="14.90625" style="1" customWidth="1"/>
    <col min="514" max="516" width="18.08984375" style="1" customWidth="1"/>
    <col min="517" max="517" width="20.453125" style="1" customWidth="1"/>
    <col min="518" max="518" width="14.08984375" style="1" bestFit="1" customWidth="1"/>
    <col min="519" max="519" width="10" style="1" bestFit="1" customWidth="1"/>
    <col min="520" max="761" width="9.08984375" style="1"/>
    <col min="762" max="762" width="7.6328125" style="1" bestFit="1" customWidth="1"/>
    <col min="763" max="763" width="88.36328125" style="1" customWidth="1"/>
    <col min="764" max="764" width="13" style="1" customWidth="1"/>
    <col min="765" max="765" width="18" style="1" customWidth="1"/>
    <col min="766" max="766" width="17" style="1" customWidth="1"/>
    <col min="767" max="767" width="17.90625" style="1" customWidth="1"/>
    <col min="768" max="768" width="20.453125" style="1" customWidth="1"/>
    <col min="769" max="769" width="14.90625" style="1" customWidth="1"/>
    <col min="770" max="772" width="18.08984375" style="1" customWidth="1"/>
    <col min="773" max="773" width="20.453125" style="1" customWidth="1"/>
    <col min="774" max="774" width="14.08984375" style="1" bestFit="1" customWidth="1"/>
    <col min="775" max="775" width="10" style="1" bestFit="1" customWidth="1"/>
    <col min="776" max="1017" width="9.08984375" style="1"/>
    <col min="1018" max="1018" width="7.6328125" style="1" bestFit="1" customWidth="1"/>
    <col min="1019" max="1019" width="88.36328125" style="1" customWidth="1"/>
    <col min="1020" max="1020" width="13" style="1" customWidth="1"/>
    <col min="1021" max="1021" width="18" style="1" customWidth="1"/>
    <col min="1022" max="1022" width="17" style="1" customWidth="1"/>
    <col min="1023" max="1023" width="17.90625" style="1" customWidth="1"/>
    <col min="1024" max="1024" width="20.453125" style="1" customWidth="1"/>
    <col min="1025" max="1025" width="14.90625" style="1" customWidth="1"/>
    <col min="1026" max="1028" width="18.08984375" style="1" customWidth="1"/>
    <col min="1029" max="1029" width="20.453125" style="1" customWidth="1"/>
    <col min="1030" max="1030" width="14.08984375" style="1" bestFit="1" customWidth="1"/>
    <col min="1031" max="1031" width="10" style="1" bestFit="1" customWidth="1"/>
    <col min="1032" max="1273" width="9.08984375" style="1"/>
    <col min="1274" max="1274" width="7.6328125" style="1" bestFit="1" customWidth="1"/>
    <col min="1275" max="1275" width="88.36328125" style="1" customWidth="1"/>
    <col min="1276" max="1276" width="13" style="1" customWidth="1"/>
    <col min="1277" max="1277" width="18" style="1" customWidth="1"/>
    <col min="1278" max="1278" width="17" style="1" customWidth="1"/>
    <col min="1279" max="1279" width="17.90625" style="1" customWidth="1"/>
    <col min="1280" max="1280" width="20.453125" style="1" customWidth="1"/>
    <col min="1281" max="1281" width="14.90625" style="1" customWidth="1"/>
    <col min="1282" max="1284" width="18.08984375" style="1" customWidth="1"/>
    <col min="1285" max="1285" width="20.453125" style="1" customWidth="1"/>
    <col min="1286" max="1286" width="14.08984375" style="1" bestFit="1" customWidth="1"/>
    <col min="1287" max="1287" width="10" style="1" bestFit="1" customWidth="1"/>
    <col min="1288" max="1529" width="9.08984375" style="1"/>
    <col min="1530" max="1530" width="7.6328125" style="1" bestFit="1" customWidth="1"/>
    <col min="1531" max="1531" width="88.36328125" style="1" customWidth="1"/>
    <col min="1532" max="1532" width="13" style="1" customWidth="1"/>
    <col min="1533" max="1533" width="18" style="1" customWidth="1"/>
    <col min="1534" max="1534" width="17" style="1" customWidth="1"/>
    <col min="1535" max="1535" width="17.90625" style="1" customWidth="1"/>
    <col min="1536" max="1536" width="20.453125" style="1" customWidth="1"/>
    <col min="1537" max="1537" width="14.90625" style="1" customWidth="1"/>
    <col min="1538" max="1540" width="18.08984375" style="1" customWidth="1"/>
    <col min="1541" max="1541" width="20.453125" style="1" customWidth="1"/>
    <col min="1542" max="1542" width="14.08984375" style="1" bestFit="1" customWidth="1"/>
    <col min="1543" max="1543" width="10" style="1" bestFit="1" customWidth="1"/>
    <col min="1544" max="1785" width="9.08984375" style="1"/>
    <col min="1786" max="1786" width="7.6328125" style="1" bestFit="1" customWidth="1"/>
    <col min="1787" max="1787" width="88.36328125" style="1" customWidth="1"/>
    <col min="1788" max="1788" width="13" style="1" customWidth="1"/>
    <col min="1789" max="1789" width="18" style="1" customWidth="1"/>
    <col min="1790" max="1790" width="17" style="1" customWidth="1"/>
    <col min="1791" max="1791" width="17.90625" style="1" customWidth="1"/>
    <col min="1792" max="1792" width="20.453125" style="1" customWidth="1"/>
    <col min="1793" max="1793" width="14.90625" style="1" customWidth="1"/>
    <col min="1794" max="1796" width="18.08984375" style="1" customWidth="1"/>
    <col min="1797" max="1797" width="20.453125" style="1" customWidth="1"/>
    <col min="1798" max="1798" width="14.08984375" style="1" bestFit="1" customWidth="1"/>
    <col min="1799" max="1799" width="10" style="1" bestFit="1" customWidth="1"/>
    <col min="1800" max="2041" width="9.08984375" style="1"/>
    <col min="2042" max="2042" width="7.6328125" style="1" bestFit="1" customWidth="1"/>
    <col min="2043" max="2043" width="88.36328125" style="1" customWidth="1"/>
    <col min="2044" max="2044" width="13" style="1" customWidth="1"/>
    <col min="2045" max="2045" width="18" style="1" customWidth="1"/>
    <col min="2046" max="2046" width="17" style="1" customWidth="1"/>
    <col min="2047" max="2047" width="17.90625" style="1" customWidth="1"/>
    <col min="2048" max="2048" width="20.453125" style="1" customWidth="1"/>
    <col min="2049" max="2049" width="14.90625" style="1" customWidth="1"/>
    <col min="2050" max="2052" width="18.08984375" style="1" customWidth="1"/>
    <col min="2053" max="2053" width="20.453125" style="1" customWidth="1"/>
    <col min="2054" max="2054" width="14.08984375" style="1" bestFit="1" customWidth="1"/>
    <col min="2055" max="2055" width="10" style="1" bestFit="1" customWidth="1"/>
    <col min="2056" max="2297" width="9.08984375" style="1"/>
    <col min="2298" max="2298" width="7.6328125" style="1" bestFit="1" customWidth="1"/>
    <col min="2299" max="2299" width="88.36328125" style="1" customWidth="1"/>
    <col min="2300" max="2300" width="13" style="1" customWidth="1"/>
    <col min="2301" max="2301" width="18" style="1" customWidth="1"/>
    <col min="2302" max="2302" width="17" style="1" customWidth="1"/>
    <col min="2303" max="2303" width="17.90625" style="1" customWidth="1"/>
    <col min="2304" max="2304" width="20.453125" style="1" customWidth="1"/>
    <col min="2305" max="2305" width="14.90625" style="1" customWidth="1"/>
    <col min="2306" max="2308" width="18.08984375" style="1" customWidth="1"/>
    <col min="2309" max="2309" width="20.453125" style="1" customWidth="1"/>
    <col min="2310" max="2310" width="14.08984375" style="1" bestFit="1" customWidth="1"/>
    <col min="2311" max="2311" width="10" style="1" bestFit="1" customWidth="1"/>
    <col min="2312" max="2553" width="9.08984375" style="1"/>
    <col min="2554" max="2554" width="7.6328125" style="1" bestFit="1" customWidth="1"/>
    <col min="2555" max="2555" width="88.36328125" style="1" customWidth="1"/>
    <col min="2556" max="2556" width="13" style="1" customWidth="1"/>
    <col min="2557" max="2557" width="18" style="1" customWidth="1"/>
    <col min="2558" max="2558" width="17" style="1" customWidth="1"/>
    <col min="2559" max="2559" width="17.90625" style="1" customWidth="1"/>
    <col min="2560" max="2560" width="20.453125" style="1" customWidth="1"/>
    <col min="2561" max="2561" width="14.90625" style="1" customWidth="1"/>
    <col min="2562" max="2564" width="18.08984375" style="1" customWidth="1"/>
    <col min="2565" max="2565" width="20.453125" style="1" customWidth="1"/>
    <col min="2566" max="2566" width="14.08984375" style="1" bestFit="1" customWidth="1"/>
    <col min="2567" max="2567" width="10" style="1" bestFit="1" customWidth="1"/>
    <col min="2568" max="2809" width="9.08984375" style="1"/>
    <col min="2810" max="2810" width="7.6328125" style="1" bestFit="1" customWidth="1"/>
    <col min="2811" max="2811" width="88.36328125" style="1" customWidth="1"/>
    <col min="2812" max="2812" width="13" style="1" customWidth="1"/>
    <col min="2813" max="2813" width="18" style="1" customWidth="1"/>
    <col min="2814" max="2814" width="17" style="1" customWidth="1"/>
    <col min="2815" max="2815" width="17.90625" style="1" customWidth="1"/>
    <col min="2816" max="2816" width="20.453125" style="1" customWidth="1"/>
    <col min="2817" max="2817" width="14.90625" style="1" customWidth="1"/>
    <col min="2818" max="2820" width="18.08984375" style="1" customWidth="1"/>
    <col min="2821" max="2821" width="20.453125" style="1" customWidth="1"/>
    <col min="2822" max="2822" width="14.08984375" style="1" bestFit="1" customWidth="1"/>
    <col min="2823" max="2823" width="10" style="1" bestFit="1" customWidth="1"/>
    <col min="2824" max="3065" width="9.08984375" style="1"/>
    <col min="3066" max="3066" width="7.6328125" style="1" bestFit="1" customWidth="1"/>
    <col min="3067" max="3067" width="88.36328125" style="1" customWidth="1"/>
    <col min="3068" max="3068" width="13" style="1" customWidth="1"/>
    <col min="3069" max="3069" width="18" style="1" customWidth="1"/>
    <col min="3070" max="3070" width="17" style="1" customWidth="1"/>
    <col min="3071" max="3071" width="17.90625" style="1" customWidth="1"/>
    <col min="3072" max="3072" width="20.453125" style="1" customWidth="1"/>
    <col min="3073" max="3073" width="14.90625" style="1" customWidth="1"/>
    <col min="3074" max="3076" width="18.08984375" style="1" customWidth="1"/>
    <col min="3077" max="3077" width="20.453125" style="1" customWidth="1"/>
    <col min="3078" max="3078" width="14.08984375" style="1" bestFit="1" customWidth="1"/>
    <col min="3079" max="3079" width="10" style="1" bestFit="1" customWidth="1"/>
    <col min="3080" max="3321" width="9.08984375" style="1"/>
    <col min="3322" max="3322" width="7.6328125" style="1" bestFit="1" customWidth="1"/>
    <col min="3323" max="3323" width="88.36328125" style="1" customWidth="1"/>
    <col min="3324" max="3324" width="13" style="1" customWidth="1"/>
    <col min="3325" max="3325" width="18" style="1" customWidth="1"/>
    <col min="3326" max="3326" width="17" style="1" customWidth="1"/>
    <col min="3327" max="3327" width="17.90625" style="1" customWidth="1"/>
    <col min="3328" max="3328" width="20.453125" style="1" customWidth="1"/>
    <col min="3329" max="3329" width="14.90625" style="1" customWidth="1"/>
    <col min="3330" max="3332" width="18.08984375" style="1" customWidth="1"/>
    <col min="3333" max="3333" width="20.453125" style="1" customWidth="1"/>
    <col min="3334" max="3334" width="14.08984375" style="1" bestFit="1" customWidth="1"/>
    <col min="3335" max="3335" width="10" style="1" bestFit="1" customWidth="1"/>
    <col min="3336" max="3577" width="9.08984375" style="1"/>
    <col min="3578" max="3578" width="7.6328125" style="1" bestFit="1" customWidth="1"/>
    <col min="3579" max="3579" width="88.36328125" style="1" customWidth="1"/>
    <col min="3580" max="3580" width="13" style="1" customWidth="1"/>
    <col min="3581" max="3581" width="18" style="1" customWidth="1"/>
    <col min="3582" max="3582" width="17" style="1" customWidth="1"/>
    <col min="3583" max="3583" width="17.90625" style="1" customWidth="1"/>
    <col min="3584" max="3584" width="20.453125" style="1" customWidth="1"/>
    <col min="3585" max="3585" width="14.90625" style="1" customWidth="1"/>
    <col min="3586" max="3588" width="18.08984375" style="1" customWidth="1"/>
    <col min="3589" max="3589" width="20.453125" style="1" customWidth="1"/>
    <col min="3590" max="3590" width="14.08984375" style="1" bestFit="1" customWidth="1"/>
    <col min="3591" max="3591" width="10" style="1" bestFit="1" customWidth="1"/>
    <col min="3592" max="3833" width="9.08984375" style="1"/>
    <col min="3834" max="3834" width="7.6328125" style="1" bestFit="1" customWidth="1"/>
    <col min="3835" max="3835" width="88.36328125" style="1" customWidth="1"/>
    <col min="3836" max="3836" width="13" style="1" customWidth="1"/>
    <col min="3837" max="3837" width="18" style="1" customWidth="1"/>
    <col min="3838" max="3838" width="17" style="1" customWidth="1"/>
    <col min="3839" max="3839" width="17.90625" style="1" customWidth="1"/>
    <col min="3840" max="3840" width="20.453125" style="1" customWidth="1"/>
    <col min="3841" max="3841" width="14.90625" style="1" customWidth="1"/>
    <col min="3842" max="3844" width="18.08984375" style="1" customWidth="1"/>
    <col min="3845" max="3845" width="20.453125" style="1" customWidth="1"/>
    <col min="3846" max="3846" width="14.08984375" style="1" bestFit="1" customWidth="1"/>
    <col min="3847" max="3847" width="10" style="1" bestFit="1" customWidth="1"/>
    <col min="3848" max="4089" width="9.08984375" style="1"/>
    <col min="4090" max="4090" width="7.6328125" style="1" bestFit="1" customWidth="1"/>
    <col min="4091" max="4091" width="88.36328125" style="1" customWidth="1"/>
    <col min="4092" max="4092" width="13" style="1" customWidth="1"/>
    <col min="4093" max="4093" width="18" style="1" customWidth="1"/>
    <col min="4094" max="4094" width="17" style="1" customWidth="1"/>
    <col min="4095" max="4095" width="17.90625" style="1" customWidth="1"/>
    <col min="4096" max="4096" width="20.453125" style="1" customWidth="1"/>
    <col min="4097" max="4097" width="14.90625" style="1" customWidth="1"/>
    <col min="4098" max="4100" width="18.08984375" style="1" customWidth="1"/>
    <col min="4101" max="4101" width="20.453125" style="1" customWidth="1"/>
    <col min="4102" max="4102" width="14.08984375" style="1" bestFit="1" customWidth="1"/>
    <col min="4103" max="4103" width="10" style="1" bestFit="1" customWidth="1"/>
    <col min="4104" max="4345" width="9.08984375" style="1"/>
    <col min="4346" max="4346" width="7.6328125" style="1" bestFit="1" customWidth="1"/>
    <col min="4347" max="4347" width="88.36328125" style="1" customWidth="1"/>
    <col min="4348" max="4348" width="13" style="1" customWidth="1"/>
    <col min="4349" max="4349" width="18" style="1" customWidth="1"/>
    <col min="4350" max="4350" width="17" style="1" customWidth="1"/>
    <col min="4351" max="4351" width="17.90625" style="1" customWidth="1"/>
    <col min="4352" max="4352" width="20.453125" style="1" customWidth="1"/>
    <col min="4353" max="4353" width="14.90625" style="1" customWidth="1"/>
    <col min="4354" max="4356" width="18.08984375" style="1" customWidth="1"/>
    <col min="4357" max="4357" width="20.453125" style="1" customWidth="1"/>
    <col min="4358" max="4358" width="14.08984375" style="1" bestFit="1" customWidth="1"/>
    <col min="4359" max="4359" width="10" style="1" bestFit="1" customWidth="1"/>
    <col min="4360" max="4601" width="9.08984375" style="1"/>
    <col min="4602" max="4602" width="7.6328125" style="1" bestFit="1" customWidth="1"/>
    <col min="4603" max="4603" width="88.36328125" style="1" customWidth="1"/>
    <col min="4604" max="4604" width="13" style="1" customWidth="1"/>
    <col min="4605" max="4605" width="18" style="1" customWidth="1"/>
    <col min="4606" max="4606" width="17" style="1" customWidth="1"/>
    <col min="4607" max="4607" width="17.90625" style="1" customWidth="1"/>
    <col min="4608" max="4608" width="20.453125" style="1" customWidth="1"/>
    <col min="4609" max="4609" width="14.90625" style="1" customWidth="1"/>
    <col min="4610" max="4612" width="18.08984375" style="1" customWidth="1"/>
    <col min="4613" max="4613" width="20.453125" style="1" customWidth="1"/>
    <col min="4614" max="4614" width="14.08984375" style="1" bestFit="1" customWidth="1"/>
    <col min="4615" max="4615" width="10" style="1" bestFit="1" customWidth="1"/>
    <col min="4616" max="4857" width="9.08984375" style="1"/>
    <col min="4858" max="4858" width="7.6328125" style="1" bestFit="1" customWidth="1"/>
    <col min="4859" max="4859" width="88.36328125" style="1" customWidth="1"/>
    <col min="4860" max="4860" width="13" style="1" customWidth="1"/>
    <col min="4861" max="4861" width="18" style="1" customWidth="1"/>
    <col min="4862" max="4862" width="17" style="1" customWidth="1"/>
    <col min="4863" max="4863" width="17.90625" style="1" customWidth="1"/>
    <col min="4864" max="4864" width="20.453125" style="1" customWidth="1"/>
    <col min="4865" max="4865" width="14.90625" style="1" customWidth="1"/>
    <col min="4866" max="4868" width="18.08984375" style="1" customWidth="1"/>
    <col min="4869" max="4869" width="20.453125" style="1" customWidth="1"/>
    <col min="4870" max="4870" width="14.08984375" style="1" bestFit="1" customWidth="1"/>
    <col min="4871" max="4871" width="10" style="1" bestFit="1" customWidth="1"/>
    <col min="4872" max="5113" width="9.08984375" style="1"/>
    <col min="5114" max="5114" width="7.6328125" style="1" bestFit="1" customWidth="1"/>
    <col min="5115" max="5115" width="88.36328125" style="1" customWidth="1"/>
    <col min="5116" max="5116" width="13" style="1" customWidth="1"/>
    <col min="5117" max="5117" width="18" style="1" customWidth="1"/>
    <col min="5118" max="5118" width="17" style="1" customWidth="1"/>
    <col min="5119" max="5119" width="17.90625" style="1" customWidth="1"/>
    <col min="5120" max="5120" width="20.453125" style="1" customWidth="1"/>
    <col min="5121" max="5121" width="14.90625" style="1" customWidth="1"/>
    <col min="5122" max="5124" width="18.08984375" style="1" customWidth="1"/>
    <col min="5125" max="5125" width="20.453125" style="1" customWidth="1"/>
    <col min="5126" max="5126" width="14.08984375" style="1" bestFit="1" customWidth="1"/>
    <col min="5127" max="5127" width="10" style="1" bestFit="1" customWidth="1"/>
    <col min="5128" max="5369" width="9.08984375" style="1"/>
    <col min="5370" max="5370" width="7.6328125" style="1" bestFit="1" customWidth="1"/>
    <col min="5371" max="5371" width="88.36328125" style="1" customWidth="1"/>
    <col min="5372" max="5372" width="13" style="1" customWidth="1"/>
    <col min="5373" max="5373" width="18" style="1" customWidth="1"/>
    <col min="5374" max="5374" width="17" style="1" customWidth="1"/>
    <col min="5375" max="5375" width="17.90625" style="1" customWidth="1"/>
    <col min="5376" max="5376" width="20.453125" style="1" customWidth="1"/>
    <col min="5377" max="5377" width="14.90625" style="1" customWidth="1"/>
    <col min="5378" max="5380" width="18.08984375" style="1" customWidth="1"/>
    <col min="5381" max="5381" width="20.453125" style="1" customWidth="1"/>
    <col min="5382" max="5382" width="14.08984375" style="1" bestFit="1" customWidth="1"/>
    <col min="5383" max="5383" width="10" style="1" bestFit="1" customWidth="1"/>
    <col min="5384" max="5625" width="9.08984375" style="1"/>
    <col min="5626" max="5626" width="7.6328125" style="1" bestFit="1" customWidth="1"/>
    <col min="5627" max="5627" width="88.36328125" style="1" customWidth="1"/>
    <col min="5628" max="5628" width="13" style="1" customWidth="1"/>
    <col min="5629" max="5629" width="18" style="1" customWidth="1"/>
    <col min="5630" max="5630" width="17" style="1" customWidth="1"/>
    <col min="5631" max="5631" width="17.90625" style="1" customWidth="1"/>
    <col min="5632" max="5632" width="20.453125" style="1" customWidth="1"/>
    <col min="5633" max="5633" width="14.90625" style="1" customWidth="1"/>
    <col min="5634" max="5636" width="18.08984375" style="1" customWidth="1"/>
    <col min="5637" max="5637" width="20.453125" style="1" customWidth="1"/>
    <col min="5638" max="5638" width="14.08984375" style="1" bestFit="1" customWidth="1"/>
    <col min="5639" max="5639" width="10" style="1" bestFit="1" customWidth="1"/>
    <col min="5640" max="5881" width="9.08984375" style="1"/>
    <col min="5882" max="5882" width="7.6328125" style="1" bestFit="1" customWidth="1"/>
    <col min="5883" max="5883" width="88.36328125" style="1" customWidth="1"/>
    <col min="5884" max="5884" width="13" style="1" customWidth="1"/>
    <col min="5885" max="5885" width="18" style="1" customWidth="1"/>
    <col min="5886" max="5886" width="17" style="1" customWidth="1"/>
    <col min="5887" max="5887" width="17.90625" style="1" customWidth="1"/>
    <col min="5888" max="5888" width="20.453125" style="1" customWidth="1"/>
    <col min="5889" max="5889" width="14.90625" style="1" customWidth="1"/>
    <col min="5890" max="5892" width="18.08984375" style="1" customWidth="1"/>
    <col min="5893" max="5893" width="20.453125" style="1" customWidth="1"/>
    <col min="5894" max="5894" width="14.08984375" style="1" bestFit="1" customWidth="1"/>
    <col min="5895" max="5895" width="10" style="1" bestFit="1" customWidth="1"/>
    <col min="5896" max="6137" width="9.08984375" style="1"/>
    <col min="6138" max="6138" width="7.6328125" style="1" bestFit="1" customWidth="1"/>
    <col min="6139" max="6139" width="88.36328125" style="1" customWidth="1"/>
    <col min="6140" max="6140" width="13" style="1" customWidth="1"/>
    <col min="6141" max="6141" width="18" style="1" customWidth="1"/>
    <col min="6142" max="6142" width="17" style="1" customWidth="1"/>
    <col min="6143" max="6143" width="17.90625" style="1" customWidth="1"/>
    <col min="6144" max="6144" width="20.453125" style="1" customWidth="1"/>
    <col min="6145" max="6145" width="14.90625" style="1" customWidth="1"/>
    <col min="6146" max="6148" width="18.08984375" style="1" customWidth="1"/>
    <col min="6149" max="6149" width="20.453125" style="1" customWidth="1"/>
    <col min="6150" max="6150" width="14.08984375" style="1" bestFit="1" customWidth="1"/>
    <col min="6151" max="6151" width="10" style="1" bestFit="1" customWidth="1"/>
    <col min="6152" max="6393" width="9.08984375" style="1"/>
    <col min="6394" max="6394" width="7.6328125" style="1" bestFit="1" customWidth="1"/>
    <col min="6395" max="6395" width="88.36328125" style="1" customWidth="1"/>
    <col min="6396" max="6396" width="13" style="1" customWidth="1"/>
    <col min="6397" max="6397" width="18" style="1" customWidth="1"/>
    <col min="6398" max="6398" width="17" style="1" customWidth="1"/>
    <col min="6399" max="6399" width="17.90625" style="1" customWidth="1"/>
    <col min="6400" max="6400" width="20.453125" style="1" customWidth="1"/>
    <col min="6401" max="6401" width="14.90625" style="1" customWidth="1"/>
    <col min="6402" max="6404" width="18.08984375" style="1" customWidth="1"/>
    <col min="6405" max="6405" width="20.453125" style="1" customWidth="1"/>
    <col min="6406" max="6406" width="14.08984375" style="1" bestFit="1" customWidth="1"/>
    <col min="6407" max="6407" width="10" style="1" bestFit="1" customWidth="1"/>
    <col min="6408" max="6649" width="9.08984375" style="1"/>
    <col min="6650" max="6650" width="7.6328125" style="1" bestFit="1" customWidth="1"/>
    <col min="6651" max="6651" width="88.36328125" style="1" customWidth="1"/>
    <col min="6652" max="6652" width="13" style="1" customWidth="1"/>
    <col min="6653" max="6653" width="18" style="1" customWidth="1"/>
    <col min="6654" max="6654" width="17" style="1" customWidth="1"/>
    <col min="6655" max="6655" width="17.90625" style="1" customWidth="1"/>
    <col min="6656" max="6656" width="20.453125" style="1" customWidth="1"/>
    <col min="6657" max="6657" width="14.90625" style="1" customWidth="1"/>
    <col min="6658" max="6660" width="18.08984375" style="1" customWidth="1"/>
    <col min="6661" max="6661" width="20.453125" style="1" customWidth="1"/>
    <col min="6662" max="6662" width="14.08984375" style="1" bestFit="1" customWidth="1"/>
    <col min="6663" max="6663" width="10" style="1" bestFit="1" customWidth="1"/>
    <col min="6664" max="6905" width="9.08984375" style="1"/>
    <col min="6906" max="6906" width="7.6328125" style="1" bestFit="1" customWidth="1"/>
    <col min="6907" max="6907" width="88.36328125" style="1" customWidth="1"/>
    <col min="6908" max="6908" width="13" style="1" customWidth="1"/>
    <col min="6909" max="6909" width="18" style="1" customWidth="1"/>
    <col min="6910" max="6910" width="17" style="1" customWidth="1"/>
    <col min="6911" max="6911" width="17.90625" style="1" customWidth="1"/>
    <col min="6912" max="6912" width="20.453125" style="1" customWidth="1"/>
    <col min="6913" max="6913" width="14.90625" style="1" customWidth="1"/>
    <col min="6914" max="6916" width="18.08984375" style="1" customWidth="1"/>
    <col min="6917" max="6917" width="20.453125" style="1" customWidth="1"/>
    <col min="6918" max="6918" width="14.08984375" style="1" bestFit="1" customWidth="1"/>
    <col min="6919" max="6919" width="10" style="1" bestFit="1" customWidth="1"/>
    <col min="6920" max="7161" width="9.08984375" style="1"/>
    <col min="7162" max="7162" width="7.6328125" style="1" bestFit="1" customWidth="1"/>
    <col min="7163" max="7163" width="88.36328125" style="1" customWidth="1"/>
    <col min="7164" max="7164" width="13" style="1" customWidth="1"/>
    <col min="7165" max="7165" width="18" style="1" customWidth="1"/>
    <col min="7166" max="7166" width="17" style="1" customWidth="1"/>
    <col min="7167" max="7167" width="17.90625" style="1" customWidth="1"/>
    <col min="7168" max="7168" width="20.453125" style="1" customWidth="1"/>
    <col min="7169" max="7169" width="14.90625" style="1" customWidth="1"/>
    <col min="7170" max="7172" width="18.08984375" style="1" customWidth="1"/>
    <col min="7173" max="7173" width="20.453125" style="1" customWidth="1"/>
    <col min="7174" max="7174" width="14.08984375" style="1" bestFit="1" customWidth="1"/>
    <col min="7175" max="7175" width="10" style="1" bestFit="1" customWidth="1"/>
    <col min="7176" max="7417" width="9.08984375" style="1"/>
    <col min="7418" max="7418" width="7.6328125" style="1" bestFit="1" customWidth="1"/>
    <col min="7419" max="7419" width="88.36328125" style="1" customWidth="1"/>
    <col min="7420" max="7420" width="13" style="1" customWidth="1"/>
    <col min="7421" max="7421" width="18" style="1" customWidth="1"/>
    <col min="7422" max="7422" width="17" style="1" customWidth="1"/>
    <col min="7423" max="7423" width="17.90625" style="1" customWidth="1"/>
    <col min="7424" max="7424" width="20.453125" style="1" customWidth="1"/>
    <col min="7425" max="7425" width="14.90625" style="1" customWidth="1"/>
    <col min="7426" max="7428" width="18.08984375" style="1" customWidth="1"/>
    <col min="7429" max="7429" width="20.453125" style="1" customWidth="1"/>
    <col min="7430" max="7430" width="14.08984375" style="1" bestFit="1" customWidth="1"/>
    <col min="7431" max="7431" width="10" style="1" bestFit="1" customWidth="1"/>
    <col min="7432" max="7673" width="9.08984375" style="1"/>
    <col min="7674" max="7674" width="7.6328125" style="1" bestFit="1" customWidth="1"/>
    <col min="7675" max="7675" width="88.36328125" style="1" customWidth="1"/>
    <col min="7676" max="7676" width="13" style="1" customWidth="1"/>
    <col min="7677" max="7677" width="18" style="1" customWidth="1"/>
    <col min="7678" max="7678" width="17" style="1" customWidth="1"/>
    <col min="7679" max="7679" width="17.90625" style="1" customWidth="1"/>
    <col min="7680" max="7680" width="20.453125" style="1" customWidth="1"/>
    <col min="7681" max="7681" width="14.90625" style="1" customWidth="1"/>
    <col min="7682" max="7684" width="18.08984375" style="1" customWidth="1"/>
    <col min="7685" max="7685" width="20.453125" style="1" customWidth="1"/>
    <col min="7686" max="7686" width="14.08984375" style="1" bestFit="1" customWidth="1"/>
    <col min="7687" max="7687" width="10" style="1" bestFit="1" customWidth="1"/>
    <col min="7688" max="7929" width="9.08984375" style="1"/>
    <col min="7930" max="7930" width="7.6328125" style="1" bestFit="1" customWidth="1"/>
    <col min="7931" max="7931" width="88.36328125" style="1" customWidth="1"/>
    <col min="7932" max="7932" width="13" style="1" customWidth="1"/>
    <col min="7933" max="7933" width="18" style="1" customWidth="1"/>
    <col min="7934" max="7934" width="17" style="1" customWidth="1"/>
    <col min="7935" max="7935" width="17.90625" style="1" customWidth="1"/>
    <col min="7936" max="7936" width="20.453125" style="1" customWidth="1"/>
    <col min="7937" max="7937" width="14.90625" style="1" customWidth="1"/>
    <col min="7938" max="7940" width="18.08984375" style="1" customWidth="1"/>
    <col min="7941" max="7941" width="20.453125" style="1" customWidth="1"/>
    <col min="7942" max="7942" width="14.08984375" style="1" bestFit="1" customWidth="1"/>
    <col min="7943" max="7943" width="10" style="1" bestFit="1" customWidth="1"/>
    <col min="7944" max="8185" width="9.08984375" style="1"/>
    <col min="8186" max="8186" width="7.6328125" style="1" bestFit="1" customWidth="1"/>
    <col min="8187" max="8187" width="88.36328125" style="1" customWidth="1"/>
    <col min="8188" max="8188" width="13" style="1" customWidth="1"/>
    <col min="8189" max="8189" width="18" style="1" customWidth="1"/>
    <col min="8190" max="8190" width="17" style="1" customWidth="1"/>
    <col min="8191" max="8191" width="17.90625" style="1" customWidth="1"/>
    <col min="8192" max="8192" width="20.453125" style="1" customWidth="1"/>
    <col min="8193" max="8193" width="14.90625" style="1" customWidth="1"/>
    <col min="8194" max="8196" width="18.08984375" style="1" customWidth="1"/>
    <col min="8197" max="8197" width="20.453125" style="1" customWidth="1"/>
    <col min="8198" max="8198" width="14.08984375" style="1" bestFit="1" customWidth="1"/>
    <col min="8199" max="8199" width="10" style="1" bestFit="1" customWidth="1"/>
    <col min="8200" max="8441" width="9.08984375" style="1"/>
    <col min="8442" max="8442" width="7.6328125" style="1" bestFit="1" customWidth="1"/>
    <col min="8443" max="8443" width="88.36328125" style="1" customWidth="1"/>
    <col min="8444" max="8444" width="13" style="1" customWidth="1"/>
    <col min="8445" max="8445" width="18" style="1" customWidth="1"/>
    <col min="8446" max="8446" width="17" style="1" customWidth="1"/>
    <col min="8447" max="8447" width="17.90625" style="1" customWidth="1"/>
    <col min="8448" max="8448" width="20.453125" style="1" customWidth="1"/>
    <col min="8449" max="8449" width="14.90625" style="1" customWidth="1"/>
    <col min="8450" max="8452" width="18.08984375" style="1" customWidth="1"/>
    <col min="8453" max="8453" width="20.453125" style="1" customWidth="1"/>
    <col min="8454" max="8454" width="14.08984375" style="1" bestFit="1" customWidth="1"/>
    <col min="8455" max="8455" width="10" style="1" bestFit="1" customWidth="1"/>
    <col min="8456" max="8697" width="9.08984375" style="1"/>
    <col min="8698" max="8698" width="7.6328125" style="1" bestFit="1" customWidth="1"/>
    <col min="8699" max="8699" width="88.36328125" style="1" customWidth="1"/>
    <col min="8700" max="8700" width="13" style="1" customWidth="1"/>
    <col min="8701" max="8701" width="18" style="1" customWidth="1"/>
    <col min="8702" max="8702" width="17" style="1" customWidth="1"/>
    <col min="8703" max="8703" width="17.90625" style="1" customWidth="1"/>
    <col min="8704" max="8704" width="20.453125" style="1" customWidth="1"/>
    <col min="8705" max="8705" width="14.90625" style="1" customWidth="1"/>
    <col min="8706" max="8708" width="18.08984375" style="1" customWidth="1"/>
    <col min="8709" max="8709" width="20.453125" style="1" customWidth="1"/>
    <col min="8710" max="8710" width="14.08984375" style="1" bestFit="1" customWidth="1"/>
    <col min="8711" max="8711" width="10" style="1" bestFit="1" customWidth="1"/>
    <col min="8712" max="8953" width="9.08984375" style="1"/>
    <col min="8954" max="8954" width="7.6328125" style="1" bestFit="1" customWidth="1"/>
    <col min="8955" max="8955" width="88.36328125" style="1" customWidth="1"/>
    <col min="8956" max="8956" width="13" style="1" customWidth="1"/>
    <col min="8957" max="8957" width="18" style="1" customWidth="1"/>
    <col min="8958" max="8958" width="17" style="1" customWidth="1"/>
    <col min="8959" max="8959" width="17.90625" style="1" customWidth="1"/>
    <col min="8960" max="8960" width="20.453125" style="1" customWidth="1"/>
    <col min="8961" max="8961" width="14.90625" style="1" customWidth="1"/>
    <col min="8962" max="8964" width="18.08984375" style="1" customWidth="1"/>
    <col min="8965" max="8965" width="20.453125" style="1" customWidth="1"/>
    <col min="8966" max="8966" width="14.08984375" style="1" bestFit="1" customWidth="1"/>
    <col min="8967" max="8967" width="10" style="1" bestFit="1" customWidth="1"/>
    <col min="8968" max="9209" width="9.08984375" style="1"/>
    <col min="9210" max="9210" width="7.6328125" style="1" bestFit="1" customWidth="1"/>
    <col min="9211" max="9211" width="88.36328125" style="1" customWidth="1"/>
    <col min="9212" max="9212" width="13" style="1" customWidth="1"/>
    <col min="9213" max="9213" width="18" style="1" customWidth="1"/>
    <col min="9214" max="9214" width="17" style="1" customWidth="1"/>
    <col min="9215" max="9215" width="17.90625" style="1" customWidth="1"/>
    <col min="9216" max="9216" width="20.453125" style="1" customWidth="1"/>
    <col min="9217" max="9217" width="14.90625" style="1" customWidth="1"/>
    <col min="9218" max="9220" width="18.08984375" style="1" customWidth="1"/>
    <col min="9221" max="9221" width="20.453125" style="1" customWidth="1"/>
    <col min="9222" max="9222" width="14.08984375" style="1" bestFit="1" customWidth="1"/>
    <col min="9223" max="9223" width="10" style="1" bestFit="1" customWidth="1"/>
    <col min="9224" max="9465" width="9.08984375" style="1"/>
    <col min="9466" max="9466" width="7.6328125" style="1" bestFit="1" customWidth="1"/>
    <col min="9467" max="9467" width="88.36328125" style="1" customWidth="1"/>
    <col min="9468" max="9468" width="13" style="1" customWidth="1"/>
    <col min="9469" max="9469" width="18" style="1" customWidth="1"/>
    <col min="9470" max="9470" width="17" style="1" customWidth="1"/>
    <col min="9471" max="9471" width="17.90625" style="1" customWidth="1"/>
    <col min="9472" max="9472" width="20.453125" style="1" customWidth="1"/>
    <col min="9473" max="9473" width="14.90625" style="1" customWidth="1"/>
    <col min="9474" max="9476" width="18.08984375" style="1" customWidth="1"/>
    <col min="9477" max="9477" width="20.453125" style="1" customWidth="1"/>
    <col min="9478" max="9478" width="14.08984375" style="1" bestFit="1" customWidth="1"/>
    <col min="9479" max="9479" width="10" style="1" bestFit="1" customWidth="1"/>
    <col min="9480" max="9721" width="9.08984375" style="1"/>
    <col min="9722" max="9722" width="7.6328125" style="1" bestFit="1" customWidth="1"/>
    <col min="9723" max="9723" width="88.36328125" style="1" customWidth="1"/>
    <col min="9724" max="9724" width="13" style="1" customWidth="1"/>
    <col min="9725" max="9725" width="18" style="1" customWidth="1"/>
    <col min="9726" max="9726" width="17" style="1" customWidth="1"/>
    <col min="9727" max="9727" width="17.90625" style="1" customWidth="1"/>
    <col min="9728" max="9728" width="20.453125" style="1" customWidth="1"/>
    <col min="9729" max="9729" width="14.90625" style="1" customWidth="1"/>
    <col min="9730" max="9732" width="18.08984375" style="1" customWidth="1"/>
    <col min="9733" max="9733" width="20.453125" style="1" customWidth="1"/>
    <col min="9734" max="9734" width="14.08984375" style="1" bestFit="1" customWidth="1"/>
    <col min="9735" max="9735" width="10" style="1" bestFit="1" customWidth="1"/>
    <col min="9736" max="9977" width="9.08984375" style="1"/>
    <col min="9978" max="9978" width="7.6328125" style="1" bestFit="1" customWidth="1"/>
    <col min="9979" max="9979" width="88.36328125" style="1" customWidth="1"/>
    <col min="9980" max="9980" width="13" style="1" customWidth="1"/>
    <col min="9981" max="9981" width="18" style="1" customWidth="1"/>
    <col min="9982" max="9982" width="17" style="1" customWidth="1"/>
    <col min="9983" max="9983" width="17.90625" style="1" customWidth="1"/>
    <col min="9984" max="9984" width="20.453125" style="1" customWidth="1"/>
    <col min="9985" max="9985" width="14.90625" style="1" customWidth="1"/>
    <col min="9986" max="9988" width="18.08984375" style="1" customWidth="1"/>
    <col min="9989" max="9989" width="20.453125" style="1" customWidth="1"/>
    <col min="9990" max="9990" width="14.08984375" style="1" bestFit="1" customWidth="1"/>
    <col min="9991" max="9991" width="10" style="1" bestFit="1" customWidth="1"/>
    <col min="9992" max="10233" width="9.08984375" style="1"/>
    <col min="10234" max="10234" width="7.6328125" style="1" bestFit="1" customWidth="1"/>
    <col min="10235" max="10235" width="88.36328125" style="1" customWidth="1"/>
    <col min="10236" max="10236" width="13" style="1" customWidth="1"/>
    <col min="10237" max="10237" width="18" style="1" customWidth="1"/>
    <col min="10238" max="10238" width="17" style="1" customWidth="1"/>
    <col min="10239" max="10239" width="17.90625" style="1" customWidth="1"/>
    <col min="10240" max="10240" width="20.453125" style="1" customWidth="1"/>
    <col min="10241" max="10241" width="14.90625" style="1" customWidth="1"/>
    <col min="10242" max="10244" width="18.08984375" style="1" customWidth="1"/>
    <col min="10245" max="10245" width="20.453125" style="1" customWidth="1"/>
    <col min="10246" max="10246" width="14.08984375" style="1" bestFit="1" customWidth="1"/>
    <col min="10247" max="10247" width="10" style="1" bestFit="1" customWidth="1"/>
    <col min="10248" max="10489" width="9.08984375" style="1"/>
    <col min="10490" max="10490" width="7.6328125" style="1" bestFit="1" customWidth="1"/>
    <col min="10491" max="10491" width="88.36328125" style="1" customWidth="1"/>
    <col min="10492" max="10492" width="13" style="1" customWidth="1"/>
    <col min="10493" max="10493" width="18" style="1" customWidth="1"/>
    <col min="10494" max="10494" width="17" style="1" customWidth="1"/>
    <col min="10495" max="10495" width="17.90625" style="1" customWidth="1"/>
    <col min="10496" max="10496" width="20.453125" style="1" customWidth="1"/>
    <col min="10497" max="10497" width="14.90625" style="1" customWidth="1"/>
    <col min="10498" max="10500" width="18.08984375" style="1" customWidth="1"/>
    <col min="10501" max="10501" width="20.453125" style="1" customWidth="1"/>
    <col min="10502" max="10502" width="14.08984375" style="1" bestFit="1" customWidth="1"/>
    <col min="10503" max="10503" width="10" style="1" bestFit="1" customWidth="1"/>
    <col min="10504" max="10745" width="9.08984375" style="1"/>
    <col min="10746" max="10746" width="7.6328125" style="1" bestFit="1" customWidth="1"/>
    <col min="10747" max="10747" width="88.36328125" style="1" customWidth="1"/>
    <col min="10748" max="10748" width="13" style="1" customWidth="1"/>
    <col min="10749" max="10749" width="18" style="1" customWidth="1"/>
    <col min="10750" max="10750" width="17" style="1" customWidth="1"/>
    <col min="10751" max="10751" width="17.90625" style="1" customWidth="1"/>
    <col min="10752" max="10752" width="20.453125" style="1" customWidth="1"/>
    <col min="10753" max="10753" width="14.90625" style="1" customWidth="1"/>
    <col min="10754" max="10756" width="18.08984375" style="1" customWidth="1"/>
    <col min="10757" max="10757" width="20.453125" style="1" customWidth="1"/>
    <col min="10758" max="10758" width="14.08984375" style="1" bestFit="1" customWidth="1"/>
    <col min="10759" max="10759" width="10" style="1" bestFit="1" customWidth="1"/>
    <col min="10760" max="11001" width="9.08984375" style="1"/>
    <col min="11002" max="11002" width="7.6328125" style="1" bestFit="1" customWidth="1"/>
    <col min="11003" max="11003" width="88.36328125" style="1" customWidth="1"/>
    <col min="11004" max="11004" width="13" style="1" customWidth="1"/>
    <col min="11005" max="11005" width="18" style="1" customWidth="1"/>
    <col min="11006" max="11006" width="17" style="1" customWidth="1"/>
    <col min="11007" max="11007" width="17.90625" style="1" customWidth="1"/>
    <col min="11008" max="11008" width="20.453125" style="1" customWidth="1"/>
    <col min="11009" max="11009" width="14.90625" style="1" customWidth="1"/>
    <col min="11010" max="11012" width="18.08984375" style="1" customWidth="1"/>
    <col min="11013" max="11013" width="20.453125" style="1" customWidth="1"/>
    <col min="11014" max="11014" width="14.08984375" style="1" bestFit="1" customWidth="1"/>
    <col min="11015" max="11015" width="10" style="1" bestFit="1" customWidth="1"/>
    <col min="11016" max="11257" width="9.08984375" style="1"/>
    <col min="11258" max="11258" width="7.6328125" style="1" bestFit="1" customWidth="1"/>
    <col min="11259" max="11259" width="88.36328125" style="1" customWidth="1"/>
    <col min="11260" max="11260" width="13" style="1" customWidth="1"/>
    <col min="11261" max="11261" width="18" style="1" customWidth="1"/>
    <col min="11262" max="11262" width="17" style="1" customWidth="1"/>
    <col min="11263" max="11263" width="17.90625" style="1" customWidth="1"/>
    <col min="11264" max="11264" width="20.453125" style="1" customWidth="1"/>
    <col min="11265" max="11265" width="14.90625" style="1" customWidth="1"/>
    <col min="11266" max="11268" width="18.08984375" style="1" customWidth="1"/>
    <col min="11269" max="11269" width="20.453125" style="1" customWidth="1"/>
    <col min="11270" max="11270" width="14.08984375" style="1" bestFit="1" customWidth="1"/>
    <col min="11271" max="11271" width="10" style="1" bestFit="1" customWidth="1"/>
    <col min="11272" max="11513" width="9.08984375" style="1"/>
    <col min="11514" max="11514" width="7.6328125" style="1" bestFit="1" customWidth="1"/>
    <col min="11515" max="11515" width="88.36328125" style="1" customWidth="1"/>
    <col min="11516" max="11516" width="13" style="1" customWidth="1"/>
    <col min="11517" max="11517" width="18" style="1" customWidth="1"/>
    <col min="11518" max="11518" width="17" style="1" customWidth="1"/>
    <col min="11519" max="11519" width="17.90625" style="1" customWidth="1"/>
    <col min="11520" max="11520" width="20.453125" style="1" customWidth="1"/>
    <col min="11521" max="11521" width="14.90625" style="1" customWidth="1"/>
    <col min="11522" max="11524" width="18.08984375" style="1" customWidth="1"/>
    <col min="11525" max="11525" width="20.453125" style="1" customWidth="1"/>
    <col min="11526" max="11526" width="14.08984375" style="1" bestFit="1" customWidth="1"/>
    <col min="11527" max="11527" width="10" style="1" bestFit="1" customWidth="1"/>
    <col min="11528" max="11769" width="9.08984375" style="1"/>
    <col min="11770" max="11770" width="7.6328125" style="1" bestFit="1" customWidth="1"/>
    <col min="11771" max="11771" width="88.36328125" style="1" customWidth="1"/>
    <col min="11772" max="11772" width="13" style="1" customWidth="1"/>
    <col min="11773" max="11773" width="18" style="1" customWidth="1"/>
    <col min="11774" max="11774" width="17" style="1" customWidth="1"/>
    <col min="11775" max="11775" width="17.90625" style="1" customWidth="1"/>
    <col min="11776" max="11776" width="20.453125" style="1" customWidth="1"/>
    <col min="11777" max="11777" width="14.90625" style="1" customWidth="1"/>
    <col min="11778" max="11780" width="18.08984375" style="1" customWidth="1"/>
    <col min="11781" max="11781" width="20.453125" style="1" customWidth="1"/>
    <col min="11782" max="11782" width="14.08984375" style="1" bestFit="1" customWidth="1"/>
    <col min="11783" max="11783" width="10" style="1" bestFit="1" customWidth="1"/>
    <col min="11784" max="12025" width="9.08984375" style="1"/>
    <col min="12026" max="12026" width="7.6328125" style="1" bestFit="1" customWidth="1"/>
    <col min="12027" max="12027" width="88.36328125" style="1" customWidth="1"/>
    <col min="12028" max="12028" width="13" style="1" customWidth="1"/>
    <col min="12029" max="12029" width="18" style="1" customWidth="1"/>
    <col min="12030" max="12030" width="17" style="1" customWidth="1"/>
    <col min="12031" max="12031" width="17.90625" style="1" customWidth="1"/>
    <col min="12032" max="12032" width="20.453125" style="1" customWidth="1"/>
    <col min="12033" max="12033" width="14.90625" style="1" customWidth="1"/>
    <col min="12034" max="12036" width="18.08984375" style="1" customWidth="1"/>
    <col min="12037" max="12037" width="20.453125" style="1" customWidth="1"/>
    <col min="12038" max="12038" width="14.08984375" style="1" bestFit="1" customWidth="1"/>
    <col min="12039" max="12039" width="10" style="1" bestFit="1" customWidth="1"/>
    <col min="12040" max="12281" width="9.08984375" style="1"/>
    <col min="12282" max="12282" width="7.6328125" style="1" bestFit="1" customWidth="1"/>
    <col min="12283" max="12283" width="88.36328125" style="1" customWidth="1"/>
    <col min="12284" max="12284" width="13" style="1" customWidth="1"/>
    <col min="12285" max="12285" width="18" style="1" customWidth="1"/>
    <col min="12286" max="12286" width="17" style="1" customWidth="1"/>
    <col min="12287" max="12287" width="17.90625" style="1" customWidth="1"/>
    <col min="12288" max="12288" width="20.453125" style="1" customWidth="1"/>
    <col min="12289" max="12289" width="14.90625" style="1" customWidth="1"/>
    <col min="12290" max="12292" width="18.08984375" style="1" customWidth="1"/>
    <col min="12293" max="12293" width="20.453125" style="1" customWidth="1"/>
    <col min="12294" max="12294" width="14.08984375" style="1" bestFit="1" customWidth="1"/>
    <col min="12295" max="12295" width="10" style="1" bestFit="1" customWidth="1"/>
    <col min="12296" max="12537" width="9.08984375" style="1"/>
    <col min="12538" max="12538" width="7.6328125" style="1" bestFit="1" customWidth="1"/>
    <col min="12539" max="12539" width="88.36328125" style="1" customWidth="1"/>
    <col min="12540" max="12540" width="13" style="1" customWidth="1"/>
    <col min="12541" max="12541" width="18" style="1" customWidth="1"/>
    <col min="12542" max="12542" width="17" style="1" customWidth="1"/>
    <col min="12543" max="12543" width="17.90625" style="1" customWidth="1"/>
    <col min="12544" max="12544" width="20.453125" style="1" customWidth="1"/>
    <col min="12545" max="12545" width="14.90625" style="1" customWidth="1"/>
    <col min="12546" max="12548" width="18.08984375" style="1" customWidth="1"/>
    <col min="12549" max="12549" width="20.453125" style="1" customWidth="1"/>
    <col min="12550" max="12550" width="14.08984375" style="1" bestFit="1" customWidth="1"/>
    <col min="12551" max="12551" width="10" style="1" bestFit="1" customWidth="1"/>
    <col min="12552" max="12793" width="9.08984375" style="1"/>
    <col min="12794" max="12794" width="7.6328125" style="1" bestFit="1" customWidth="1"/>
    <col min="12795" max="12795" width="88.36328125" style="1" customWidth="1"/>
    <col min="12796" max="12796" width="13" style="1" customWidth="1"/>
    <col min="12797" max="12797" width="18" style="1" customWidth="1"/>
    <col min="12798" max="12798" width="17" style="1" customWidth="1"/>
    <col min="12799" max="12799" width="17.90625" style="1" customWidth="1"/>
    <col min="12800" max="12800" width="20.453125" style="1" customWidth="1"/>
    <col min="12801" max="12801" width="14.90625" style="1" customWidth="1"/>
    <col min="12802" max="12804" width="18.08984375" style="1" customWidth="1"/>
    <col min="12805" max="12805" width="20.453125" style="1" customWidth="1"/>
    <col min="12806" max="12806" width="14.08984375" style="1" bestFit="1" customWidth="1"/>
    <col min="12807" max="12807" width="10" style="1" bestFit="1" customWidth="1"/>
    <col min="12808" max="13049" width="9.08984375" style="1"/>
    <col min="13050" max="13050" width="7.6328125" style="1" bestFit="1" customWidth="1"/>
    <col min="13051" max="13051" width="88.36328125" style="1" customWidth="1"/>
    <col min="13052" max="13052" width="13" style="1" customWidth="1"/>
    <col min="13053" max="13053" width="18" style="1" customWidth="1"/>
    <col min="13054" max="13054" width="17" style="1" customWidth="1"/>
    <col min="13055" max="13055" width="17.90625" style="1" customWidth="1"/>
    <col min="13056" max="13056" width="20.453125" style="1" customWidth="1"/>
    <col min="13057" max="13057" width="14.90625" style="1" customWidth="1"/>
    <col min="13058" max="13060" width="18.08984375" style="1" customWidth="1"/>
    <col min="13061" max="13061" width="20.453125" style="1" customWidth="1"/>
    <col min="13062" max="13062" width="14.08984375" style="1" bestFit="1" customWidth="1"/>
    <col min="13063" max="13063" width="10" style="1" bestFit="1" customWidth="1"/>
    <col min="13064" max="13305" width="9.08984375" style="1"/>
    <col min="13306" max="13306" width="7.6328125" style="1" bestFit="1" customWidth="1"/>
    <col min="13307" max="13307" width="88.36328125" style="1" customWidth="1"/>
    <col min="13308" max="13308" width="13" style="1" customWidth="1"/>
    <col min="13309" max="13309" width="18" style="1" customWidth="1"/>
    <col min="13310" max="13310" width="17" style="1" customWidth="1"/>
    <col min="13311" max="13311" width="17.90625" style="1" customWidth="1"/>
    <col min="13312" max="13312" width="20.453125" style="1" customWidth="1"/>
    <col min="13313" max="13313" width="14.90625" style="1" customWidth="1"/>
    <col min="13314" max="13316" width="18.08984375" style="1" customWidth="1"/>
    <col min="13317" max="13317" width="20.453125" style="1" customWidth="1"/>
    <col min="13318" max="13318" width="14.08984375" style="1" bestFit="1" customWidth="1"/>
    <col min="13319" max="13319" width="10" style="1" bestFit="1" customWidth="1"/>
    <col min="13320" max="13561" width="9.08984375" style="1"/>
    <col min="13562" max="13562" width="7.6328125" style="1" bestFit="1" customWidth="1"/>
    <col min="13563" max="13563" width="88.36328125" style="1" customWidth="1"/>
    <col min="13564" max="13564" width="13" style="1" customWidth="1"/>
    <col min="13565" max="13565" width="18" style="1" customWidth="1"/>
    <col min="13566" max="13566" width="17" style="1" customWidth="1"/>
    <col min="13567" max="13567" width="17.90625" style="1" customWidth="1"/>
    <col min="13568" max="13568" width="20.453125" style="1" customWidth="1"/>
    <col min="13569" max="13569" width="14.90625" style="1" customWidth="1"/>
    <col min="13570" max="13572" width="18.08984375" style="1" customWidth="1"/>
    <col min="13573" max="13573" width="20.453125" style="1" customWidth="1"/>
    <col min="13574" max="13574" width="14.08984375" style="1" bestFit="1" customWidth="1"/>
    <col min="13575" max="13575" width="10" style="1" bestFit="1" customWidth="1"/>
    <col min="13576" max="13817" width="9.08984375" style="1"/>
    <col min="13818" max="13818" width="7.6328125" style="1" bestFit="1" customWidth="1"/>
    <col min="13819" max="13819" width="88.36328125" style="1" customWidth="1"/>
    <col min="13820" max="13820" width="13" style="1" customWidth="1"/>
    <col min="13821" max="13821" width="18" style="1" customWidth="1"/>
    <col min="13822" max="13822" width="17" style="1" customWidth="1"/>
    <col min="13823" max="13823" width="17.90625" style="1" customWidth="1"/>
    <col min="13824" max="13824" width="20.453125" style="1" customWidth="1"/>
    <col min="13825" max="13825" width="14.90625" style="1" customWidth="1"/>
    <col min="13826" max="13828" width="18.08984375" style="1" customWidth="1"/>
    <col min="13829" max="13829" width="20.453125" style="1" customWidth="1"/>
    <col min="13830" max="13830" width="14.08984375" style="1" bestFit="1" customWidth="1"/>
    <col min="13831" max="13831" width="10" style="1" bestFit="1" customWidth="1"/>
    <col min="13832" max="14073" width="9.08984375" style="1"/>
    <col min="14074" max="14074" width="7.6328125" style="1" bestFit="1" customWidth="1"/>
    <col min="14075" max="14075" width="88.36328125" style="1" customWidth="1"/>
    <col min="14076" max="14076" width="13" style="1" customWidth="1"/>
    <col min="14077" max="14077" width="18" style="1" customWidth="1"/>
    <col min="14078" max="14078" width="17" style="1" customWidth="1"/>
    <col min="14079" max="14079" width="17.90625" style="1" customWidth="1"/>
    <col min="14080" max="14080" width="20.453125" style="1" customWidth="1"/>
    <col min="14081" max="14081" width="14.90625" style="1" customWidth="1"/>
    <col min="14082" max="14084" width="18.08984375" style="1" customWidth="1"/>
    <col min="14085" max="14085" width="20.453125" style="1" customWidth="1"/>
    <col min="14086" max="14086" width="14.08984375" style="1" bestFit="1" customWidth="1"/>
    <col min="14087" max="14087" width="10" style="1" bestFit="1" customWidth="1"/>
    <col min="14088" max="14329" width="9.08984375" style="1"/>
    <col min="14330" max="14330" width="7.6328125" style="1" bestFit="1" customWidth="1"/>
    <col min="14331" max="14331" width="88.36328125" style="1" customWidth="1"/>
    <col min="14332" max="14332" width="13" style="1" customWidth="1"/>
    <col min="14333" max="14333" width="18" style="1" customWidth="1"/>
    <col min="14334" max="14334" width="17" style="1" customWidth="1"/>
    <col min="14335" max="14335" width="17.90625" style="1" customWidth="1"/>
    <col min="14336" max="14336" width="20.453125" style="1" customWidth="1"/>
    <col min="14337" max="14337" width="14.90625" style="1" customWidth="1"/>
    <col min="14338" max="14340" width="18.08984375" style="1" customWidth="1"/>
    <col min="14341" max="14341" width="20.453125" style="1" customWidth="1"/>
    <col min="14342" max="14342" width="14.08984375" style="1" bestFit="1" customWidth="1"/>
    <col min="14343" max="14343" width="10" style="1" bestFit="1" customWidth="1"/>
    <col min="14344" max="14585" width="9.08984375" style="1"/>
    <col min="14586" max="14586" width="7.6328125" style="1" bestFit="1" customWidth="1"/>
    <col min="14587" max="14587" width="88.36328125" style="1" customWidth="1"/>
    <col min="14588" max="14588" width="13" style="1" customWidth="1"/>
    <col min="14589" max="14589" width="18" style="1" customWidth="1"/>
    <col min="14590" max="14590" width="17" style="1" customWidth="1"/>
    <col min="14591" max="14591" width="17.90625" style="1" customWidth="1"/>
    <col min="14592" max="14592" width="20.453125" style="1" customWidth="1"/>
    <col min="14593" max="14593" width="14.90625" style="1" customWidth="1"/>
    <col min="14594" max="14596" width="18.08984375" style="1" customWidth="1"/>
    <col min="14597" max="14597" width="20.453125" style="1" customWidth="1"/>
    <col min="14598" max="14598" width="14.08984375" style="1" bestFit="1" customWidth="1"/>
    <col min="14599" max="14599" width="10" style="1" bestFit="1" customWidth="1"/>
    <col min="14600" max="14841" width="9.08984375" style="1"/>
    <col min="14842" max="14842" width="7.6328125" style="1" bestFit="1" customWidth="1"/>
    <col min="14843" max="14843" width="88.36328125" style="1" customWidth="1"/>
    <col min="14844" max="14844" width="13" style="1" customWidth="1"/>
    <col min="14845" max="14845" width="18" style="1" customWidth="1"/>
    <col min="14846" max="14846" width="17" style="1" customWidth="1"/>
    <col min="14847" max="14847" width="17.90625" style="1" customWidth="1"/>
    <col min="14848" max="14848" width="20.453125" style="1" customWidth="1"/>
    <col min="14849" max="14849" width="14.90625" style="1" customWidth="1"/>
    <col min="14850" max="14852" width="18.08984375" style="1" customWidth="1"/>
    <col min="14853" max="14853" width="20.453125" style="1" customWidth="1"/>
    <col min="14854" max="14854" width="14.08984375" style="1" bestFit="1" customWidth="1"/>
    <col min="14855" max="14855" width="10" style="1" bestFit="1" customWidth="1"/>
    <col min="14856" max="15097" width="9.08984375" style="1"/>
    <col min="15098" max="15098" width="7.6328125" style="1" bestFit="1" customWidth="1"/>
    <col min="15099" max="15099" width="88.36328125" style="1" customWidth="1"/>
    <col min="15100" max="15100" width="13" style="1" customWidth="1"/>
    <col min="15101" max="15101" width="18" style="1" customWidth="1"/>
    <col min="15102" max="15102" width="17" style="1" customWidth="1"/>
    <col min="15103" max="15103" width="17.90625" style="1" customWidth="1"/>
    <col min="15104" max="15104" width="20.453125" style="1" customWidth="1"/>
    <col min="15105" max="15105" width="14.90625" style="1" customWidth="1"/>
    <col min="15106" max="15108" width="18.08984375" style="1" customWidth="1"/>
    <col min="15109" max="15109" width="20.453125" style="1" customWidth="1"/>
    <col min="15110" max="15110" width="14.08984375" style="1" bestFit="1" customWidth="1"/>
    <col min="15111" max="15111" width="10" style="1" bestFit="1" customWidth="1"/>
    <col min="15112" max="15353" width="9.08984375" style="1"/>
    <col min="15354" max="15354" width="7.6328125" style="1" bestFit="1" customWidth="1"/>
    <col min="15355" max="15355" width="88.36328125" style="1" customWidth="1"/>
    <col min="15356" max="15356" width="13" style="1" customWidth="1"/>
    <col min="15357" max="15357" width="18" style="1" customWidth="1"/>
    <col min="15358" max="15358" width="17" style="1" customWidth="1"/>
    <col min="15359" max="15359" width="17.90625" style="1" customWidth="1"/>
    <col min="15360" max="15360" width="20.453125" style="1" customWidth="1"/>
    <col min="15361" max="15361" width="14.90625" style="1" customWidth="1"/>
    <col min="15362" max="15364" width="18.08984375" style="1" customWidth="1"/>
    <col min="15365" max="15365" width="20.453125" style="1" customWidth="1"/>
    <col min="15366" max="15366" width="14.08984375" style="1" bestFit="1" customWidth="1"/>
    <col min="15367" max="15367" width="10" style="1" bestFit="1" customWidth="1"/>
    <col min="15368" max="15609" width="9.08984375" style="1"/>
    <col min="15610" max="15610" width="7.6328125" style="1" bestFit="1" customWidth="1"/>
    <col min="15611" max="15611" width="88.36328125" style="1" customWidth="1"/>
    <col min="15612" max="15612" width="13" style="1" customWidth="1"/>
    <col min="15613" max="15613" width="18" style="1" customWidth="1"/>
    <col min="15614" max="15614" width="17" style="1" customWidth="1"/>
    <col min="15615" max="15615" width="17.90625" style="1" customWidth="1"/>
    <col min="15616" max="15616" width="20.453125" style="1" customWidth="1"/>
    <col min="15617" max="15617" width="14.90625" style="1" customWidth="1"/>
    <col min="15618" max="15620" width="18.08984375" style="1" customWidth="1"/>
    <col min="15621" max="15621" width="20.453125" style="1" customWidth="1"/>
    <col min="15622" max="15622" width="14.08984375" style="1" bestFit="1" customWidth="1"/>
    <col min="15623" max="15623" width="10" style="1" bestFit="1" customWidth="1"/>
    <col min="15624" max="15865" width="9.08984375" style="1"/>
    <col min="15866" max="15866" width="7.6328125" style="1" bestFit="1" customWidth="1"/>
    <col min="15867" max="15867" width="88.36328125" style="1" customWidth="1"/>
    <col min="15868" max="15868" width="13" style="1" customWidth="1"/>
    <col min="15869" max="15869" width="18" style="1" customWidth="1"/>
    <col min="15870" max="15870" width="17" style="1" customWidth="1"/>
    <col min="15871" max="15871" width="17.90625" style="1" customWidth="1"/>
    <col min="15872" max="15872" width="20.453125" style="1" customWidth="1"/>
    <col min="15873" max="15873" width="14.90625" style="1" customWidth="1"/>
    <col min="15874" max="15876" width="18.08984375" style="1" customWidth="1"/>
    <col min="15877" max="15877" width="20.453125" style="1" customWidth="1"/>
    <col min="15878" max="15878" width="14.08984375" style="1" bestFit="1" customWidth="1"/>
    <col min="15879" max="15879" width="10" style="1" bestFit="1" customWidth="1"/>
    <col min="15880" max="16121" width="9.08984375" style="1"/>
    <col min="16122" max="16122" width="7.6328125" style="1" bestFit="1" customWidth="1"/>
    <col min="16123" max="16123" width="88.36328125" style="1" customWidth="1"/>
    <col min="16124" max="16124" width="13" style="1" customWidth="1"/>
    <col min="16125" max="16125" width="18" style="1" customWidth="1"/>
    <col min="16126" max="16126" width="17" style="1" customWidth="1"/>
    <col min="16127" max="16127" width="17.90625" style="1" customWidth="1"/>
    <col min="16128" max="16128" width="20.453125" style="1" customWidth="1"/>
    <col min="16129" max="16129" width="14.90625" style="1" customWidth="1"/>
    <col min="16130" max="16132" width="18.08984375" style="1" customWidth="1"/>
    <col min="16133" max="16133" width="20.453125" style="1" customWidth="1"/>
    <col min="16134" max="16134" width="14.08984375" style="1" bestFit="1" customWidth="1"/>
    <col min="16135" max="16135" width="10" style="1" bestFit="1" customWidth="1"/>
    <col min="16136" max="16377" width="9.08984375" style="1"/>
    <col min="16378" max="16384" width="9.08984375" style="1" customWidth="1"/>
  </cols>
  <sheetData>
    <row r="1" spans="1:10" s="29" customFormat="1" x14ac:dyDescent="0.25">
      <c r="A1" s="26" t="s">
        <v>7</v>
      </c>
      <c r="B1" s="27"/>
      <c r="C1" s="27"/>
      <c r="D1" s="27"/>
      <c r="E1" s="27"/>
      <c r="F1" s="27"/>
      <c r="G1" s="27"/>
      <c r="H1" s="27"/>
      <c r="I1" s="28"/>
    </row>
    <row r="2" spans="1:10" s="29" customFormat="1" x14ac:dyDescent="0.25">
      <c r="A2" s="26" t="s">
        <v>691</v>
      </c>
      <c r="B2" s="27"/>
      <c r="C2" s="27"/>
      <c r="D2" s="27"/>
      <c r="E2" s="27"/>
      <c r="F2" s="27"/>
      <c r="G2" s="27"/>
      <c r="H2" s="27"/>
      <c r="I2" s="28"/>
    </row>
    <row r="3" spans="1:10" s="29" customFormat="1" x14ac:dyDescent="0.25">
      <c r="A3" s="26" t="s">
        <v>750</v>
      </c>
      <c r="C3" s="28"/>
      <c r="D3" s="28"/>
      <c r="E3" s="26"/>
      <c r="F3" s="26"/>
      <c r="G3" s="26"/>
      <c r="H3" s="26"/>
      <c r="I3" s="26"/>
      <c r="J3" s="27"/>
    </row>
    <row r="4" spans="1:10" s="29" customFormat="1" ht="24.75" customHeight="1" x14ac:dyDescent="0.25">
      <c r="A4" s="26" t="s">
        <v>723</v>
      </c>
      <c r="C4" s="27"/>
      <c r="D4" s="27"/>
      <c r="E4" s="191"/>
      <c r="F4" s="191"/>
      <c r="G4" s="191"/>
      <c r="H4" s="191"/>
      <c r="I4" s="191"/>
    </row>
    <row r="5" spans="1:10" s="29" customFormat="1" ht="42" customHeight="1" x14ac:dyDescent="0.25">
      <c r="A5" s="199" t="s">
        <v>8</v>
      </c>
      <c r="B5" s="192" t="s">
        <v>0</v>
      </c>
      <c r="C5" s="192" t="s">
        <v>1</v>
      </c>
      <c r="D5" s="192" t="s">
        <v>9</v>
      </c>
      <c r="E5" s="192" t="s">
        <v>10</v>
      </c>
      <c r="F5" s="192"/>
      <c r="G5" s="192" t="s">
        <v>11</v>
      </c>
      <c r="H5" s="192"/>
      <c r="I5" s="126" t="s">
        <v>12</v>
      </c>
    </row>
    <row r="6" spans="1:10" s="29" customFormat="1" ht="10.5" customHeight="1" x14ac:dyDescent="0.25">
      <c r="A6" s="200"/>
      <c r="B6" s="192"/>
      <c r="C6" s="192"/>
      <c r="D6" s="192"/>
      <c r="E6" s="192" t="s">
        <v>13</v>
      </c>
      <c r="F6" s="192" t="s">
        <v>14</v>
      </c>
      <c r="G6" s="192" t="s">
        <v>15</v>
      </c>
      <c r="H6" s="192" t="s">
        <v>16</v>
      </c>
      <c r="I6" s="126"/>
    </row>
    <row r="7" spans="1:10" s="29" customFormat="1" ht="21.75" customHeight="1" x14ac:dyDescent="0.25">
      <c r="A7" s="201"/>
      <c r="B7" s="192"/>
      <c r="C7" s="192"/>
      <c r="D7" s="192"/>
      <c r="E7" s="192"/>
      <c r="F7" s="192"/>
      <c r="G7" s="192"/>
      <c r="H7" s="192"/>
      <c r="I7" s="126" t="s">
        <v>17</v>
      </c>
    </row>
    <row r="8" spans="1:10" ht="116.5" customHeight="1" x14ac:dyDescent="0.25">
      <c r="A8" s="31"/>
      <c r="B8" s="32" t="s">
        <v>18</v>
      </c>
      <c r="C8" s="33"/>
      <c r="D8" s="33"/>
      <c r="E8" s="61"/>
      <c r="F8" s="34"/>
      <c r="G8" s="61"/>
      <c r="H8" s="34"/>
      <c r="I8" s="33"/>
    </row>
    <row r="9" spans="1:10" ht="78.75" customHeight="1" x14ac:dyDescent="0.25">
      <c r="A9" s="35"/>
      <c r="B9" s="68" t="s">
        <v>725</v>
      </c>
      <c r="C9" s="36"/>
      <c r="D9" s="36"/>
      <c r="E9" s="62"/>
      <c r="F9" s="36"/>
      <c r="G9" s="62"/>
      <c r="H9" s="36"/>
      <c r="I9" s="36"/>
    </row>
    <row r="10" spans="1:10" ht="34.5" customHeight="1" x14ac:dyDescent="0.25">
      <c r="A10" s="64">
        <v>1</v>
      </c>
      <c r="B10" s="65" t="s">
        <v>726</v>
      </c>
      <c r="C10" s="38"/>
      <c r="D10" s="38"/>
      <c r="E10" s="63"/>
      <c r="F10" s="38"/>
      <c r="G10" s="63"/>
      <c r="H10" s="38"/>
      <c r="I10" s="38"/>
    </row>
    <row r="11" spans="1:10" ht="24" customHeight="1" x14ac:dyDescent="0.25">
      <c r="A11" s="193">
        <v>1.1000000000000001</v>
      </c>
      <c r="B11" s="2" t="s">
        <v>53</v>
      </c>
      <c r="C11" s="33"/>
      <c r="D11" s="33"/>
      <c r="E11" s="132"/>
      <c r="F11" s="33"/>
      <c r="G11" s="132"/>
      <c r="H11" s="33"/>
      <c r="I11" s="33"/>
    </row>
    <row r="12" spans="1:10" ht="153" customHeight="1" x14ac:dyDescent="0.25">
      <c r="A12" s="194"/>
      <c r="B12" s="3" t="s">
        <v>709</v>
      </c>
      <c r="C12" s="9"/>
      <c r="D12" s="9"/>
      <c r="E12" s="25"/>
      <c r="F12" s="2"/>
      <c r="G12" s="25"/>
      <c r="H12" s="2"/>
      <c r="I12" s="2"/>
    </row>
    <row r="13" spans="1:10" x14ac:dyDescent="0.25">
      <c r="A13" s="128" t="s">
        <v>154</v>
      </c>
      <c r="B13" s="3" t="s">
        <v>71</v>
      </c>
      <c r="C13" s="39" t="s">
        <v>64</v>
      </c>
      <c r="D13" s="4">
        <v>3</v>
      </c>
      <c r="E13" s="150">
        <v>448080</v>
      </c>
      <c r="F13" s="151">
        <f t="shared" ref="F13" si="0">D13*E13</f>
        <v>1344240</v>
      </c>
      <c r="G13" s="152">
        <v>89620</v>
      </c>
      <c r="H13" s="153">
        <f t="shared" ref="H13" si="1">G13*D13</f>
        <v>268860</v>
      </c>
      <c r="I13" s="154">
        <f t="shared" ref="I13" si="2">F13+H13</f>
        <v>1613100</v>
      </c>
    </row>
    <row r="14" spans="1:10" x14ac:dyDescent="0.25">
      <c r="A14" s="128" t="s">
        <v>155</v>
      </c>
      <c r="B14" s="3" t="s">
        <v>747</v>
      </c>
      <c r="C14" s="39"/>
      <c r="D14" s="4"/>
      <c r="E14" s="150"/>
      <c r="F14" s="151"/>
      <c r="G14" s="152"/>
      <c r="H14" s="153"/>
      <c r="I14" s="154"/>
    </row>
    <row r="15" spans="1:10" x14ac:dyDescent="0.25">
      <c r="A15" s="128" t="s">
        <v>156</v>
      </c>
      <c r="B15" s="3" t="s">
        <v>72</v>
      </c>
      <c r="C15" s="39" t="s">
        <v>64</v>
      </c>
      <c r="D15" s="4">
        <v>3</v>
      </c>
      <c r="E15" s="150">
        <v>448080</v>
      </c>
      <c r="F15" s="151">
        <f t="shared" ref="F15:F17" si="3">D15*E15</f>
        <v>1344240</v>
      </c>
      <c r="G15" s="152">
        <v>89620</v>
      </c>
      <c r="H15" s="153">
        <f t="shared" ref="H15:H17" si="4">G15*D15</f>
        <v>268860</v>
      </c>
      <c r="I15" s="154">
        <f t="shared" ref="I15:I17" si="5">F15+H15</f>
        <v>1613100</v>
      </c>
    </row>
    <row r="16" spans="1:10" x14ac:dyDescent="0.25">
      <c r="A16" s="128" t="s">
        <v>157</v>
      </c>
      <c r="B16" s="3" t="s">
        <v>592</v>
      </c>
      <c r="C16" s="39" t="s">
        <v>29</v>
      </c>
      <c r="D16" s="4">
        <v>2</v>
      </c>
      <c r="E16" s="150">
        <v>448080</v>
      </c>
      <c r="F16" s="151">
        <f t="shared" ref="F16" si="6">D16*E16</f>
        <v>896160</v>
      </c>
      <c r="G16" s="152">
        <v>89620</v>
      </c>
      <c r="H16" s="153">
        <f t="shared" ref="H16" si="7">G16*D16</f>
        <v>179240</v>
      </c>
      <c r="I16" s="154">
        <f t="shared" ref="I16" si="8">F16+H16</f>
        <v>1075400</v>
      </c>
    </row>
    <row r="17" spans="1:9" ht="28" customHeight="1" x14ac:dyDescent="0.25">
      <c r="A17" s="128" t="s">
        <v>158</v>
      </c>
      <c r="B17" s="3" t="s">
        <v>522</v>
      </c>
      <c r="C17" s="39" t="s">
        <v>64</v>
      </c>
      <c r="D17" s="4">
        <v>1</v>
      </c>
      <c r="E17" s="150">
        <v>115400</v>
      </c>
      <c r="F17" s="151">
        <f t="shared" si="3"/>
        <v>115400</v>
      </c>
      <c r="G17" s="152">
        <v>23080</v>
      </c>
      <c r="H17" s="153">
        <f t="shared" si="4"/>
        <v>23080</v>
      </c>
      <c r="I17" s="154">
        <f t="shared" si="5"/>
        <v>138480</v>
      </c>
    </row>
    <row r="18" spans="1:9" s="11" customFormat="1" x14ac:dyDescent="0.25">
      <c r="A18" s="197">
        <v>1.2</v>
      </c>
      <c r="B18" s="2" t="s">
        <v>523</v>
      </c>
      <c r="C18" s="46"/>
      <c r="D18" s="66"/>
      <c r="E18" s="155"/>
      <c r="F18" s="156"/>
      <c r="G18" s="157"/>
      <c r="H18" s="158"/>
      <c r="I18" s="159"/>
    </row>
    <row r="19" spans="1:9" s="11" customFormat="1" ht="42" customHeight="1" x14ac:dyDescent="0.25">
      <c r="A19" s="198"/>
      <c r="B19" s="3" t="s">
        <v>524</v>
      </c>
      <c r="C19" s="46"/>
      <c r="D19" s="66"/>
      <c r="E19" s="155"/>
      <c r="F19" s="156"/>
      <c r="G19" s="157"/>
      <c r="H19" s="158"/>
      <c r="I19" s="159"/>
    </row>
    <row r="20" spans="1:9" s="11" customFormat="1" x14ac:dyDescent="0.25">
      <c r="A20" s="45" t="s">
        <v>525</v>
      </c>
      <c r="B20" s="3" t="s">
        <v>526</v>
      </c>
      <c r="C20" s="46" t="s">
        <v>64</v>
      </c>
      <c r="D20" s="4">
        <v>3</v>
      </c>
      <c r="E20" s="150">
        <v>202410</v>
      </c>
      <c r="F20" s="156">
        <f t="shared" ref="F20:F24" si="9">D20*E20</f>
        <v>607230</v>
      </c>
      <c r="G20" s="152">
        <v>40480</v>
      </c>
      <c r="H20" s="158">
        <f t="shared" ref="H20:H24" si="10">G20*D20</f>
        <v>121440</v>
      </c>
      <c r="I20" s="159">
        <f t="shared" ref="I20:I24" si="11">F20+H20</f>
        <v>728670</v>
      </c>
    </row>
    <row r="21" spans="1:9" s="11" customFormat="1" x14ac:dyDescent="0.25">
      <c r="A21" s="45" t="s">
        <v>527</v>
      </c>
      <c r="B21" s="3" t="s">
        <v>747</v>
      </c>
      <c r="C21" s="46"/>
      <c r="D21" s="4"/>
      <c r="E21" s="155"/>
      <c r="F21" s="156"/>
      <c r="G21" s="157"/>
      <c r="H21" s="158"/>
      <c r="I21" s="159"/>
    </row>
    <row r="22" spans="1:9" s="11" customFormat="1" x14ac:dyDescent="0.25">
      <c r="A22" s="45" t="s">
        <v>529</v>
      </c>
      <c r="B22" s="3" t="s">
        <v>528</v>
      </c>
      <c r="C22" s="46" t="s">
        <v>64</v>
      </c>
      <c r="D22" s="4">
        <v>3</v>
      </c>
      <c r="E22" s="150">
        <v>202410</v>
      </c>
      <c r="F22" s="156">
        <f t="shared" si="9"/>
        <v>607230</v>
      </c>
      <c r="G22" s="152">
        <v>40480</v>
      </c>
      <c r="H22" s="158">
        <f t="shared" si="10"/>
        <v>121440</v>
      </c>
      <c r="I22" s="159">
        <f t="shared" si="11"/>
        <v>728670</v>
      </c>
    </row>
    <row r="23" spans="1:9" s="11" customFormat="1" x14ac:dyDescent="0.25">
      <c r="A23" s="45" t="s">
        <v>531</v>
      </c>
      <c r="B23" s="3" t="s">
        <v>530</v>
      </c>
      <c r="C23" s="46" t="s">
        <v>29</v>
      </c>
      <c r="D23" s="4">
        <v>2</v>
      </c>
      <c r="E23" s="150">
        <v>202410</v>
      </c>
      <c r="F23" s="156">
        <f t="shared" si="9"/>
        <v>404820</v>
      </c>
      <c r="G23" s="152">
        <v>40480</v>
      </c>
      <c r="H23" s="158">
        <f t="shared" si="10"/>
        <v>80960</v>
      </c>
      <c r="I23" s="159">
        <f t="shared" si="11"/>
        <v>485780</v>
      </c>
    </row>
    <row r="24" spans="1:9" s="11" customFormat="1" ht="46" customHeight="1" x14ac:dyDescent="0.25">
      <c r="A24" s="45" t="s">
        <v>531</v>
      </c>
      <c r="B24" s="3" t="s">
        <v>532</v>
      </c>
      <c r="C24" s="46" t="s">
        <v>64</v>
      </c>
      <c r="D24" s="4">
        <v>1</v>
      </c>
      <c r="E24" s="150">
        <v>57700</v>
      </c>
      <c r="F24" s="156">
        <f t="shared" si="9"/>
        <v>57700</v>
      </c>
      <c r="G24" s="152">
        <v>6920</v>
      </c>
      <c r="H24" s="158">
        <f t="shared" si="10"/>
        <v>6920</v>
      </c>
      <c r="I24" s="159">
        <f t="shared" si="11"/>
        <v>64620</v>
      </c>
    </row>
    <row r="25" spans="1:9" x14ac:dyDescent="0.25">
      <c r="A25" s="193">
        <v>1.3</v>
      </c>
      <c r="B25" s="2" t="s">
        <v>41</v>
      </c>
      <c r="C25" s="39"/>
      <c r="D25" s="4"/>
      <c r="E25" s="150"/>
      <c r="F25" s="151"/>
      <c r="G25" s="152"/>
      <c r="H25" s="153"/>
      <c r="I25" s="154"/>
    </row>
    <row r="26" spans="1:9" ht="25" customHeight="1" x14ac:dyDescent="0.25">
      <c r="A26" s="194"/>
      <c r="B26" s="3" t="s">
        <v>268</v>
      </c>
      <c r="C26" s="39" t="s">
        <v>2</v>
      </c>
      <c r="D26" s="4">
        <v>1</v>
      </c>
      <c r="E26" s="150">
        <v>233910</v>
      </c>
      <c r="F26" s="151">
        <f t="shared" ref="F26" si="12">D26*E26</f>
        <v>233910</v>
      </c>
      <c r="G26" s="152">
        <v>46780</v>
      </c>
      <c r="H26" s="153">
        <f>G26*D26</f>
        <v>46780</v>
      </c>
      <c r="I26" s="154">
        <f>F26+H26</f>
        <v>280690</v>
      </c>
    </row>
    <row r="27" spans="1:9" x14ac:dyDescent="0.25">
      <c r="A27" s="193">
        <v>1.4</v>
      </c>
      <c r="B27" s="2" t="s">
        <v>54</v>
      </c>
      <c r="C27" s="39"/>
      <c r="D27" s="4"/>
      <c r="E27" s="150"/>
      <c r="F27" s="151"/>
      <c r="G27" s="152"/>
      <c r="H27" s="153"/>
      <c r="I27" s="154"/>
    </row>
    <row r="28" spans="1:9" ht="126" x14ac:dyDescent="0.25">
      <c r="A28" s="194"/>
      <c r="B28" s="3" t="s">
        <v>593</v>
      </c>
      <c r="C28" s="39"/>
      <c r="D28" s="4"/>
      <c r="E28" s="150"/>
      <c r="F28" s="151"/>
      <c r="G28" s="152"/>
      <c r="H28" s="153"/>
      <c r="I28" s="154"/>
    </row>
    <row r="29" spans="1:9" x14ac:dyDescent="0.25">
      <c r="A29" s="128" t="s">
        <v>533</v>
      </c>
      <c r="B29" s="3" t="s">
        <v>594</v>
      </c>
      <c r="C29" s="39" t="s">
        <v>64</v>
      </c>
      <c r="D29" s="4">
        <v>3</v>
      </c>
      <c r="E29" s="150">
        <v>210450</v>
      </c>
      <c r="F29" s="151">
        <f t="shared" ref="F29" si="13">D29*E29</f>
        <v>631350</v>
      </c>
      <c r="G29" s="152">
        <v>42090</v>
      </c>
      <c r="H29" s="153">
        <f t="shared" ref="H29" si="14">G29*D29</f>
        <v>126270</v>
      </c>
      <c r="I29" s="154">
        <f t="shared" ref="I29" si="15">F29+H29</f>
        <v>757620</v>
      </c>
    </row>
    <row r="30" spans="1:9" x14ac:dyDescent="0.25">
      <c r="A30" s="128" t="s">
        <v>534</v>
      </c>
      <c r="B30" s="3" t="s">
        <v>73</v>
      </c>
      <c r="C30" s="39" t="s">
        <v>64</v>
      </c>
      <c r="D30" s="4">
        <v>24</v>
      </c>
      <c r="E30" s="150">
        <v>210450</v>
      </c>
      <c r="F30" s="151">
        <f t="shared" ref="F30:F33" si="16">D30*E30</f>
        <v>5050800</v>
      </c>
      <c r="G30" s="152">
        <v>42090</v>
      </c>
      <c r="H30" s="153">
        <f t="shared" ref="H30:H33" si="17">G30*D30</f>
        <v>1010160</v>
      </c>
      <c r="I30" s="154">
        <f t="shared" ref="I30:I33" si="18">F30+H30</f>
        <v>6060960</v>
      </c>
    </row>
    <row r="31" spans="1:9" x14ac:dyDescent="0.25">
      <c r="A31" s="128" t="s">
        <v>535</v>
      </c>
      <c r="B31" s="3" t="s">
        <v>75</v>
      </c>
      <c r="C31" s="39" t="s">
        <v>64</v>
      </c>
      <c r="D31" s="4">
        <v>2</v>
      </c>
      <c r="E31" s="150">
        <v>210450</v>
      </c>
      <c r="F31" s="151">
        <f t="shared" si="16"/>
        <v>420900</v>
      </c>
      <c r="G31" s="152">
        <v>42090</v>
      </c>
      <c r="H31" s="153">
        <f t="shared" si="17"/>
        <v>84180</v>
      </c>
      <c r="I31" s="154">
        <f t="shared" si="18"/>
        <v>505080</v>
      </c>
    </row>
    <row r="32" spans="1:9" x14ac:dyDescent="0.25">
      <c r="A32" s="128" t="s">
        <v>536</v>
      </c>
      <c r="B32" s="3" t="s">
        <v>74</v>
      </c>
      <c r="C32" s="39" t="s">
        <v>64</v>
      </c>
      <c r="D32" s="4">
        <v>3</v>
      </c>
      <c r="E32" s="150">
        <v>210450</v>
      </c>
      <c r="F32" s="151">
        <f t="shared" si="16"/>
        <v>631350</v>
      </c>
      <c r="G32" s="152">
        <v>42090</v>
      </c>
      <c r="H32" s="153">
        <f t="shared" si="17"/>
        <v>126270</v>
      </c>
      <c r="I32" s="154">
        <f t="shared" si="18"/>
        <v>757620</v>
      </c>
    </row>
    <row r="33" spans="1:9" x14ac:dyDescent="0.25">
      <c r="A33" s="128" t="s">
        <v>537</v>
      </c>
      <c r="B33" s="3" t="s">
        <v>595</v>
      </c>
      <c r="C33" s="46" t="s">
        <v>29</v>
      </c>
      <c r="D33" s="4">
        <v>3</v>
      </c>
      <c r="E33" s="150">
        <v>210450</v>
      </c>
      <c r="F33" s="151">
        <f t="shared" si="16"/>
        <v>631350</v>
      </c>
      <c r="G33" s="152">
        <v>42090</v>
      </c>
      <c r="H33" s="153">
        <f t="shared" si="17"/>
        <v>126270</v>
      </c>
      <c r="I33" s="154">
        <f t="shared" si="18"/>
        <v>757620</v>
      </c>
    </row>
    <row r="34" spans="1:9" x14ac:dyDescent="0.25">
      <c r="A34" s="128" t="s">
        <v>538</v>
      </c>
      <c r="B34" s="3" t="s">
        <v>76</v>
      </c>
      <c r="C34" s="46" t="s">
        <v>29</v>
      </c>
      <c r="D34" s="4">
        <v>2</v>
      </c>
      <c r="E34" s="150">
        <v>201220</v>
      </c>
      <c r="F34" s="151">
        <f t="shared" ref="F34" si="19">D34*E34</f>
        <v>402440</v>
      </c>
      <c r="G34" s="152">
        <v>24150</v>
      </c>
      <c r="H34" s="153">
        <f>G34*D34</f>
        <v>48300</v>
      </c>
      <c r="I34" s="154">
        <f>F34+H34</f>
        <v>450740</v>
      </c>
    </row>
    <row r="35" spans="1:9" ht="27.15" customHeight="1" x14ac:dyDescent="0.25">
      <c r="A35" s="193">
        <v>1.5</v>
      </c>
      <c r="B35" s="2" t="s">
        <v>55</v>
      </c>
      <c r="C35" s="39"/>
      <c r="D35" s="4"/>
      <c r="E35" s="150"/>
      <c r="F35" s="151"/>
      <c r="G35" s="152"/>
      <c r="H35" s="153"/>
      <c r="I35" s="154"/>
    </row>
    <row r="36" spans="1:9" ht="72" x14ac:dyDescent="0.25">
      <c r="A36" s="194"/>
      <c r="B36" s="3" t="s">
        <v>290</v>
      </c>
      <c r="C36" s="39" t="s">
        <v>4</v>
      </c>
      <c r="D36" s="4">
        <v>3</v>
      </c>
      <c r="E36" s="150">
        <v>1585530</v>
      </c>
      <c r="F36" s="151">
        <f t="shared" ref="F36" si="20">D36*E36</f>
        <v>4756590</v>
      </c>
      <c r="G36" s="152">
        <v>317110</v>
      </c>
      <c r="H36" s="153">
        <f>G36*D36</f>
        <v>951330</v>
      </c>
      <c r="I36" s="154">
        <f>F36+H36</f>
        <v>5707920</v>
      </c>
    </row>
    <row r="37" spans="1:9" ht="54" x14ac:dyDescent="0.25">
      <c r="A37" s="128" t="s">
        <v>598</v>
      </c>
      <c r="B37" s="3" t="s">
        <v>596</v>
      </c>
      <c r="C37" s="39" t="s">
        <v>4</v>
      </c>
      <c r="D37" s="4">
        <v>3</v>
      </c>
      <c r="E37" s="150">
        <v>81840</v>
      </c>
      <c r="F37" s="151">
        <f t="shared" ref="F37" si="21">D37*E37</f>
        <v>245520</v>
      </c>
      <c r="G37" s="152">
        <v>16370</v>
      </c>
      <c r="H37" s="153">
        <f t="shared" ref="H37" si="22">G37*D37</f>
        <v>49110</v>
      </c>
      <c r="I37" s="154">
        <f t="shared" ref="I37" si="23">F37+H37</f>
        <v>294630</v>
      </c>
    </row>
    <row r="38" spans="1:9" ht="36" x14ac:dyDescent="0.25">
      <c r="A38" s="128" t="s">
        <v>599</v>
      </c>
      <c r="B38" s="3" t="s">
        <v>597</v>
      </c>
      <c r="C38" s="39" t="s">
        <v>4</v>
      </c>
      <c r="D38" s="4">
        <v>1</v>
      </c>
      <c r="E38" s="150" t="s">
        <v>754</v>
      </c>
      <c r="F38" s="151" t="s">
        <v>754</v>
      </c>
      <c r="G38" s="152" t="s">
        <v>754</v>
      </c>
      <c r="H38" s="153" t="s">
        <v>754</v>
      </c>
      <c r="I38" s="154" t="s">
        <v>754</v>
      </c>
    </row>
    <row r="39" spans="1:9" x14ac:dyDescent="0.25">
      <c r="A39" s="193">
        <v>1.6</v>
      </c>
      <c r="B39" s="2" t="s">
        <v>266</v>
      </c>
      <c r="C39" s="40"/>
      <c r="D39" s="40"/>
      <c r="E39" s="150"/>
      <c r="F39" s="154"/>
      <c r="G39" s="152"/>
      <c r="H39" s="153"/>
      <c r="I39" s="154"/>
    </row>
    <row r="40" spans="1:9" ht="78.5" customHeight="1" x14ac:dyDescent="0.25">
      <c r="A40" s="194"/>
      <c r="B40" s="3" t="s">
        <v>267</v>
      </c>
      <c r="C40" s="39" t="s">
        <v>4</v>
      </c>
      <c r="D40" s="4">
        <v>2</v>
      </c>
      <c r="E40" s="150">
        <v>113090</v>
      </c>
      <c r="F40" s="151">
        <f t="shared" ref="F40" si="24">D40*E40</f>
        <v>226180</v>
      </c>
      <c r="G40" s="152">
        <v>13570</v>
      </c>
      <c r="H40" s="153">
        <f>D40*G40</f>
        <v>27140</v>
      </c>
      <c r="I40" s="154">
        <f>F40+H40</f>
        <v>253320</v>
      </c>
    </row>
    <row r="41" spans="1:9" x14ac:dyDescent="0.25">
      <c r="A41" s="193">
        <v>1.7</v>
      </c>
      <c r="B41" s="2" t="s">
        <v>51</v>
      </c>
      <c r="C41" s="91"/>
      <c r="D41" s="91"/>
      <c r="E41" s="150"/>
      <c r="F41" s="151"/>
      <c r="G41" s="152"/>
      <c r="H41" s="151"/>
      <c r="I41" s="154"/>
    </row>
    <row r="42" spans="1:9" ht="72" x14ac:dyDescent="0.25">
      <c r="A42" s="194"/>
      <c r="B42" s="3" t="s">
        <v>269</v>
      </c>
      <c r="C42" s="41" t="s">
        <v>4</v>
      </c>
      <c r="D42" s="7">
        <v>1</v>
      </c>
      <c r="E42" s="150">
        <v>647290</v>
      </c>
      <c r="F42" s="151">
        <f t="shared" ref="F42" si="25">D42*E42</f>
        <v>647290</v>
      </c>
      <c r="G42" s="152">
        <v>77670</v>
      </c>
      <c r="H42" s="153">
        <f>D42*G42</f>
        <v>77670</v>
      </c>
      <c r="I42" s="154">
        <f>F42+H42</f>
        <v>724960</v>
      </c>
    </row>
    <row r="43" spans="1:9" x14ac:dyDescent="0.25">
      <c r="A43" s="193">
        <v>1.8</v>
      </c>
      <c r="B43" s="2" t="s">
        <v>56</v>
      </c>
      <c r="C43" s="41"/>
      <c r="D43" s="7"/>
      <c r="E43" s="150"/>
      <c r="F43" s="151"/>
      <c r="G43" s="152"/>
      <c r="H43" s="153"/>
      <c r="I43" s="154"/>
    </row>
    <row r="44" spans="1:9" ht="75" customHeight="1" x14ac:dyDescent="0.25">
      <c r="A44" s="194"/>
      <c r="B44" s="3" t="s">
        <v>270</v>
      </c>
      <c r="C44" s="41" t="s">
        <v>2</v>
      </c>
      <c r="D44" s="7">
        <v>1</v>
      </c>
      <c r="E44" s="150">
        <v>1713620</v>
      </c>
      <c r="F44" s="151">
        <f t="shared" ref="F44" si="26">D44*E44</f>
        <v>1713620</v>
      </c>
      <c r="G44" s="152">
        <v>205630</v>
      </c>
      <c r="H44" s="153">
        <f>D44*G44</f>
        <v>205630</v>
      </c>
      <c r="I44" s="154">
        <f>F44+H44</f>
        <v>1919250</v>
      </c>
    </row>
    <row r="45" spans="1:9" ht="21" customHeight="1" x14ac:dyDescent="0.25">
      <c r="A45" s="219">
        <v>1.9</v>
      </c>
      <c r="B45" s="127" t="s">
        <v>57</v>
      </c>
      <c r="C45" s="9"/>
      <c r="D45" s="7"/>
      <c r="E45" s="150"/>
      <c r="F45" s="151"/>
      <c r="G45" s="152"/>
      <c r="H45" s="153"/>
      <c r="I45" s="154"/>
    </row>
    <row r="46" spans="1:9" ht="96.5" customHeight="1" x14ac:dyDescent="0.25">
      <c r="A46" s="220"/>
      <c r="B46" s="3" t="s">
        <v>273</v>
      </c>
      <c r="C46" s="41"/>
      <c r="D46" s="7"/>
      <c r="E46" s="150"/>
      <c r="F46" s="151"/>
      <c r="G46" s="152"/>
      <c r="H46" s="153"/>
      <c r="I46" s="154"/>
    </row>
    <row r="47" spans="1:9" x14ac:dyDescent="0.25">
      <c r="A47" s="220"/>
      <c r="B47" s="3" t="s">
        <v>27</v>
      </c>
      <c r="C47" s="41" t="s">
        <v>2</v>
      </c>
      <c r="D47" s="7">
        <v>1</v>
      </c>
      <c r="E47" s="150">
        <v>1125040</v>
      </c>
      <c r="F47" s="151">
        <f t="shared" ref="F47" si="27">D47*E47</f>
        <v>1125040</v>
      </c>
      <c r="G47" s="152">
        <v>135000</v>
      </c>
      <c r="H47" s="153">
        <f>D47*G47</f>
        <v>135000</v>
      </c>
      <c r="I47" s="154">
        <f>F47+H47</f>
        <v>1260040</v>
      </c>
    </row>
    <row r="48" spans="1:9" x14ac:dyDescent="0.25">
      <c r="A48" s="220"/>
      <c r="B48" s="3" t="s">
        <v>612</v>
      </c>
      <c r="C48" s="41" t="s">
        <v>2</v>
      </c>
      <c r="D48" s="7">
        <v>1</v>
      </c>
      <c r="E48" s="150" t="s">
        <v>754</v>
      </c>
      <c r="F48" s="151" t="s">
        <v>754</v>
      </c>
      <c r="G48" s="152" t="s">
        <v>754</v>
      </c>
      <c r="H48" s="153" t="s">
        <v>754</v>
      </c>
      <c r="I48" s="154" t="s">
        <v>754</v>
      </c>
    </row>
    <row r="49" spans="1:9" x14ac:dyDescent="0.25">
      <c r="A49" s="221"/>
      <c r="B49" s="3" t="s">
        <v>28</v>
      </c>
      <c r="C49" s="41" t="s">
        <v>2</v>
      </c>
      <c r="D49" s="7">
        <v>1</v>
      </c>
      <c r="E49" s="150" t="s">
        <v>754</v>
      </c>
      <c r="F49" s="151" t="s">
        <v>754</v>
      </c>
      <c r="G49" s="152" t="s">
        <v>754</v>
      </c>
      <c r="H49" s="153" t="s">
        <v>754</v>
      </c>
      <c r="I49" s="154" t="s">
        <v>754</v>
      </c>
    </row>
    <row r="50" spans="1:9" s="11" customFormat="1" x14ac:dyDescent="0.25">
      <c r="A50" s="222">
        <v>1.1000000000000001</v>
      </c>
      <c r="B50" s="2" t="s">
        <v>42</v>
      </c>
      <c r="C50" s="46"/>
      <c r="D50" s="66"/>
      <c r="E50" s="155"/>
      <c r="F50" s="156"/>
      <c r="G50" s="157"/>
      <c r="H50" s="158"/>
      <c r="I50" s="159"/>
    </row>
    <row r="51" spans="1:9" s="11" customFormat="1" ht="36" x14ac:dyDescent="0.25">
      <c r="A51" s="223"/>
      <c r="B51" s="3" t="s">
        <v>274</v>
      </c>
      <c r="C51" s="46" t="s">
        <v>4</v>
      </c>
      <c r="D51" s="66">
        <v>1</v>
      </c>
      <c r="E51" s="150">
        <v>121640</v>
      </c>
      <c r="F51" s="156">
        <f t="shared" ref="F51" si="28">D51*E51</f>
        <v>121640</v>
      </c>
      <c r="G51" s="152">
        <v>14600</v>
      </c>
      <c r="H51" s="158">
        <f>G51*D51</f>
        <v>14600</v>
      </c>
      <c r="I51" s="159">
        <f>F51+H51</f>
        <v>136240</v>
      </c>
    </row>
    <row r="52" spans="1:9" x14ac:dyDescent="0.25">
      <c r="A52" s="128">
        <v>1.1100000000000001</v>
      </c>
      <c r="B52" s="2" t="s">
        <v>62</v>
      </c>
      <c r="C52" s="2"/>
      <c r="D52" s="2"/>
      <c r="E52" s="160"/>
      <c r="F52" s="161"/>
      <c r="G52" s="152"/>
      <c r="H52" s="153"/>
      <c r="I52" s="154"/>
    </row>
    <row r="53" spans="1:9" ht="33" customHeight="1" x14ac:dyDescent="0.25">
      <c r="A53" s="128" t="s">
        <v>58</v>
      </c>
      <c r="B53" s="2" t="s">
        <v>63</v>
      </c>
      <c r="C53" s="41"/>
      <c r="D53" s="7"/>
      <c r="E53" s="150"/>
      <c r="F53" s="151"/>
      <c r="G53" s="152"/>
      <c r="H53" s="153"/>
      <c r="I53" s="154"/>
    </row>
    <row r="54" spans="1:9" ht="54" x14ac:dyDescent="0.25">
      <c r="A54" s="128" t="s">
        <v>59</v>
      </c>
      <c r="B54" s="3" t="s">
        <v>278</v>
      </c>
      <c r="C54" s="41" t="s">
        <v>2</v>
      </c>
      <c r="D54" s="13">
        <v>1</v>
      </c>
      <c r="E54" s="150">
        <v>105410</v>
      </c>
      <c r="F54" s="151">
        <f t="shared" ref="F54" si="29">D54*E54</f>
        <v>105410</v>
      </c>
      <c r="G54" s="152">
        <v>12650</v>
      </c>
      <c r="H54" s="153">
        <f t="shared" ref="H54" si="30">D54*G54</f>
        <v>12650</v>
      </c>
      <c r="I54" s="154">
        <f t="shared" ref="I54" si="31">F54+H54</f>
        <v>118060</v>
      </c>
    </row>
    <row r="55" spans="1:9" ht="53" customHeight="1" x14ac:dyDescent="0.25">
      <c r="A55" s="128" t="s">
        <v>60</v>
      </c>
      <c r="B55" s="3" t="s">
        <v>703</v>
      </c>
      <c r="C55" s="41" t="s">
        <v>2</v>
      </c>
      <c r="D55" s="13">
        <v>1</v>
      </c>
      <c r="E55" s="151" t="s">
        <v>699</v>
      </c>
      <c r="F55" s="151"/>
      <c r="G55" s="152">
        <v>5770</v>
      </c>
      <c r="H55" s="153">
        <f t="shared" ref="H55" si="32">D55*G55</f>
        <v>5770</v>
      </c>
      <c r="I55" s="154">
        <f t="shared" ref="I55" si="33">F55+H55</f>
        <v>5770</v>
      </c>
    </row>
    <row r="56" spans="1:9" ht="54.75" customHeight="1" x14ac:dyDescent="0.25">
      <c r="A56" s="128" t="s">
        <v>61</v>
      </c>
      <c r="B56" s="3" t="s">
        <v>279</v>
      </c>
      <c r="C56" s="41" t="s">
        <v>2</v>
      </c>
      <c r="D56" s="13">
        <v>1</v>
      </c>
      <c r="E56" s="150">
        <v>5190</v>
      </c>
      <c r="F56" s="151">
        <f t="shared" ref="F56" si="34">D56*E56</f>
        <v>5190</v>
      </c>
      <c r="G56" s="152">
        <v>1380</v>
      </c>
      <c r="H56" s="153">
        <f t="shared" ref="H56" si="35">D56*G56</f>
        <v>1380</v>
      </c>
      <c r="I56" s="154">
        <f t="shared" ref="I56" si="36">F56+H56</f>
        <v>6570</v>
      </c>
    </row>
    <row r="57" spans="1:9" ht="33" customHeight="1" x14ac:dyDescent="0.25">
      <c r="A57" s="128" t="s">
        <v>65</v>
      </c>
      <c r="B57" s="2" t="s">
        <v>67</v>
      </c>
      <c r="C57" s="41"/>
      <c r="D57" s="7"/>
      <c r="E57" s="23"/>
      <c r="F57" s="91"/>
      <c r="G57" s="22"/>
      <c r="H57" s="50"/>
      <c r="I57" s="40"/>
    </row>
    <row r="58" spans="1:9" ht="72" x14ac:dyDescent="0.25">
      <c r="A58" s="128" t="s">
        <v>66</v>
      </c>
      <c r="B58" s="3" t="s">
        <v>280</v>
      </c>
      <c r="C58" s="41" t="s">
        <v>2</v>
      </c>
      <c r="D58" s="13">
        <v>1</v>
      </c>
      <c r="E58" s="150">
        <v>246140</v>
      </c>
      <c r="F58" s="151">
        <f t="shared" ref="F58" si="37">D58*E58</f>
        <v>246140</v>
      </c>
      <c r="G58" s="152">
        <v>29540</v>
      </c>
      <c r="H58" s="153">
        <f t="shared" ref="H58" si="38">D58*G58</f>
        <v>29540</v>
      </c>
      <c r="I58" s="154">
        <f t="shared" ref="I58" si="39">F58+H58</f>
        <v>275680</v>
      </c>
    </row>
    <row r="59" spans="1:9" ht="36" x14ac:dyDescent="0.25">
      <c r="A59" s="128" t="s">
        <v>68</v>
      </c>
      <c r="B59" s="3" t="s">
        <v>704</v>
      </c>
      <c r="C59" s="41" t="s">
        <v>2</v>
      </c>
      <c r="D59" s="13">
        <v>1</v>
      </c>
      <c r="E59" s="151" t="s">
        <v>702</v>
      </c>
      <c r="F59" s="151"/>
      <c r="G59" s="152">
        <v>17310</v>
      </c>
      <c r="H59" s="153">
        <f t="shared" ref="H59" si="40">D59*G59</f>
        <v>17310</v>
      </c>
      <c r="I59" s="154">
        <f t="shared" ref="I59" si="41">F59+H59</f>
        <v>17310</v>
      </c>
    </row>
    <row r="60" spans="1:9" ht="54" x14ac:dyDescent="0.25">
      <c r="A60" s="128" t="s">
        <v>69</v>
      </c>
      <c r="B60" s="3" t="s">
        <v>614</v>
      </c>
      <c r="C60" s="41" t="s">
        <v>2</v>
      </c>
      <c r="D60" s="13">
        <v>1</v>
      </c>
      <c r="E60" s="150">
        <v>27690</v>
      </c>
      <c r="F60" s="151">
        <f t="shared" ref="F60" si="42">D60*E60</f>
        <v>27690</v>
      </c>
      <c r="G60" s="152">
        <v>3320</v>
      </c>
      <c r="H60" s="153">
        <f t="shared" ref="H60" si="43">D60*G60</f>
        <v>3320</v>
      </c>
      <c r="I60" s="154">
        <f t="shared" ref="I60" si="44">F60+H60</f>
        <v>31010</v>
      </c>
    </row>
    <row r="61" spans="1:9" ht="36" x14ac:dyDescent="0.25">
      <c r="A61" s="128" t="s">
        <v>70</v>
      </c>
      <c r="B61" s="3" t="s">
        <v>705</v>
      </c>
      <c r="C61" s="41" t="s">
        <v>2</v>
      </c>
      <c r="D61" s="13">
        <v>1</v>
      </c>
      <c r="E61" s="151" t="s">
        <v>702</v>
      </c>
      <c r="F61" s="151"/>
      <c r="G61" s="152">
        <v>3460</v>
      </c>
      <c r="H61" s="153">
        <f t="shared" ref="H61" si="45">D61*G61</f>
        <v>3460</v>
      </c>
      <c r="I61" s="154">
        <f t="shared" ref="I61" si="46">F61+H61</f>
        <v>3460</v>
      </c>
    </row>
    <row r="62" spans="1:9" ht="54" x14ac:dyDescent="0.25">
      <c r="A62" s="128" t="s">
        <v>77</v>
      </c>
      <c r="B62" s="3" t="s">
        <v>281</v>
      </c>
      <c r="C62" s="41" t="s">
        <v>2</v>
      </c>
      <c r="D62" s="13">
        <v>1</v>
      </c>
      <c r="E62" s="150">
        <v>125460</v>
      </c>
      <c r="F62" s="151">
        <f t="shared" ref="F62" si="47">D62*E62</f>
        <v>125460</v>
      </c>
      <c r="G62" s="152">
        <v>15050</v>
      </c>
      <c r="H62" s="153">
        <f t="shared" ref="H62" si="48">D62*G62</f>
        <v>15050</v>
      </c>
      <c r="I62" s="154">
        <f t="shared" ref="I62" si="49">F62+H62</f>
        <v>140510</v>
      </c>
    </row>
    <row r="63" spans="1:9" ht="44" customHeight="1" x14ac:dyDescent="0.25">
      <c r="A63" s="128" t="s">
        <v>613</v>
      </c>
      <c r="B63" s="3" t="s">
        <v>722</v>
      </c>
      <c r="C63" s="41" t="s">
        <v>2</v>
      </c>
      <c r="D63" s="13">
        <v>1</v>
      </c>
      <c r="E63" s="151" t="s">
        <v>702</v>
      </c>
      <c r="F63" s="151"/>
      <c r="G63" s="152">
        <v>17310</v>
      </c>
      <c r="H63" s="153">
        <f t="shared" ref="H63" si="50">D63*G63</f>
        <v>17310</v>
      </c>
      <c r="I63" s="154">
        <f t="shared" ref="I63" si="51">F63+H63</f>
        <v>17310</v>
      </c>
    </row>
    <row r="64" spans="1:9" ht="31.5" customHeight="1" x14ac:dyDescent="0.25">
      <c r="A64" s="128" t="s">
        <v>78</v>
      </c>
      <c r="B64" s="2" t="s">
        <v>5</v>
      </c>
      <c r="C64" s="41"/>
      <c r="D64" s="7"/>
      <c r="E64" s="150"/>
      <c r="F64" s="151"/>
      <c r="G64" s="152"/>
      <c r="H64" s="153"/>
      <c r="I64" s="154"/>
    </row>
    <row r="65" spans="1:9" ht="54" x14ac:dyDescent="0.25">
      <c r="A65" s="128" t="s">
        <v>79</v>
      </c>
      <c r="B65" s="3" t="s">
        <v>539</v>
      </c>
      <c r="C65" s="41" t="s">
        <v>2</v>
      </c>
      <c r="D65" s="13">
        <v>1</v>
      </c>
      <c r="E65" s="150">
        <v>1119330</v>
      </c>
      <c r="F65" s="151">
        <f>D65*E65</f>
        <v>1119330</v>
      </c>
      <c r="G65" s="152">
        <v>134320</v>
      </c>
      <c r="H65" s="153">
        <f>D65*G65</f>
        <v>134320</v>
      </c>
      <c r="I65" s="154">
        <f>F65+H65</f>
        <v>1253650</v>
      </c>
    </row>
    <row r="66" spans="1:9" ht="54" x14ac:dyDescent="0.25">
      <c r="A66" s="128" t="s">
        <v>80</v>
      </c>
      <c r="B66" s="3" t="s">
        <v>540</v>
      </c>
      <c r="C66" s="41" t="s">
        <v>2</v>
      </c>
      <c r="D66" s="13">
        <v>1</v>
      </c>
      <c r="E66" s="150" t="s">
        <v>754</v>
      </c>
      <c r="F66" s="151" t="s">
        <v>754</v>
      </c>
      <c r="G66" s="152" t="s">
        <v>754</v>
      </c>
      <c r="H66" s="153" t="s">
        <v>754</v>
      </c>
      <c r="I66" s="154" t="s">
        <v>754</v>
      </c>
    </row>
    <row r="67" spans="1:9" ht="30" customHeight="1" x14ac:dyDescent="0.25">
      <c r="A67" s="193">
        <v>1.1200000000000001</v>
      </c>
      <c r="B67" s="2" t="s">
        <v>81</v>
      </c>
      <c r="C67" s="9"/>
      <c r="D67" s="9"/>
      <c r="E67" s="160"/>
      <c r="F67" s="161"/>
      <c r="G67" s="152"/>
      <c r="H67" s="153"/>
      <c r="I67" s="154"/>
    </row>
    <row r="68" spans="1:9" ht="49.5" customHeight="1" x14ac:dyDescent="0.25">
      <c r="A68" s="194"/>
      <c r="B68" s="3" t="s">
        <v>282</v>
      </c>
      <c r="C68" s="41" t="s">
        <v>2</v>
      </c>
      <c r="D68" s="13">
        <v>1</v>
      </c>
      <c r="E68" s="150">
        <v>576980</v>
      </c>
      <c r="F68" s="151">
        <f t="shared" ref="F68" si="52">D68*E68</f>
        <v>576980</v>
      </c>
      <c r="G68" s="152">
        <v>69240</v>
      </c>
      <c r="H68" s="153">
        <f>D68*G68</f>
        <v>69240</v>
      </c>
      <c r="I68" s="154">
        <f>F68+H68</f>
        <v>646220</v>
      </c>
    </row>
    <row r="69" spans="1:9" x14ac:dyDescent="0.25">
      <c r="A69" s="222">
        <v>1.1299999999999999</v>
      </c>
      <c r="B69" s="2" t="s">
        <v>52</v>
      </c>
      <c r="C69" s="41"/>
      <c r="D69" s="7"/>
      <c r="E69" s="150"/>
      <c r="F69" s="151"/>
      <c r="G69" s="152"/>
      <c r="H69" s="153"/>
      <c r="I69" s="154"/>
    </row>
    <row r="70" spans="1:9" ht="105" customHeight="1" x14ac:dyDescent="0.25">
      <c r="A70" s="223"/>
      <c r="B70" s="3" t="s">
        <v>541</v>
      </c>
      <c r="C70" s="41" t="s">
        <v>2</v>
      </c>
      <c r="D70" s="13">
        <v>1</v>
      </c>
      <c r="E70" s="150">
        <v>138700</v>
      </c>
      <c r="F70" s="151">
        <f t="shared" ref="F70" si="53">D70*E70</f>
        <v>138700</v>
      </c>
      <c r="G70" s="152">
        <v>16640</v>
      </c>
      <c r="H70" s="153">
        <f t="shared" ref="H70" si="54">D70*G70</f>
        <v>16640</v>
      </c>
      <c r="I70" s="154">
        <f t="shared" ref="I70" si="55">F70+H70</f>
        <v>155340</v>
      </c>
    </row>
    <row r="71" spans="1:9" ht="35.25" customHeight="1" x14ac:dyDescent="0.25">
      <c r="A71" s="128">
        <v>1.1399999999999999</v>
      </c>
      <c r="B71" s="128" t="s">
        <v>616</v>
      </c>
      <c r="C71" s="128"/>
      <c r="D71" s="128"/>
      <c r="E71" s="162"/>
      <c r="F71" s="163"/>
      <c r="G71" s="162"/>
      <c r="H71" s="163"/>
      <c r="I71" s="163"/>
    </row>
    <row r="72" spans="1:9" x14ac:dyDescent="0.25">
      <c r="A72" s="225" t="s">
        <v>82</v>
      </c>
      <c r="B72" s="2" t="s">
        <v>25</v>
      </c>
      <c r="C72" s="40"/>
      <c r="D72" s="40"/>
      <c r="E72" s="150"/>
      <c r="F72" s="151"/>
      <c r="G72" s="152"/>
      <c r="H72" s="153"/>
      <c r="I72" s="154"/>
    </row>
    <row r="73" spans="1:9" ht="72" x14ac:dyDescent="0.25">
      <c r="A73" s="225"/>
      <c r="B73" s="3" t="s">
        <v>748</v>
      </c>
      <c r="C73" s="39" t="s">
        <v>2</v>
      </c>
      <c r="D73" s="7">
        <v>1</v>
      </c>
      <c r="E73" s="150">
        <v>889760</v>
      </c>
      <c r="F73" s="151">
        <f t="shared" ref="F73" si="56">D73*E73</f>
        <v>889760</v>
      </c>
      <c r="G73" s="152">
        <v>116780</v>
      </c>
      <c r="H73" s="153">
        <f>D73*G73</f>
        <v>116780</v>
      </c>
      <c r="I73" s="154">
        <f>F73+H73</f>
        <v>1006540</v>
      </c>
    </row>
    <row r="74" spans="1:9" ht="36" x14ac:dyDescent="0.25">
      <c r="A74" s="128" t="s">
        <v>83</v>
      </c>
      <c r="B74" s="3" t="s">
        <v>275</v>
      </c>
      <c r="C74" s="39" t="s">
        <v>2</v>
      </c>
      <c r="D74" s="7">
        <v>1</v>
      </c>
      <c r="E74" s="150" t="s">
        <v>754</v>
      </c>
      <c r="F74" s="151" t="s">
        <v>754</v>
      </c>
      <c r="G74" s="152" t="s">
        <v>754</v>
      </c>
      <c r="H74" s="153" t="s">
        <v>754</v>
      </c>
      <c r="I74" s="154" t="s">
        <v>754</v>
      </c>
    </row>
    <row r="75" spans="1:9" ht="36" x14ac:dyDescent="0.25">
      <c r="A75" s="128" t="s">
        <v>84</v>
      </c>
      <c r="B75" s="3" t="s">
        <v>276</v>
      </c>
      <c r="C75" s="39" t="s">
        <v>2</v>
      </c>
      <c r="D75" s="7">
        <v>1</v>
      </c>
      <c r="E75" s="150">
        <v>18390</v>
      </c>
      <c r="F75" s="151">
        <f t="shared" ref="F75" si="57">D75*E75</f>
        <v>18390</v>
      </c>
      <c r="G75" s="152">
        <v>2210</v>
      </c>
      <c r="H75" s="153">
        <f t="shared" ref="H75" si="58">D75*G75</f>
        <v>2210</v>
      </c>
      <c r="I75" s="154">
        <f t="shared" ref="I75" si="59">F75+H75</f>
        <v>20600</v>
      </c>
    </row>
    <row r="76" spans="1:9" s="11" customFormat="1" x14ac:dyDescent="0.25">
      <c r="A76" s="121" t="s">
        <v>85</v>
      </c>
      <c r="B76" s="2" t="s">
        <v>26</v>
      </c>
      <c r="C76" s="46"/>
      <c r="D76" s="13"/>
      <c r="E76" s="155"/>
      <c r="F76" s="156"/>
      <c r="G76" s="157"/>
      <c r="H76" s="158"/>
      <c r="I76" s="159"/>
    </row>
    <row r="77" spans="1:9" s="11" customFormat="1" x14ac:dyDescent="0.25">
      <c r="A77" s="145" t="s">
        <v>160</v>
      </c>
      <c r="B77" s="3" t="s">
        <v>747</v>
      </c>
      <c r="C77" s="46"/>
      <c r="D77" s="13"/>
      <c r="E77" s="164"/>
      <c r="F77" s="156"/>
      <c r="G77" s="157"/>
      <c r="H77" s="158"/>
      <c r="I77" s="159"/>
    </row>
    <row r="78" spans="1:9" s="11" customFormat="1" x14ac:dyDescent="0.25">
      <c r="A78" s="197" t="s">
        <v>690</v>
      </c>
      <c r="B78" s="2" t="s">
        <v>591</v>
      </c>
      <c r="C78" s="46"/>
      <c r="D78" s="13"/>
      <c r="E78" s="155"/>
      <c r="F78" s="156"/>
      <c r="G78" s="157"/>
      <c r="H78" s="158"/>
      <c r="I78" s="159"/>
    </row>
    <row r="79" spans="1:9" s="11" customFormat="1" ht="80.25" customHeight="1" x14ac:dyDescent="0.25">
      <c r="A79" s="198"/>
      <c r="B79" s="3" t="s">
        <v>600</v>
      </c>
      <c r="C79" s="39" t="s">
        <v>2</v>
      </c>
      <c r="D79" s="7">
        <v>1</v>
      </c>
      <c r="E79" s="150">
        <v>605820</v>
      </c>
      <c r="F79" s="151">
        <f t="shared" ref="F79" si="60">D79*E79</f>
        <v>605820</v>
      </c>
      <c r="G79" s="152">
        <v>72700</v>
      </c>
      <c r="H79" s="153">
        <f t="shared" ref="H79" si="61">D79*G79</f>
        <v>72700</v>
      </c>
      <c r="I79" s="154">
        <f t="shared" ref="I79" si="62">F79+H79</f>
        <v>678520</v>
      </c>
    </row>
    <row r="80" spans="1:9" x14ac:dyDescent="0.25">
      <c r="A80" s="128">
        <v>1.1499999999999999</v>
      </c>
      <c r="B80" s="45" t="s">
        <v>615</v>
      </c>
      <c r="C80" s="128"/>
      <c r="D80" s="128"/>
      <c r="E80" s="162"/>
      <c r="F80" s="163"/>
      <c r="G80" s="162"/>
      <c r="H80" s="163"/>
      <c r="I80" s="163"/>
    </row>
    <row r="81" spans="1:9" ht="36" x14ac:dyDescent="0.25">
      <c r="A81" s="45" t="s">
        <v>86</v>
      </c>
      <c r="B81" s="3" t="s">
        <v>610</v>
      </c>
      <c r="C81" s="39" t="s">
        <v>2</v>
      </c>
      <c r="D81" s="7">
        <v>1</v>
      </c>
      <c r="E81" s="150">
        <v>0</v>
      </c>
      <c r="F81" s="151">
        <f t="shared" ref="F81:F82" si="63">D81*E81</f>
        <v>0</v>
      </c>
      <c r="G81" s="152">
        <v>57700</v>
      </c>
      <c r="H81" s="153">
        <f t="shared" ref="H81:H82" si="64">D81*G81</f>
        <v>57700</v>
      </c>
      <c r="I81" s="154">
        <f t="shared" ref="I81:I82" si="65">F81+H81</f>
        <v>57700</v>
      </c>
    </row>
    <row r="82" spans="1:9" ht="36" x14ac:dyDescent="0.25">
      <c r="A82" s="45" t="s">
        <v>87</v>
      </c>
      <c r="B82" s="3" t="s">
        <v>611</v>
      </c>
      <c r="C82" s="39" t="s">
        <v>2</v>
      </c>
      <c r="D82" s="7">
        <v>1</v>
      </c>
      <c r="E82" s="150">
        <v>0</v>
      </c>
      <c r="F82" s="151">
        <f t="shared" si="63"/>
        <v>0</v>
      </c>
      <c r="G82" s="152">
        <v>928650</v>
      </c>
      <c r="H82" s="153">
        <f t="shared" si="64"/>
        <v>928650</v>
      </c>
      <c r="I82" s="154">
        <f t="shared" si="65"/>
        <v>928650</v>
      </c>
    </row>
    <row r="83" spans="1:9" x14ac:dyDescent="0.25">
      <c r="A83" s="197">
        <v>1.1599999999999999</v>
      </c>
      <c r="B83" s="45" t="s">
        <v>292</v>
      </c>
      <c r="C83" s="46"/>
      <c r="D83" s="13"/>
      <c r="E83" s="155"/>
      <c r="F83" s="156"/>
      <c r="G83" s="157"/>
      <c r="H83" s="153"/>
      <c r="I83" s="159"/>
    </row>
    <row r="84" spans="1:9" ht="86.25" customHeight="1" x14ac:dyDescent="0.25">
      <c r="A84" s="198"/>
      <c r="B84" s="3" t="s">
        <v>605</v>
      </c>
      <c r="C84" s="46" t="s">
        <v>2</v>
      </c>
      <c r="D84" s="13">
        <v>1</v>
      </c>
      <c r="E84" s="150">
        <v>0</v>
      </c>
      <c r="F84" s="156">
        <f t="shared" ref="F84" si="66">D84*E84</f>
        <v>0</v>
      </c>
      <c r="G84" s="152">
        <v>1799830</v>
      </c>
      <c r="H84" s="153">
        <f t="shared" ref="H84" si="67">D84*G84</f>
        <v>1799830</v>
      </c>
      <c r="I84" s="159">
        <f t="shared" ref="I84" si="68">F84+H84</f>
        <v>1799830</v>
      </c>
    </row>
    <row r="85" spans="1:9" ht="21" customHeight="1" x14ac:dyDescent="0.25">
      <c r="A85" s="45">
        <v>1.17</v>
      </c>
      <c r="B85" s="45" t="s">
        <v>293</v>
      </c>
      <c r="C85" s="46"/>
      <c r="D85" s="13"/>
      <c r="E85" s="155"/>
      <c r="F85" s="156"/>
      <c r="G85" s="157"/>
      <c r="H85" s="153"/>
      <c r="I85" s="159"/>
    </row>
    <row r="86" spans="1:9" ht="36" x14ac:dyDescent="0.25">
      <c r="A86" s="45" t="s">
        <v>294</v>
      </c>
      <c r="B86" s="3" t="s">
        <v>295</v>
      </c>
      <c r="C86" s="46" t="s">
        <v>2</v>
      </c>
      <c r="D86" s="13">
        <v>1</v>
      </c>
      <c r="E86" s="150">
        <v>0</v>
      </c>
      <c r="F86" s="156">
        <f t="shared" ref="F86" si="69">D86*E86</f>
        <v>0</v>
      </c>
      <c r="G86" s="152">
        <v>115400</v>
      </c>
      <c r="H86" s="153">
        <f t="shared" ref="H86" si="70">D86*G86</f>
        <v>115400</v>
      </c>
      <c r="I86" s="159">
        <f t="shared" ref="I86" si="71">F86+H86</f>
        <v>115400</v>
      </c>
    </row>
    <row r="87" spans="1:9" ht="37.65" customHeight="1" x14ac:dyDescent="0.25">
      <c r="A87" s="195" t="s">
        <v>88</v>
      </c>
      <c r="B87" s="196"/>
      <c r="C87" s="43"/>
      <c r="D87" s="43"/>
      <c r="E87" s="165"/>
      <c r="F87" s="166">
        <f>SUM(F13:F86)</f>
        <v>26073870</v>
      </c>
      <c r="G87" s="165"/>
      <c r="H87" s="166">
        <f>SUM(H13:H86)</f>
        <v>7518770</v>
      </c>
      <c r="I87" s="166">
        <f>SUM(I13:I86)</f>
        <v>33592640</v>
      </c>
    </row>
    <row r="88" spans="1:9" ht="25" x14ac:dyDescent="0.25">
      <c r="A88" s="64">
        <v>2</v>
      </c>
      <c r="B88" s="65" t="s">
        <v>727</v>
      </c>
      <c r="C88" s="37"/>
      <c r="D88" s="38"/>
      <c r="E88" s="24"/>
      <c r="F88" s="38"/>
      <c r="G88" s="20"/>
      <c r="H88" s="51"/>
      <c r="I88" s="44"/>
    </row>
    <row r="89" spans="1:9" ht="54.5" customHeight="1" x14ac:dyDescent="0.25">
      <c r="A89" s="3"/>
      <c r="B89" s="3" t="s">
        <v>728</v>
      </c>
      <c r="C89" s="3"/>
      <c r="D89" s="3"/>
      <c r="E89" s="134"/>
      <c r="F89" s="3"/>
      <c r="G89" s="134"/>
      <c r="H89" s="3"/>
      <c r="I89" s="3"/>
    </row>
    <row r="90" spans="1:9" x14ac:dyDescent="0.25">
      <c r="A90" s="197">
        <v>2.1</v>
      </c>
      <c r="B90" s="73" t="s">
        <v>94</v>
      </c>
      <c r="C90" s="46"/>
      <c r="D90" s="13"/>
      <c r="E90" s="10"/>
      <c r="F90" s="49"/>
      <c r="G90" s="17"/>
      <c r="H90" s="50"/>
      <c r="I90" s="52"/>
    </row>
    <row r="91" spans="1:9" ht="44" customHeight="1" x14ac:dyDescent="0.25">
      <c r="A91" s="198"/>
      <c r="B91" s="8" t="s">
        <v>277</v>
      </c>
      <c r="C91" s="46"/>
      <c r="D91" s="13"/>
      <c r="E91" s="10"/>
      <c r="F91" s="49"/>
      <c r="G91" s="17"/>
      <c r="H91" s="50"/>
      <c r="I91" s="52"/>
    </row>
    <row r="92" spans="1:9" x14ac:dyDescent="0.25">
      <c r="A92" s="45" t="s">
        <v>32</v>
      </c>
      <c r="B92" s="8" t="s">
        <v>104</v>
      </c>
      <c r="C92" s="46" t="s">
        <v>2</v>
      </c>
      <c r="D92" s="13">
        <v>1</v>
      </c>
      <c r="E92" s="150">
        <v>2302130</v>
      </c>
      <c r="F92" s="156">
        <f t="shared" ref="F92" si="72">D92*E92</f>
        <v>2302130</v>
      </c>
      <c r="G92" s="152">
        <v>397240</v>
      </c>
      <c r="H92" s="153">
        <f t="shared" ref="H92" si="73">D92*G92</f>
        <v>397240</v>
      </c>
      <c r="I92" s="159">
        <f t="shared" ref="I92" si="74">F92+H92</f>
        <v>2699370</v>
      </c>
    </row>
    <row r="93" spans="1:9" x14ac:dyDescent="0.25">
      <c r="A93" s="45" t="s">
        <v>34</v>
      </c>
      <c r="B93" s="8" t="s">
        <v>95</v>
      </c>
      <c r="C93" s="46" t="s">
        <v>2</v>
      </c>
      <c r="D93" s="13">
        <v>1</v>
      </c>
      <c r="E93" s="150" t="s">
        <v>754</v>
      </c>
      <c r="F93" s="151" t="s">
        <v>754</v>
      </c>
      <c r="G93" s="152" t="s">
        <v>754</v>
      </c>
      <c r="H93" s="153" t="s">
        <v>754</v>
      </c>
      <c r="I93" s="154" t="s">
        <v>754</v>
      </c>
    </row>
    <row r="94" spans="1:9" x14ac:dyDescent="0.25">
      <c r="A94" s="45" t="s">
        <v>100</v>
      </c>
      <c r="B94" s="8" t="s">
        <v>96</v>
      </c>
      <c r="C94" s="46" t="s">
        <v>2</v>
      </c>
      <c r="D94" s="13">
        <v>1</v>
      </c>
      <c r="E94" s="150" t="s">
        <v>754</v>
      </c>
      <c r="F94" s="151" t="s">
        <v>754</v>
      </c>
      <c r="G94" s="152" t="s">
        <v>754</v>
      </c>
      <c r="H94" s="153" t="s">
        <v>754</v>
      </c>
      <c r="I94" s="154" t="s">
        <v>754</v>
      </c>
    </row>
    <row r="95" spans="1:9" x14ac:dyDescent="0.25">
      <c r="A95" s="45" t="s">
        <v>101</v>
      </c>
      <c r="B95" s="8" t="s">
        <v>97</v>
      </c>
      <c r="C95" s="46" t="s">
        <v>2</v>
      </c>
      <c r="D95" s="13">
        <v>1</v>
      </c>
      <c r="E95" s="150" t="s">
        <v>754</v>
      </c>
      <c r="F95" s="151" t="s">
        <v>754</v>
      </c>
      <c r="G95" s="152" t="s">
        <v>754</v>
      </c>
      <c r="H95" s="153" t="s">
        <v>754</v>
      </c>
      <c r="I95" s="154" t="s">
        <v>754</v>
      </c>
    </row>
    <row r="96" spans="1:9" x14ac:dyDescent="0.25">
      <c r="A96" s="45" t="s">
        <v>102</v>
      </c>
      <c r="B96" s="8" t="s">
        <v>98</v>
      </c>
      <c r="C96" s="46" t="s">
        <v>2</v>
      </c>
      <c r="D96" s="13">
        <v>1</v>
      </c>
      <c r="E96" s="150" t="s">
        <v>754</v>
      </c>
      <c r="F96" s="151" t="s">
        <v>754</v>
      </c>
      <c r="G96" s="152" t="s">
        <v>754</v>
      </c>
      <c r="H96" s="153" t="s">
        <v>754</v>
      </c>
      <c r="I96" s="154" t="s">
        <v>754</v>
      </c>
    </row>
    <row r="97" spans="1:9" x14ac:dyDescent="0.25">
      <c r="A97" s="45" t="s">
        <v>103</v>
      </c>
      <c r="B97" s="8" t="s">
        <v>99</v>
      </c>
      <c r="C97" s="46" t="s">
        <v>2</v>
      </c>
      <c r="D97" s="13">
        <v>1</v>
      </c>
      <c r="E97" s="150" t="s">
        <v>754</v>
      </c>
      <c r="F97" s="151" t="s">
        <v>754</v>
      </c>
      <c r="G97" s="152" t="s">
        <v>754</v>
      </c>
      <c r="H97" s="153" t="s">
        <v>754</v>
      </c>
      <c r="I97" s="154" t="s">
        <v>754</v>
      </c>
    </row>
    <row r="98" spans="1:9" x14ac:dyDescent="0.25">
      <c r="A98" s="193">
        <v>2.2000000000000002</v>
      </c>
      <c r="B98" s="73" t="s">
        <v>105</v>
      </c>
      <c r="C98" s="16"/>
      <c r="D98" s="19"/>
      <c r="E98" s="155"/>
      <c r="F98" s="156"/>
      <c r="G98" s="155"/>
      <c r="H98" s="153"/>
      <c r="I98" s="159"/>
    </row>
    <row r="99" spans="1:9" ht="54" x14ac:dyDescent="0.25">
      <c r="A99" s="194"/>
      <c r="B99" s="8" t="s">
        <v>729</v>
      </c>
      <c r="C99" s="16"/>
      <c r="D99" s="19"/>
      <c r="E99" s="155"/>
      <c r="F99" s="156"/>
      <c r="G99" s="155"/>
      <c r="H99" s="153"/>
      <c r="I99" s="159"/>
    </row>
    <row r="100" spans="1:9" ht="36" x14ac:dyDescent="0.25">
      <c r="A100" s="45" t="s">
        <v>33</v>
      </c>
      <c r="B100" s="8" t="s">
        <v>621</v>
      </c>
      <c r="C100" s="16" t="s">
        <v>2</v>
      </c>
      <c r="D100" s="13">
        <v>1</v>
      </c>
      <c r="E100" s="150">
        <v>3556470</v>
      </c>
      <c r="F100" s="156">
        <f t="shared" ref="F100" si="75">D100*E100</f>
        <v>3556470</v>
      </c>
      <c r="G100" s="152">
        <v>640170</v>
      </c>
      <c r="H100" s="158">
        <f t="shared" ref="H100" si="76">D100*G100</f>
        <v>640170</v>
      </c>
      <c r="I100" s="159">
        <f t="shared" ref="I100" si="77">F100+H100</f>
        <v>4196640</v>
      </c>
    </row>
    <row r="101" spans="1:9" ht="36" x14ac:dyDescent="0.25">
      <c r="A101" s="45" t="s">
        <v>35</v>
      </c>
      <c r="B101" s="8" t="s">
        <v>622</v>
      </c>
      <c r="C101" s="16" t="s">
        <v>2</v>
      </c>
      <c r="D101" s="13">
        <v>1</v>
      </c>
      <c r="E101" s="150" t="s">
        <v>754</v>
      </c>
      <c r="F101" s="151" t="s">
        <v>754</v>
      </c>
      <c r="G101" s="152" t="s">
        <v>754</v>
      </c>
      <c r="H101" s="153" t="s">
        <v>754</v>
      </c>
      <c r="I101" s="154" t="s">
        <v>754</v>
      </c>
    </row>
    <row r="102" spans="1:9" ht="36" x14ac:dyDescent="0.25">
      <c r="A102" s="45" t="s">
        <v>36</v>
      </c>
      <c r="B102" s="8" t="s">
        <v>698</v>
      </c>
      <c r="C102" s="16" t="s">
        <v>2</v>
      </c>
      <c r="D102" s="13">
        <v>1</v>
      </c>
      <c r="E102" s="150" t="s">
        <v>754</v>
      </c>
      <c r="F102" s="151" t="s">
        <v>754</v>
      </c>
      <c r="G102" s="152" t="s">
        <v>754</v>
      </c>
      <c r="H102" s="153" t="s">
        <v>754</v>
      </c>
      <c r="I102" s="154" t="s">
        <v>754</v>
      </c>
    </row>
    <row r="103" spans="1:9" ht="36" x14ac:dyDescent="0.25">
      <c r="A103" s="45" t="s">
        <v>37</v>
      </c>
      <c r="B103" s="8" t="s">
        <v>106</v>
      </c>
      <c r="C103" s="16" t="s">
        <v>2</v>
      </c>
      <c r="D103" s="13">
        <v>1</v>
      </c>
      <c r="E103" s="150" t="s">
        <v>754</v>
      </c>
      <c r="F103" s="151" t="s">
        <v>754</v>
      </c>
      <c r="G103" s="152" t="s">
        <v>754</v>
      </c>
      <c r="H103" s="153" t="s">
        <v>754</v>
      </c>
      <c r="I103" s="154" t="s">
        <v>754</v>
      </c>
    </row>
    <row r="104" spans="1:9" x14ac:dyDescent="0.25">
      <c r="A104" s="45" t="s">
        <v>38</v>
      </c>
      <c r="B104" s="8" t="s">
        <v>107</v>
      </c>
      <c r="C104" s="16" t="s">
        <v>2</v>
      </c>
      <c r="D104" s="13">
        <v>1</v>
      </c>
      <c r="E104" s="150" t="s">
        <v>754</v>
      </c>
      <c r="F104" s="151" t="s">
        <v>754</v>
      </c>
      <c r="G104" s="152" t="s">
        <v>754</v>
      </c>
      <c r="H104" s="153" t="s">
        <v>754</v>
      </c>
      <c r="I104" s="154" t="s">
        <v>754</v>
      </c>
    </row>
    <row r="105" spans="1:9" x14ac:dyDescent="0.25">
      <c r="A105" s="45" t="s">
        <v>39</v>
      </c>
      <c r="B105" s="8" t="s">
        <v>623</v>
      </c>
      <c r="C105" s="16" t="s">
        <v>2</v>
      </c>
      <c r="D105" s="13">
        <v>1</v>
      </c>
      <c r="E105" s="150" t="s">
        <v>754</v>
      </c>
      <c r="F105" s="151" t="s">
        <v>754</v>
      </c>
      <c r="G105" s="152" t="s">
        <v>754</v>
      </c>
      <c r="H105" s="153" t="s">
        <v>754</v>
      </c>
      <c r="I105" s="154" t="s">
        <v>754</v>
      </c>
    </row>
    <row r="106" spans="1:9" x14ac:dyDescent="0.25">
      <c r="A106" s="45" t="s">
        <v>40</v>
      </c>
      <c r="B106" s="8" t="s">
        <v>624</v>
      </c>
      <c r="C106" s="16" t="s">
        <v>2</v>
      </c>
      <c r="D106" s="13">
        <v>1</v>
      </c>
      <c r="E106" s="150" t="s">
        <v>754</v>
      </c>
      <c r="F106" s="151" t="s">
        <v>754</v>
      </c>
      <c r="G106" s="152" t="s">
        <v>754</v>
      </c>
      <c r="H106" s="153" t="s">
        <v>754</v>
      </c>
      <c r="I106" s="154" t="s">
        <v>754</v>
      </c>
    </row>
    <row r="107" spans="1:9" x14ac:dyDescent="0.25">
      <c r="A107" s="45" t="s">
        <v>617</v>
      </c>
      <c r="B107" s="8" t="s">
        <v>108</v>
      </c>
      <c r="C107" s="16" t="s">
        <v>2</v>
      </c>
      <c r="D107" s="13">
        <v>1</v>
      </c>
      <c r="E107" s="150" t="s">
        <v>754</v>
      </c>
      <c r="F107" s="151" t="s">
        <v>754</v>
      </c>
      <c r="G107" s="152" t="s">
        <v>754</v>
      </c>
      <c r="H107" s="153" t="s">
        <v>754</v>
      </c>
      <c r="I107" s="154" t="s">
        <v>754</v>
      </c>
    </row>
    <row r="108" spans="1:9" ht="36" x14ac:dyDescent="0.25">
      <c r="A108" s="45" t="s">
        <v>618</v>
      </c>
      <c r="B108" s="8" t="s">
        <v>601</v>
      </c>
      <c r="C108" s="16" t="s">
        <v>2</v>
      </c>
      <c r="D108" s="13">
        <v>1</v>
      </c>
      <c r="E108" s="150" t="s">
        <v>754</v>
      </c>
      <c r="F108" s="151" t="s">
        <v>754</v>
      </c>
      <c r="G108" s="152" t="s">
        <v>754</v>
      </c>
      <c r="H108" s="153" t="s">
        <v>754</v>
      </c>
      <c r="I108" s="154" t="s">
        <v>754</v>
      </c>
    </row>
    <row r="109" spans="1:9" ht="36" x14ac:dyDescent="0.25">
      <c r="A109" s="45" t="s">
        <v>619</v>
      </c>
      <c r="B109" s="8" t="s">
        <v>707</v>
      </c>
      <c r="C109" s="16" t="s">
        <v>2</v>
      </c>
      <c r="D109" s="13">
        <v>1</v>
      </c>
      <c r="E109" s="150" t="s">
        <v>754</v>
      </c>
      <c r="F109" s="151" t="s">
        <v>754</v>
      </c>
      <c r="G109" s="152" t="s">
        <v>754</v>
      </c>
      <c r="H109" s="153" t="s">
        <v>754</v>
      </c>
      <c r="I109" s="154" t="s">
        <v>754</v>
      </c>
    </row>
    <row r="110" spans="1:9" ht="36" x14ac:dyDescent="0.25">
      <c r="A110" s="45" t="s">
        <v>620</v>
      </c>
      <c r="B110" s="8" t="s">
        <v>625</v>
      </c>
      <c r="C110" s="16" t="s">
        <v>2</v>
      </c>
      <c r="D110" s="13">
        <v>1</v>
      </c>
      <c r="E110" s="150" t="s">
        <v>754</v>
      </c>
      <c r="F110" s="151" t="s">
        <v>754</v>
      </c>
      <c r="G110" s="152" t="s">
        <v>754</v>
      </c>
      <c r="H110" s="153" t="s">
        <v>754</v>
      </c>
      <c r="I110" s="154" t="s">
        <v>754</v>
      </c>
    </row>
    <row r="111" spans="1:9" x14ac:dyDescent="0.25">
      <c r="A111" s="193">
        <v>2.2999999999999998</v>
      </c>
      <c r="B111" s="73" t="s">
        <v>730</v>
      </c>
      <c r="C111" s="16"/>
      <c r="D111" s="13"/>
      <c r="E111" s="155"/>
      <c r="F111" s="156"/>
      <c r="G111" s="155"/>
      <c r="H111" s="158"/>
      <c r="I111" s="159"/>
    </row>
    <row r="112" spans="1:9" ht="62" customHeight="1" x14ac:dyDescent="0.25">
      <c r="A112" s="194"/>
      <c r="B112" s="8" t="s">
        <v>731</v>
      </c>
      <c r="C112" s="16"/>
      <c r="D112" s="13"/>
      <c r="E112" s="155"/>
      <c r="F112" s="156"/>
      <c r="G112" s="155"/>
      <c r="H112" s="158"/>
      <c r="I112" s="159"/>
    </row>
    <row r="113" spans="1:9" x14ac:dyDescent="0.25">
      <c r="A113" s="125" t="s">
        <v>602</v>
      </c>
      <c r="B113" s="8" t="s">
        <v>608</v>
      </c>
      <c r="C113" s="16" t="s">
        <v>64</v>
      </c>
      <c r="D113" s="13">
        <v>6</v>
      </c>
      <c r="E113" s="150" t="s">
        <v>754</v>
      </c>
      <c r="F113" s="151" t="s">
        <v>754</v>
      </c>
      <c r="G113" s="152" t="s">
        <v>754</v>
      </c>
      <c r="H113" s="153" t="s">
        <v>754</v>
      </c>
      <c r="I113" s="154" t="s">
        <v>754</v>
      </c>
    </row>
    <row r="114" spans="1:9" x14ac:dyDescent="0.25">
      <c r="A114" s="125" t="s">
        <v>603</v>
      </c>
      <c r="B114" s="8" t="s">
        <v>609</v>
      </c>
      <c r="C114" s="16" t="s">
        <v>64</v>
      </c>
      <c r="D114" s="13">
        <v>6</v>
      </c>
      <c r="E114" s="150" t="s">
        <v>754</v>
      </c>
      <c r="F114" s="151" t="s">
        <v>754</v>
      </c>
      <c r="G114" s="152" t="s">
        <v>754</v>
      </c>
      <c r="H114" s="153" t="s">
        <v>754</v>
      </c>
      <c r="I114" s="154" t="s">
        <v>754</v>
      </c>
    </row>
    <row r="115" spans="1:9" x14ac:dyDescent="0.25">
      <c r="A115" s="125" t="s">
        <v>607</v>
      </c>
      <c r="B115" s="8" t="s">
        <v>604</v>
      </c>
      <c r="C115" s="16" t="s">
        <v>64</v>
      </c>
      <c r="D115" s="13">
        <v>1</v>
      </c>
      <c r="E115" s="150" t="s">
        <v>754</v>
      </c>
      <c r="F115" s="151" t="s">
        <v>754</v>
      </c>
      <c r="G115" s="152" t="s">
        <v>754</v>
      </c>
      <c r="H115" s="153" t="s">
        <v>754</v>
      </c>
      <c r="I115" s="154" t="s">
        <v>754</v>
      </c>
    </row>
    <row r="116" spans="1:9" ht="54" x14ac:dyDescent="0.25">
      <c r="A116" s="125" t="s">
        <v>708</v>
      </c>
      <c r="B116" s="8" t="s">
        <v>710</v>
      </c>
      <c r="C116" s="16" t="s">
        <v>2</v>
      </c>
      <c r="D116" s="13">
        <v>1</v>
      </c>
      <c r="E116" s="150" t="s">
        <v>754</v>
      </c>
      <c r="F116" s="151" t="s">
        <v>754</v>
      </c>
      <c r="G116" s="152" t="s">
        <v>754</v>
      </c>
      <c r="H116" s="153" t="s">
        <v>754</v>
      </c>
      <c r="I116" s="154" t="s">
        <v>754</v>
      </c>
    </row>
    <row r="117" spans="1:9" ht="37.65" customHeight="1" x14ac:dyDescent="0.25">
      <c r="A117" s="195" t="s">
        <v>732</v>
      </c>
      <c r="B117" s="196"/>
      <c r="C117" s="43"/>
      <c r="D117" s="43"/>
      <c r="E117" s="165"/>
      <c r="F117" s="166">
        <f>SUM(F90:F116)</f>
        <v>5858600</v>
      </c>
      <c r="G117" s="165"/>
      <c r="H117" s="166">
        <f>SUM(H90:H116)</f>
        <v>1037410</v>
      </c>
      <c r="I117" s="166">
        <f>SUM(I90:I116)</f>
        <v>6896010</v>
      </c>
    </row>
    <row r="118" spans="1:9" ht="44" customHeight="1" x14ac:dyDescent="0.25">
      <c r="A118" s="64">
        <v>3</v>
      </c>
      <c r="B118" s="65" t="s">
        <v>733</v>
      </c>
      <c r="C118" s="37"/>
      <c r="D118" s="38"/>
      <c r="E118" s="24"/>
      <c r="F118" s="38"/>
      <c r="G118" s="20"/>
      <c r="H118" s="51"/>
      <c r="I118" s="44"/>
    </row>
    <row r="119" spans="1:9" ht="85.5" customHeight="1" x14ac:dyDescent="0.25">
      <c r="A119" s="128"/>
      <c r="B119" s="3" t="s">
        <v>734</v>
      </c>
      <c r="C119" s="41"/>
      <c r="D119" s="7"/>
      <c r="E119" s="23"/>
      <c r="F119" s="91"/>
      <c r="G119" s="22"/>
      <c r="H119" s="50"/>
      <c r="I119" s="40"/>
    </row>
    <row r="120" spans="1:9" ht="26.5" customHeight="1" x14ac:dyDescent="0.25">
      <c r="A120" s="128">
        <v>3.1</v>
      </c>
      <c r="B120" s="2" t="s">
        <v>6</v>
      </c>
      <c r="C120" s="41"/>
      <c r="D120" s="7"/>
      <c r="E120" s="23"/>
      <c r="F120" s="91"/>
      <c r="G120" s="22"/>
      <c r="H120" s="50"/>
      <c r="I120" s="40"/>
    </row>
    <row r="121" spans="1:9" ht="63" customHeight="1" x14ac:dyDescent="0.25">
      <c r="A121" s="128" t="s">
        <v>89</v>
      </c>
      <c r="B121" s="3" t="s">
        <v>291</v>
      </c>
      <c r="C121" s="41" t="s">
        <v>2</v>
      </c>
      <c r="D121" s="7">
        <v>1</v>
      </c>
      <c r="E121" s="150">
        <v>0</v>
      </c>
      <c r="F121" s="151">
        <f t="shared" ref="F121:F123" si="78">D121*E121</f>
        <v>0</v>
      </c>
      <c r="G121" s="152">
        <v>1135980</v>
      </c>
      <c r="H121" s="153">
        <f t="shared" ref="H121:H123" si="79">D121*G121</f>
        <v>1135980</v>
      </c>
      <c r="I121" s="154">
        <f t="shared" ref="I121:I123" si="80">F121+H121</f>
        <v>1135980</v>
      </c>
    </row>
    <row r="122" spans="1:9" ht="36" x14ac:dyDescent="0.25">
      <c r="A122" s="128" t="s">
        <v>90</v>
      </c>
      <c r="B122" s="3" t="s">
        <v>169</v>
      </c>
      <c r="C122" s="41" t="s">
        <v>2</v>
      </c>
      <c r="D122" s="7">
        <v>1</v>
      </c>
      <c r="E122" s="150">
        <v>0</v>
      </c>
      <c r="F122" s="151">
        <f t="shared" si="78"/>
        <v>0</v>
      </c>
      <c r="G122" s="152">
        <v>171480</v>
      </c>
      <c r="H122" s="153">
        <f t="shared" si="79"/>
        <v>171480</v>
      </c>
      <c r="I122" s="154">
        <f t="shared" si="80"/>
        <v>171480</v>
      </c>
    </row>
    <row r="123" spans="1:9" ht="36" x14ac:dyDescent="0.25">
      <c r="A123" s="128" t="s">
        <v>170</v>
      </c>
      <c r="B123" s="3" t="s">
        <v>24</v>
      </c>
      <c r="C123" s="41" t="s">
        <v>2</v>
      </c>
      <c r="D123" s="7">
        <v>1</v>
      </c>
      <c r="E123" s="150">
        <v>0</v>
      </c>
      <c r="F123" s="151">
        <f t="shared" si="78"/>
        <v>0</v>
      </c>
      <c r="G123" s="152">
        <v>49390</v>
      </c>
      <c r="H123" s="153">
        <f t="shared" si="79"/>
        <v>49390</v>
      </c>
      <c r="I123" s="154">
        <f t="shared" si="80"/>
        <v>49390</v>
      </c>
    </row>
    <row r="124" spans="1:9" ht="28" customHeight="1" x14ac:dyDescent="0.25">
      <c r="A124" s="127">
        <v>3.2</v>
      </c>
      <c r="B124" s="2" t="s">
        <v>19</v>
      </c>
      <c r="C124" s="41"/>
      <c r="D124" s="7"/>
      <c r="E124" s="150"/>
      <c r="F124" s="151"/>
      <c r="G124" s="152"/>
      <c r="H124" s="153"/>
      <c r="I124" s="154"/>
    </row>
    <row r="125" spans="1:9" ht="55.65" customHeight="1" x14ac:dyDescent="0.25">
      <c r="A125" s="127" t="s">
        <v>173</v>
      </c>
      <c r="B125" s="3" t="s">
        <v>542</v>
      </c>
      <c r="C125" s="41" t="s">
        <v>2</v>
      </c>
      <c r="D125" s="7">
        <v>1</v>
      </c>
      <c r="E125" s="150">
        <v>0</v>
      </c>
      <c r="F125" s="151">
        <f t="shared" ref="F125" si="81">D125*E125</f>
        <v>0</v>
      </c>
      <c r="G125" s="152">
        <v>41080</v>
      </c>
      <c r="H125" s="153">
        <f>D125*G125</f>
        <v>41080</v>
      </c>
      <c r="I125" s="154">
        <f>F125+H125</f>
        <v>41080</v>
      </c>
    </row>
    <row r="126" spans="1:9" ht="44.5" customHeight="1" x14ac:dyDescent="0.25">
      <c r="A126" s="127" t="s">
        <v>174</v>
      </c>
      <c r="B126" s="3" t="s">
        <v>171</v>
      </c>
      <c r="C126" s="41" t="s">
        <v>2</v>
      </c>
      <c r="D126" s="7">
        <v>1</v>
      </c>
      <c r="E126" s="150">
        <v>0</v>
      </c>
      <c r="F126" s="151">
        <f t="shared" ref="F126:F127" si="82">D126*E126</f>
        <v>0</v>
      </c>
      <c r="G126" s="152">
        <v>165820</v>
      </c>
      <c r="H126" s="153">
        <f t="shared" ref="H126" si="83">D126*G126</f>
        <v>165820</v>
      </c>
      <c r="I126" s="154">
        <f t="shared" ref="I126" si="84">F126+H126</f>
        <v>165820</v>
      </c>
    </row>
    <row r="127" spans="1:9" ht="32.5" customHeight="1" x14ac:dyDescent="0.25">
      <c r="A127" s="127" t="s">
        <v>175</v>
      </c>
      <c r="B127" s="3" t="s">
        <v>172</v>
      </c>
      <c r="C127" s="41" t="s">
        <v>2</v>
      </c>
      <c r="D127" s="7">
        <v>1</v>
      </c>
      <c r="E127" s="150">
        <v>0</v>
      </c>
      <c r="F127" s="151">
        <f t="shared" si="82"/>
        <v>0</v>
      </c>
      <c r="G127" s="152" t="s">
        <v>754</v>
      </c>
      <c r="H127" s="153" t="s">
        <v>754</v>
      </c>
      <c r="I127" s="154" t="s">
        <v>754</v>
      </c>
    </row>
    <row r="128" spans="1:9" ht="28" customHeight="1" x14ac:dyDescent="0.25">
      <c r="A128" s="219">
        <v>3.3</v>
      </c>
      <c r="B128" s="2" t="s">
        <v>176</v>
      </c>
      <c r="C128" s="41"/>
      <c r="D128" s="7"/>
      <c r="E128" s="150"/>
      <c r="F128" s="151"/>
      <c r="G128" s="152"/>
      <c r="H128" s="153"/>
      <c r="I128" s="154"/>
    </row>
    <row r="129" spans="1:9" ht="151.5" customHeight="1" x14ac:dyDescent="0.25">
      <c r="A129" s="221"/>
      <c r="B129" s="3" t="s">
        <v>735</v>
      </c>
      <c r="C129" s="41" t="s">
        <v>2</v>
      </c>
      <c r="D129" s="7">
        <v>1</v>
      </c>
      <c r="E129" s="150">
        <v>0</v>
      </c>
      <c r="F129" s="151">
        <f t="shared" ref="F129" si="85">D129*E129</f>
        <v>0</v>
      </c>
      <c r="G129" s="152">
        <v>7402270</v>
      </c>
      <c r="H129" s="153">
        <f>D129*G129</f>
        <v>7402270</v>
      </c>
      <c r="I129" s="154">
        <f>F129+H129</f>
        <v>7402270</v>
      </c>
    </row>
    <row r="130" spans="1:9" ht="36" x14ac:dyDescent="0.25">
      <c r="A130" s="127" t="s">
        <v>179</v>
      </c>
      <c r="B130" s="3" t="s">
        <v>177</v>
      </c>
      <c r="C130" s="41" t="s">
        <v>2</v>
      </c>
      <c r="D130" s="7">
        <v>1</v>
      </c>
      <c r="E130" s="202" t="s">
        <v>626</v>
      </c>
      <c r="F130" s="205"/>
      <c r="G130" s="208"/>
      <c r="H130" s="211"/>
      <c r="I130" s="214"/>
    </row>
    <row r="131" spans="1:9" ht="27" customHeight="1" x14ac:dyDescent="0.25">
      <c r="A131" s="127" t="s">
        <v>180</v>
      </c>
      <c r="B131" s="3" t="s">
        <v>178</v>
      </c>
      <c r="C131" s="41" t="s">
        <v>2</v>
      </c>
      <c r="D131" s="7">
        <v>1</v>
      </c>
      <c r="E131" s="203"/>
      <c r="F131" s="206"/>
      <c r="G131" s="209"/>
      <c r="H131" s="212"/>
      <c r="I131" s="215"/>
    </row>
    <row r="132" spans="1:9" ht="36" x14ac:dyDescent="0.25">
      <c r="A132" s="127" t="s">
        <v>181</v>
      </c>
      <c r="B132" s="3" t="s">
        <v>186</v>
      </c>
      <c r="C132" s="41" t="s">
        <v>2</v>
      </c>
      <c r="D132" s="7">
        <v>1</v>
      </c>
      <c r="E132" s="203"/>
      <c r="F132" s="206"/>
      <c r="G132" s="209"/>
      <c r="H132" s="212"/>
      <c r="I132" s="215"/>
    </row>
    <row r="133" spans="1:9" ht="29" customHeight="1" x14ac:dyDescent="0.25">
      <c r="A133" s="127" t="s">
        <v>182</v>
      </c>
      <c r="B133" s="3" t="s">
        <v>183</v>
      </c>
      <c r="C133" s="41" t="s">
        <v>2</v>
      </c>
      <c r="D133" s="7">
        <v>1</v>
      </c>
      <c r="E133" s="203"/>
      <c r="F133" s="206"/>
      <c r="G133" s="209"/>
      <c r="H133" s="212"/>
      <c r="I133" s="215"/>
    </row>
    <row r="134" spans="1:9" ht="47.5" customHeight="1" x14ac:dyDescent="0.25">
      <c r="A134" s="127" t="s">
        <v>187</v>
      </c>
      <c r="B134" s="3" t="s">
        <v>627</v>
      </c>
      <c r="C134" s="41" t="s">
        <v>2</v>
      </c>
      <c r="D134" s="7">
        <v>1</v>
      </c>
      <c r="E134" s="203"/>
      <c r="F134" s="206"/>
      <c r="G134" s="209"/>
      <c r="H134" s="212"/>
      <c r="I134" s="215"/>
    </row>
    <row r="135" spans="1:9" ht="30" customHeight="1" x14ac:dyDescent="0.25">
      <c r="A135" s="127" t="s">
        <v>188</v>
      </c>
      <c r="B135" s="3" t="s">
        <v>185</v>
      </c>
      <c r="C135" s="41" t="s">
        <v>2</v>
      </c>
      <c r="D135" s="7">
        <v>1</v>
      </c>
      <c r="E135" s="203"/>
      <c r="F135" s="206"/>
      <c r="G135" s="209"/>
      <c r="H135" s="212"/>
      <c r="I135" s="215"/>
    </row>
    <row r="136" spans="1:9" ht="29" customHeight="1" x14ac:dyDescent="0.25">
      <c r="A136" s="127" t="s">
        <v>189</v>
      </c>
      <c r="B136" s="3" t="s">
        <v>554</v>
      </c>
      <c r="C136" s="41" t="s">
        <v>2</v>
      </c>
      <c r="D136" s="7">
        <v>1</v>
      </c>
      <c r="E136" s="203"/>
      <c r="F136" s="206"/>
      <c r="G136" s="209"/>
      <c r="H136" s="212"/>
      <c r="I136" s="215"/>
    </row>
    <row r="137" spans="1:9" ht="34" customHeight="1" x14ac:dyDescent="0.25">
      <c r="A137" s="127" t="s">
        <v>190</v>
      </c>
      <c r="B137" s="3" t="s">
        <v>628</v>
      </c>
      <c r="C137" s="41" t="s">
        <v>2</v>
      </c>
      <c r="D137" s="7">
        <v>1</v>
      </c>
      <c r="E137" s="204"/>
      <c r="F137" s="207"/>
      <c r="G137" s="210"/>
      <c r="H137" s="213"/>
      <c r="I137" s="216"/>
    </row>
    <row r="138" spans="1:9" ht="34.5" customHeight="1" x14ac:dyDescent="0.25">
      <c r="A138" s="127">
        <v>3.4</v>
      </c>
      <c r="B138" s="2" t="s">
        <v>544</v>
      </c>
      <c r="C138" s="41" t="s">
        <v>2</v>
      </c>
      <c r="D138" s="7">
        <v>1</v>
      </c>
      <c r="E138" s="150">
        <v>0</v>
      </c>
      <c r="F138" s="151">
        <f t="shared" ref="F138" si="86">D138*E138</f>
        <v>0</v>
      </c>
      <c r="G138" s="152">
        <v>2241190</v>
      </c>
      <c r="H138" s="153">
        <f t="shared" ref="H138" si="87">D138*G138</f>
        <v>2241190</v>
      </c>
      <c r="I138" s="154">
        <f t="shared" ref="I138" si="88">F138+H138</f>
        <v>2241190</v>
      </c>
    </row>
    <row r="139" spans="1:9" ht="36" x14ac:dyDescent="0.25">
      <c r="A139" s="127" t="s">
        <v>194</v>
      </c>
      <c r="B139" s="3" t="s">
        <v>193</v>
      </c>
      <c r="C139" s="41" t="s">
        <v>2</v>
      </c>
      <c r="D139" s="7">
        <v>1</v>
      </c>
      <c r="E139" s="205" t="s">
        <v>629</v>
      </c>
      <c r="F139" s="205"/>
      <c r="G139" s="208"/>
      <c r="H139" s="211"/>
      <c r="I139" s="214"/>
    </row>
    <row r="140" spans="1:9" ht="30" customHeight="1" x14ac:dyDescent="0.25">
      <c r="A140" s="127" t="s">
        <v>195</v>
      </c>
      <c r="B140" s="3" t="s">
        <v>191</v>
      </c>
      <c r="C140" s="41" t="s">
        <v>2</v>
      </c>
      <c r="D140" s="7">
        <v>1</v>
      </c>
      <c r="E140" s="206"/>
      <c r="F140" s="206"/>
      <c r="G140" s="209"/>
      <c r="H140" s="212"/>
      <c r="I140" s="215"/>
    </row>
    <row r="141" spans="1:9" ht="36" x14ac:dyDescent="0.25">
      <c r="A141" s="127" t="s">
        <v>196</v>
      </c>
      <c r="B141" s="3" t="s">
        <v>545</v>
      </c>
      <c r="C141" s="41" t="s">
        <v>2</v>
      </c>
      <c r="D141" s="7">
        <v>1</v>
      </c>
      <c r="E141" s="206"/>
      <c r="F141" s="206"/>
      <c r="G141" s="209"/>
      <c r="H141" s="212"/>
      <c r="I141" s="215"/>
    </row>
    <row r="142" spans="1:9" ht="34.5" customHeight="1" x14ac:dyDescent="0.25">
      <c r="A142" s="127" t="s">
        <v>197</v>
      </c>
      <c r="B142" s="3" t="s">
        <v>192</v>
      </c>
      <c r="C142" s="41" t="s">
        <v>2</v>
      </c>
      <c r="D142" s="7">
        <v>1</v>
      </c>
      <c r="E142" s="207"/>
      <c r="F142" s="207"/>
      <c r="G142" s="210"/>
      <c r="H142" s="213"/>
      <c r="I142" s="216"/>
    </row>
    <row r="143" spans="1:9" ht="34.5" customHeight="1" x14ac:dyDescent="0.25">
      <c r="A143" s="127">
        <v>3.5</v>
      </c>
      <c r="B143" s="2" t="s">
        <v>198</v>
      </c>
      <c r="C143" s="41" t="s">
        <v>2</v>
      </c>
      <c r="D143" s="7">
        <v>1</v>
      </c>
      <c r="E143" s="150">
        <v>0</v>
      </c>
      <c r="F143" s="151">
        <f t="shared" ref="F143" si="89">D143*E143</f>
        <v>0</v>
      </c>
      <c r="G143" s="152">
        <v>541340</v>
      </c>
      <c r="H143" s="153">
        <f t="shared" ref="H143" si="90">D143*G143</f>
        <v>541340</v>
      </c>
      <c r="I143" s="154">
        <f t="shared" ref="I143" si="91">F143+H143</f>
        <v>541340</v>
      </c>
    </row>
    <row r="144" spans="1:9" ht="36" x14ac:dyDescent="0.25">
      <c r="A144" s="127" t="s">
        <v>201</v>
      </c>
      <c r="B144" s="3" t="s">
        <v>199</v>
      </c>
      <c r="C144" s="41" t="s">
        <v>2</v>
      </c>
      <c r="D144" s="7">
        <v>1</v>
      </c>
      <c r="E144" s="205" t="s">
        <v>630</v>
      </c>
      <c r="F144" s="205"/>
      <c r="G144" s="208"/>
      <c r="H144" s="211"/>
      <c r="I144" s="214"/>
    </row>
    <row r="145" spans="1:9" ht="34.5" customHeight="1" x14ac:dyDescent="0.25">
      <c r="A145" s="127" t="s">
        <v>202</v>
      </c>
      <c r="B145" s="3" t="s">
        <v>191</v>
      </c>
      <c r="C145" s="41" t="s">
        <v>2</v>
      </c>
      <c r="D145" s="7">
        <v>1</v>
      </c>
      <c r="E145" s="206"/>
      <c r="F145" s="206"/>
      <c r="G145" s="209"/>
      <c r="H145" s="212"/>
      <c r="I145" s="215"/>
    </row>
    <row r="146" spans="1:9" ht="36" x14ac:dyDescent="0.25">
      <c r="A146" s="127" t="s">
        <v>203</v>
      </c>
      <c r="B146" s="3" t="s">
        <v>545</v>
      </c>
      <c r="C146" s="41" t="s">
        <v>2</v>
      </c>
      <c r="D146" s="7">
        <v>1</v>
      </c>
      <c r="E146" s="206"/>
      <c r="F146" s="206"/>
      <c r="G146" s="209"/>
      <c r="H146" s="212"/>
      <c r="I146" s="215"/>
    </row>
    <row r="147" spans="1:9" ht="34.5" customHeight="1" x14ac:dyDescent="0.25">
      <c r="A147" s="127" t="s">
        <v>204</v>
      </c>
      <c r="B147" s="3" t="s">
        <v>192</v>
      </c>
      <c r="C147" s="41" t="s">
        <v>2</v>
      </c>
      <c r="D147" s="7">
        <v>1</v>
      </c>
      <c r="E147" s="207"/>
      <c r="F147" s="207"/>
      <c r="G147" s="210"/>
      <c r="H147" s="213"/>
      <c r="I147" s="216"/>
    </row>
    <row r="148" spans="1:9" ht="34.5" customHeight="1" x14ac:dyDescent="0.25">
      <c r="A148" s="127">
        <v>3.6</v>
      </c>
      <c r="B148" s="2" t="s">
        <v>200</v>
      </c>
      <c r="C148" s="41" t="s">
        <v>2</v>
      </c>
      <c r="D148" s="7">
        <v>1</v>
      </c>
      <c r="E148" s="150">
        <v>0</v>
      </c>
      <c r="F148" s="151">
        <f t="shared" ref="F148" si="92">D148*E148</f>
        <v>0</v>
      </c>
      <c r="G148" s="152">
        <v>400010</v>
      </c>
      <c r="H148" s="153">
        <f t="shared" ref="H148" si="93">D148*G148</f>
        <v>400010</v>
      </c>
      <c r="I148" s="154">
        <f t="shared" ref="I148" si="94">F148+H148</f>
        <v>400010</v>
      </c>
    </row>
    <row r="149" spans="1:9" ht="34.5" customHeight="1" x14ac:dyDescent="0.25">
      <c r="A149" s="127" t="s">
        <v>208</v>
      </c>
      <c r="B149" s="3" t="s">
        <v>199</v>
      </c>
      <c r="C149" s="41" t="s">
        <v>2</v>
      </c>
      <c r="D149" s="7">
        <v>1</v>
      </c>
      <c r="E149" s="205" t="s">
        <v>631</v>
      </c>
      <c r="F149" s="205"/>
      <c r="G149" s="208"/>
      <c r="H149" s="211"/>
      <c r="I149" s="214"/>
    </row>
    <row r="150" spans="1:9" ht="34.5" customHeight="1" x14ac:dyDescent="0.25">
      <c r="A150" s="127" t="s">
        <v>209</v>
      </c>
      <c r="B150" s="3" t="s">
        <v>205</v>
      </c>
      <c r="C150" s="41" t="s">
        <v>2</v>
      </c>
      <c r="D150" s="7">
        <v>1</v>
      </c>
      <c r="E150" s="206"/>
      <c r="F150" s="206"/>
      <c r="G150" s="209"/>
      <c r="H150" s="212"/>
      <c r="I150" s="215"/>
    </row>
    <row r="151" spans="1:9" ht="34.5" customHeight="1" x14ac:dyDescent="0.25">
      <c r="A151" s="127" t="s">
        <v>210</v>
      </c>
      <c r="B151" s="3" t="s">
        <v>206</v>
      </c>
      <c r="C151" s="41" t="s">
        <v>2</v>
      </c>
      <c r="D151" s="7">
        <v>1</v>
      </c>
      <c r="E151" s="206"/>
      <c r="F151" s="206"/>
      <c r="G151" s="209"/>
      <c r="H151" s="212"/>
      <c r="I151" s="215"/>
    </row>
    <row r="152" spans="1:9" ht="34.5" customHeight="1" x14ac:dyDescent="0.25">
      <c r="A152" s="127" t="s">
        <v>211</v>
      </c>
      <c r="B152" s="3" t="s">
        <v>207</v>
      </c>
      <c r="C152" s="41" t="s">
        <v>2</v>
      </c>
      <c r="D152" s="7">
        <v>1</v>
      </c>
      <c r="E152" s="207"/>
      <c r="F152" s="207"/>
      <c r="G152" s="210"/>
      <c r="H152" s="213"/>
      <c r="I152" s="216"/>
    </row>
    <row r="153" spans="1:9" ht="34.5" customHeight="1" x14ac:dyDescent="0.25">
      <c r="A153" s="92">
        <v>3.7</v>
      </c>
      <c r="B153" s="2" t="s">
        <v>212</v>
      </c>
      <c r="C153" s="41" t="s">
        <v>2</v>
      </c>
      <c r="D153" s="7">
        <v>1</v>
      </c>
      <c r="E153" s="150">
        <v>0</v>
      </c>
      <c r="F153" s="151">
        <f t="shared" ref="F153" si="95">D153*E153</f>
        <v>0</v>
      </c>
      <c r="G153" s="152">
        <v>774290</v>
      </c>
      <c r="H153" s="153">
        <f t="shared" ref="H153" si="96">D153*G153</f>
        <v>774290</v>
      </c>
      <c r="I153" s="154">
        <f t="shared" ref="I153" si="97">F153+H153</f>
        <v>774290</v>
      </c>
    </row>
    <row r="154" spans="1:9" ht="47.25" customHeight="1" x14ac:dyDescent="0.25">
      <c r="A154" s="92" t="s">
        <v>216</v>
      </c>
      <c r="B154" s="3" t="s">
        <v>213</v>
      </c>
      <c r="C154" s="41" t="s">
        <v>2</v>
      </c>
      <c r="D154" s="7">
        <v>1</v>
      </c>
      <c r="E154" s="205" t="s">
        <v>632</v>
      </c>
      <c r="F154" s="205"/>
      <c r="G154" s="208"/>
      <c r="H154" s="211"/>
      <c r="I154" s="214"/>
    </row>
    <row r="155" spans="1:9" ht="47.25" customHeight="1" x14ac:dyDescent="0.25">
      <c r="A155" s="92" t="s">
        <v>217</v>
      </c>
      <c r="B155" s="3" t="s">
        <v>214</v>
      </c>
      <c r="C155" s="41" t="s">
        <v>2</v>
      </c>
      <c r="D155" s="7">
        <v>1</v>
      </c>
      <c r="E155" s="206"/>
      <c r="F155" s="206"/>
      <c r="G155" s="209"/>
      <c r="H155" s="212"/>
      <c r="I155" s="215"/>
    </row>
    <row r="156" spans="1:9" ht="36.75" customHeight="1" x14ac:dyDescent="0.25">
      <c r="A156" s="92" t="s">
        <v>218</v>
      </c>
      <c r="B156" s="3" t="s">
        <v>215</v>
      </c>
      <c r="C156" s="41" t="s">
        <v>2</v>
      </c>
      <c r="D156" s="7">
        <v>1</v>
      </c>
      <c r="E156" s="207"/>
      <c r="F156" s="207"/>
      <c r="G156" s="210"/>
      <c r="H156" s="213"/>
      <c r="I156" s="216"/>
    </row>
    <row r="157" spans="1:9" ht="34.5" customHeight="1" x14ac:dyDescent="0.25">
      <c r="A157" s="92">
        <v>3.8</v>
      </c>
      <c r="B157" s="2" t="s">
        <v>219</v>
      </c>
      <c r="C157" s="41" t="s">
        <v>2</v>
      </c>
      <c r="D157" s="7">
        <v>1</v>
      </c>
      <c r="E157" s="150">
        <v>0</v>
      </c>
      <c r="F157" s="151">
        <f t="shared" ref="F157" si="98">D157*E157</f>
        <v>0</v>
      </c>
      <c r="G157" s="152">
        <v>255210</v>
      </c>
      <c r="H157" s="153">
        <f t="shared" ref="H157" si="99">D157*G157</f>
        <v>255210</v>
      </c>
      <c r="I157" s="154">
        <f t="shared" ref="I157" si="100">F157+H157</f>
        <v>255210</v>
      </c>
    </row>
    <row r="158" spans="1:9" ht="39.75" customHeight="1" x14ac:dyDescent="0.25">
      <c r="A158" s="92" t="s">
        <v>223</v>
      </c>
      <c r="B158" s="3" t="s">
        <v>220</v>
      </c>
      <c r="C158" s="41" t="s">
        <v>2</v>
      </c>
      <c r="D158" s="7">
        <v>1</v>
      </c>
      <c r="E158" s="205" t="s">
        <v>633</v>
      </c>
      <c r="F158" s="205"/>
      <c r="G158" s="208"/>
      <c r="H158" s="211"/>
      <c r="I158" s="214"/>
    </row>
    <row r="159" spans="1:9" ht="34.5" customHeight="1" x14ac:dyDescent="0.25">
      <c r="A159" s="92" t="s">
        <v>224</v>
      </c>
      <c r="B159" s="3" t="s">
        <v>221</v>
      </c>
      <c r="C159" s="41" t="s">
        <v>2</v>
      </c>
      <c r="D159" s="7">
        <v>1</v>
      </c>
      <c r="E159" s="206"/>
      <c r="F159" s="206"/>
      <c r="G159" s="209"/>
      <c r="H159" s="212"/>
      <c r="I159" s="215"/>
    </row>
    <row r="160" spans="1:9" ht="34.5" customHeight="1" x14ac:dyDescent="0.25">
      <c r="A160" s="92" t="s">
        <v>225</v>
      </c>
      <c r="B160" s="3" t="s">
        <v>222</v>
      </c>
      <c r="C160" s="41" t="s">
        <v>2</v>
      </c>
      <c r="D160" s="7">
        <v>1</v>
      </c>
      <c r="E160" s="207"/>
      <c r="F160" s="207"/>
      <c r="G160" s="210"/>
      <c r="H160" s="213"/>
      <c r="I160" s="216"/>
    </row>
    <row r="161" spans="1:9" ht="34.5" customHeight="1" x14ac:dyDescent="0.25">
      <c r="A161" s="92">
        <v>3.9</v>
      </c>
      <c r="B161" s="2" t="s">
        <v>226</v>
      </c>
      <c r="C161" s="41" t="s">
        <v>2</v>
      </c>
      <c r="D161" s="7">
        <v>1</v>
      </c>
      <c r="E161" s="150">
        <v>0</v>
      </c>
      <c r="F161" s="151">
        <f t="shared" ref="F161" si="101">D161*E161</f>
        <v>0</v>
      </c>
      <c r="G161" s="152">
        <v>571190</v>
      </c>
      <c r="H161" s="153">
        <f t="shared" ref="H161" si="102">D161*G161</f>
        <v>571190</v>
      </c>
      <c r="I161" s="154">
        <f t="shared" ref="I161" si="103">F161+H161</f>
        <v>571190</v>
      </c>
    </row>
    <row r="162" spans="1:9" ht="48" customHeight="1" x14ac:dyDescent="0.25">
      <c r="A162" s="92" t="s">
        <v>232</v>
      </c>
      <c r="B162" s="3" t="s">
        <v>227</v>
      </c>
      <c r="C162" s="41" t="s">
        <v>2</v>
      </c>
      <c r="D162" s="7">
        <v>1</v>
      </c>
      <c r="E162" s="205" t="s">
        <v>634</v>
      </c>
      <c r="F162" s="205"/>
      <c r="G162" s="208"/>
      <c r="H162" s="211"/>
      <c r="I162" s="214"/>
    </row>
    <row r="163" spans="1:9" ht="34.5" customHeight="1" x14ac:dyDescent="0.25">
      <c r="A163" s="92" t="s">
        <v>233</v>
      </c>
      <c r="B163" s="3" t="s">
        <v>228</v>
      </c>
      <c r="C163" s="41" t="s">
        <v>2</v>
      </c>
      <c r="D163" s="7">
        <v>1</v>
      </c>
      <c r="E163" s="206"/>
      <c r="F163" s="206"/>
      <c r="G163" s="209"/>
      <c r="H163" s="212"/>
      <c r="I163" s="215"/>
    </row>
    <row r="164" spans="1:9" ht="34.5" customHeight="1" x14ac:dyDescent="0.25">
      <c r="A164" s="92" t="s">
        <v>234</v>
      </c>
      <c r="B164" s="3" t="s">
        <v>229</v>
      </c>
      <c r="C164" s="41" t="s">
        <v>2</v>
      </c>
      <c r="D164" s="7">
        <v>1</v>
      </c>
      <c r="E164" s="207"/>
      <c r="F164" s="207"/>
      <c r="G164" s="210"/>
      <c r="H164" s="213"/>
      <c r="I164" s="216"/>
    </row>
    <row r="165" spans="1:9" ht="34.5" customHeight="1" x14ac:dyDescent="0.25">
      <c r="A165" s="76">
        <v>3.1</v>
      </c>
      <c r="B165" s="2" t="s">
        <v>230</v>
      </c>
      <c r="C165" s="41"/>
      <c r="D165" s="7"/>
      <c r="E165" s="150"/>
      <c r="F165" s="151"/>
      <c r="G165" s="152"/>
      <c r="H165" s="153"/>
      <c r="I165" s="154"/>
    </row>
    <row r="166" spans="1:9" ht="54" customHeight="1" x14ac:dyDescent="0.25">
      <c r="A166" s="76" t="s">
        <v>235</v>
      </c>
      <c r="B166" s="3" t="s">
        <v>546</v>
      </c>
      <c r="C166" s="41" t="s">
        <v>3</v>
      </c>
      <c r="D166" s="7">
        <v>20</v>
      </c>
      <c r="E166" s="150">
        <v>0</v>
      </c>
      <c r="F166" s="151">
        <f t="shared" ref="F166:F168" si="104">D166*E166</f>
        <v>0</v>
      </c>
      <c r="G166" s="152">
        <v>550</v>
      </c>
      <c r="H166" s="153">
        <f t="shared" ref="H166:H168" si="105">D166*G166</f>
        <v>11000</v>
      </c>
      <c r="I166" s="154">
        <f t="shared" ref="I166:I168" si="106">F166+H166</f>
        <v>11000</v>
      </c>
    </row>
    <row r="167" spans="1:9" ht="54" customHeight="1" x14ac:dyDescent="0.25">
      <c r="A167" s="76" t="s">
        <v>236</v>
      </c>
      <c r="B167" s="3" t="s">
        <v>231</v>
      </c>
      <c r="C167" s="41" t="s">
        <v>2</v>
      </c>
      <c r="D167" s="7">
        <v>1</v>
      </c>
      <c r="E167" s="150">
        <v>0</v>
      </c>
      <c r="F167" s="151">
        <f t="shared" si="104"/>
        <v>0</v>
      </c>
      <c r="G167" s="152">
        <v>57700</v>
      </c>
      <c r="H167" s="153">
        <f t="shared" si="105"/>
        <v>57700</v>
      </c>
      <c r="I167" s="154">
        <f t="shared" si="106"/>
        <v>57700</v>
      </c>
    </row>
    <row r="168" spans="1:9" ht="34.5" customHeight="1" x14ac:dyDescent="0.25">
      <c r="A168" s="76">
        <v>3.11</v>
      </c>
      <c r="B168" s="2" t="s">
        <v>237</v>
      </c>
      <c r="C168" s="41" t="s">
        <v>2</v>
      </c>
      <c r="D168" s="7">
        <v>1</v>
      </c>
      <c r="E168" s="150">
        <v>0</v>
      </c>
      <c r="F168" s="151">
        <f t="shared" si="104"/>
        <v>0</v>
      </c>
      <c r="G168" s="152">
        <v>176550</v>
      </c>
      <c r="H168" s="153">
        <f t="shared" si="105"/>
        <v>176550</v>
      </c>
      <c r="I168" s="154">
        <f t="shared" si="106"/>
        <v>176550</v>
      </c>
    </row>
    <row r="169" spans="1:9" ht="34.5" customHeight="1" x14ac:dyDescent="0.25">
      <c r="A169" s="76" t="s">
        <v>244</v>
      </c>
      <c r="B169" s="3" t="s">
        <v>238</v>
      </c>
      <c r="C169" s="41" t="s">
        <v>2</v>
      </c>
      <c r="D169" s="7">
        <v>1</v>
      </c>
      <c r="E169" s="205" t="s">
        <v>635</v>
      </c>
      <c r="F169" s="205"/>
      <c r="G169" s="208"/>
      <c r="H169" s="211"/>
      <c r="I169" s="214"/>
    </row>
    <row r="170" spans="1:9" ht="34.5" customHeight="1" x14ac:dyDescent="0.25">
      <c r="A170" s="76" t="s">
        <v>245</v>
      </c>
      <c r="B170" s="3" t="s">
        <v>239</v>
      </c>
      <c r="C170" s="41" t="s">
        <v>2</v>
      </c>
      <c r="D170" s="7">
        <v>1</v>
      </c>
      <c r="E170" s="206"/>
      <c r="F170" s="206"/>
      <c r="G170" s="209"/>
      <c r="H170" s="212"/>
      <c r="I170" s="215"/>
    </row>
    <row r="171" spans="1:9" ht="34.5" customHeight="1" x14ac:dyDescent="0.25">
      <c r="A171" s="76" t="s">
        <v>246</v>
      </c>
      <c r="B171" s="3" t="s">
        <v>240</v>
      </c>
      <c r="C171" s="41" t="s">
        <v>2</v>
      </c>
      <c r="D171" s="7">
        <v>1</v>
      </c>
      <c r="E171" s="207"/>
      <c r="F171" s="207"/>
      <c r="G171" s="210"/>
      <c r="H171" s="213"/>
      <c r="I171" s="216"/>
    </row>
    <row r="172" spans="1:9" ht="34.5" customHeight="1" x14ac:dyDescent="0.25">
      <c r="A172" s="76" t="s">
        <v>247</v>
      </c>
      <c r="B172" s="3" t="s">
        <v>547</v>
      </c>
      <c r="C172" s="41" t="s">
        <v>2</v>
      </c>
      <c r="D172" s="7">
        <v>1</v>
      </c>
      <c r="E172" s="150">
        <v>0</v>
      </c>
      <c r="F172" s="151">
        <f t="shared" ref="F172:F173" si="107">D172*E172</f>
        <v>0</v>
      </c>
      <c r="G172" s="152">
        <v>11770</v>
      </c>
      <c r="H172" s="153">
        <f t="shared" ref="H172:H173" si="108">D172*G172</f>
        <v>11770</v>
      </c>
      <c r="I172" s="154">
        <f t="shared" ref="I172:I173" si="109">F172+H172</f>
        <v>11770</v>
      </c>
    </row>
    <row r="173" spans="1:9" ht="34.5" customHeight="1" x14ac:dyDescent="0.25">
      <c r="A173" s="76">
        <v>3.12</v>
      </c>
      <c r="B173" s="2" t="s">
        <v>241</v>
      </c>
      <c r="C173" s="41" t="s">
        <v>2</v>
      </c>
      <c r="D173" s="7">
        <v>1</v>
      </c>
      <c r="E173" s="150">
        <v>0</v>
      </c>
      <c r="F173" s="151">
        <f t="shared" si="107"/>
        <v>0</v>
      </c>
      <c r="G173" s="152">
        <v>72350</v>
      </c>
      <c r="H173" s="153">
        <f t="shared" si="108"/>
        <v>72350</v>
      </c>
      <c r="I173" s="154">
        <f t="shared" si="109"/>
        <v>72350</v>
      </c>
    </row>
    <row r="174" spans="1:9" ht="50.25" customHeight="1" x14ac:dyDescent="0.25">
      <c r="A174" s="76" t="s">
        <v>248</v>
      </c>
      <c r="B174" s="3" t="s">
        <v>242</v>
      </c>
      <c r="C174" s="41" t="s">
        <v>2</v>
      </c>
      <c r="D174" s="7">
        <v>1</v>
      </c>
      <c r="E174" s="205" t="s">
        <v>636</v>
      </c>
      <c r="F174" s="205"/>
      <c r="G174" s="208"/>
      <c r="H174" s="211"/>
      <c r="I174" s="214"/>
    </row>
    <row r="175" spans="1:9" ht="50.25" customHeight="1" x14ac:dyDescent="0.25">
      <c r="A175" s="76" t="s">
        <v>249</v>
      </c>
      <c r="B175" s="3" t="s">
        <v>243</v>
      </c>
      <c r="C175" s="41" t="s">
        <v>2</v>
      </c>
      <c r="D175" s="7">
        <v>1</v>
      </c>
      <c r="E175" s="207"/>
      <c r="F175" s="207"/>
      <c r="G175" s="210"/>
      <c r="H175" s="213"/>
      <c r="I175" s="216"/>
    </row>
    <row r="176" spans="1:9" s="11" customFormat="1" ht="42.75" customHeight="1" x14ac:dyDescent="0.25">
      <c r="A176" s="76">
        <v>3.13</v>
      </c>
      <c r="B176" s="2" t="s">
        <v>548</v>
      </c>
      <c r="C176" s="41" t="s">
        <v>2</v>
      </c>
      <c r="D176" s="7">
        <v>1</v>
      </c>
      <c r="E176" s="150">
        <v>0</v>
      </c>
      <c r="F176" s="156">
        <f t="shared" ref="F176" si="110">D176*E176</f>
        <v>0</v>
      </c>
      <c r="G176" s="152">
        <v>1464890</v>
      </c>
      <c r="H176" s="158">
        <f>D176*G176</f>
        <v>1464890</v>
      </c>
      <c r="I176" s="159">
        <f>F176+H176</f>
        <v>1464890</v>
      </c>
    </row>
    <row r="177" spans="1:9" s="11" customFormat="1" ht="44.25" customHeight="1" x14ac:dyDescent="0.25">
      <c r="A177" s="127" t="s">
        <v>256</v>
      </c>
      <c r="B177" s="3" t="s">
        <v>177</v>
      </c>
      <c r="C177" s="41" t="s">
        <v>2</v>
      </c>
      <c r="D177" s="7">
        <v>1</v>
      </c>
      <c r="E177" s="202" t="s">
        <v>637</v>
      </c>
      <c r="F177" s="202"/>
      <c r="G177" s="228"/>
      <c r="H177" s="231"/>
      <c r="I177" s="234"/>
    </row>
    <row r="178" spans="1:9" s="11" customFormat="1" ht="34.5" customHeight="1" x14ac:dyDescent="0.25">
      <c r="A178" s="127" t="s">
        <v>257</v>
      </c>
      <c r="B178" s="3" t="s">
        <v>178</v>
      </c>
      <c r="C178" s="41" t="s">
        <v>2</v>
      </c>
      <c r="D178" s="7">
        <v>1</v>
      </c>
      <c r="E178" s="203"/>
      <c r="F178" s="203"/>
      <c r="G178" s="229"/>
      <c r="H178" s="232"/>
      <c r="I178" s="235"/>
    </row>
    <row r="179" spans="1:9" s="11" customFormat="1" ht="36" x14ac:dyDescent="0.25">
      <c r="A179" s="127" t="s">
        <v>258</v>
      </c>
      <c r="B179" s="3" t="s">
        <v>186</v>
      </c>
      <c r="C179" s="41" t="s">
        <v>2</v>
      </c>
      <c r="D179" s="7">
        <v>1</v>
      </c>
      <c r="E179" s="203"/>
      <c r="F179" s="203"/>
      <c r="G179" s="229"/>
      <c r="H179" s="232"/>
      <c r="I179" s="235"/>
    </row>
    <row r="180" spans="1:9" s="11" customFormat="1" ht="34.5" customHeight="1" x14ac:dyDescent="0.25">
      <c r="A180" s="127" t="s">
        <v>549</v>
      </c>
      <c r="B180" s="3" t="s">
        <v>183</v>
      </c>
      <c r="C180" s="41" t="s">
        <v>2</v>
      </c>
      <c r="D180" s="7">
        <v>1</v>
      </c>
      <c r="E180" s="203"/>
      <c r="F180" s="203"/>
      <c r="G180" s="229"/>
      <c r="H180" s="232"/>
      <c r="I180" s="235"/>
    </row>
    <row r="181" spans="1:9" s="11" customFormat="1" ht="34.5" customHeight="1" x14ac:dyDescent="0.25">
      <c r="A181" s="127" t="s">
        <v>550</v>
      </c>
      <c r="B181" s="3" t="s">
        <v>184</v>
      </c>
      <c r="C181" s="41" t="s">
        <v>2</v>
      </c>
      <c r="D181" s="7">
        <v>1</v>
      </c>
      <c r="E181" s="203"/>
      <c r="F181" s="203"/>
      <c r="G181" s="229"/>
      <c r="H181" s="232"/>
      <c r="I181" s="235"/>
    </row>
    <row r="182" spans="1:9" s="11" customFormat="1" ht="34.5" customHeight="1" x14ac:dyDescent="0.25">
      <c r="A182" s="127" t="s">
        <v>551</v>
      </c>
      <c r="B182" s="3" t="s">
        <v>552</v>
      </c>
      <c r="C182" s="41" t="s">
        <v>2</v>
      </c>
      <c r="D182" s="7">
        <v>1</v>
      </c>
      <c r="E182" s="203"/>
      <c r="F182" s="203"/>
      <c r="G182" s="229"/>
      <c r="H182" s="232"/>
      <c r="I182" s="235"/>
    </row>
    <row r="183" spans="1:9" s="11" customFormat="1" ht="34.5" customHeight="1" x14ac:dyDescent="0.25">
      <c r="A183" s="127" t="s">
        <v>553</v>
      </c>
      <c r="B183" s="3" t="s">
        <v>554</v>
      </c>
      <c r="C183" s="41" t="s">
        <v>2</v>
      </c>
      <c r="D183" s="7">
        <v>1</v>
      </c>
      <c r="E183" s="203"/>
      <c r="F183" s="203"/>
      <c r="G183" s="229"/>
      <c r="H183" s="232"/>
      <c r="I183" s="235"/>
    </row>
    <row r="184" spans="1:9" s="11" customFormat="1" ht="42" customHeight="1" x14ac:dyDescent="0.25">
      <c r="A184" s="127" t="s">
        <v>555</v>
      </c>
      <c r="B184" s="3" t="s">
        <v>543</v>
      </c>
      <c r="C184" s="41" t="s">
        <v>2</v>
      </c>
      <c r="D184" s="7">
        <v>1</v>
      </c>
      <c r="E184" s="204"/>
      <c r="F184" s="204"/>
      <c r="G184" s="230"/>
      <c r="H184" s="233"/>
      <c r="I184" s="236"/>
    </row>
    <row r="185" spans="1:9" ht="34.5" customHeight="1" x14ac:dyDescent="0.25">
      <c r="A185" s="76">
        <v>3.14</v>
      </c>
      <c r="B185" s="2" t="s">
        <v>250</v>
      </c>
      <c r="C185" s="41" t="s">
        <v>2</v>
      </c>
      <c r="D185" s="7">
        <v>1</v>
      </c>
      <c r="E185" s="150">
        <v>0</v>
      </c>
      <c r="F185" s="151">
        <f t="shared" ref="F185" si="111">D185*E185</f>
        <v>0</v>
      </c>
      <c r="G185" s="152">
        <v>802660</v>
      </c>
      <c r="H185" s="153">
        <f t="shared" ref="H185" si="112">D185*G185</f>
        <v>802660</v>
      </c>
      <c r="I185" s="154">
        <f t="shared" ref="I185" si="113">F185+H185</f>
        <v>802660</v>
      </c>
    </row>
    <row r="186" spans="1:9" ht="42" customHeight="1" x14ac:dyDescent="0.25">
      <c r="A186" s="76" t="s">
        <v>259</v>
      </c>
      <c r="B186" s="3" t="s">
        <v>697</v>
      </c>
      <c r="C186" s="41" t="s">
        <v>2</v>
      </c>
      <c r="D186" s="7">
        <v>1</v>
      </c>
      <c r="E186" s="205" t="s">
        <v>640</v>
      </c>
      <c r="F186" s="205"/>
      <c r="G186" s="208"/>
      <c r="H186" s="211"/>
      <c r="I186" s="214"/>
    </row>
    <row r="187" spans="1:9" ht="42" customHeight="1" x14ac:dyDescent="0.25">
      <c r="A187" s="76" t="s">
        <v>260</v>
      </c>
      <c r="B187" s="3" t="s">
        <v>183</v>
      </c>
      <c r="C187" s="41" t="s">
        <v>2</v>
      </c>
      <c r="D187" s="7">
        <v>1</v>
      </c>
      <c r="E187" s="206"/>
      <c r="F187" s="206"/>
      <c r="G187" s="209"/>
      <c r="H187" s="212"/>
      <c r="I187" s="215"/>
    </row>
    <row r="188" spans="1:9" ht="42" customHeight="1" x14ac:dyDescent="0.25">
      <c r="A188" s="76" t="s">
        <v>638</v>
      </c>
      <c r="B188" s="3" t="s">
        <v>639</v>
      </c>
      <c r="C188" s="41" t="s">
        <v>2</v>
      </c>
      <c r="D188" s="7">
        <v>1</v>
      </c>
      <c r="E188" s="206"/>
      <c r="F188" s="206"/>
      <c r="G188" s="209"/>
      <c r="H188" s="212"/>
      <c r="I188" s="215"/>
    </row>
    <row r="189" spans="1:9" ht="34.5" customHeight="1" x14ac:dyDescent="0.25">
      <c r="A189" s="76" t="s">
        <v>711</v>
      </c>
      <c r="B189" s="3" t="s">
        <v>251</v>
      </c>
      <c r="C189" s="41" t="s">
        <v>2</v>
      </c>
      <c r="D189" s="7">
        <v>1</v>
      </c>
      <c r="E189" s="207"/>
      <c r="F189" s="207"/>
      <c r="G189" s="210"/>
      <c r="H189" s="213"/>
      <c r="I189" s="216"/>
    </row>
    <row r="190" spans="1:9" ht="34.5" customHeight="1" x14ac:dyDescent="0.25">
      <c r="A190" s="76">
        <v>3.15</v>
      </c>
      <c r="B190" s="2" t="s">
        <v>252</v>
      </c>
      <c r="C190" s="41" t="s">
        <v>2</v>
      </c>
      <c r="D190" s="7">
        <v>1</v>
      </c>
      <c r="E190" s="150">
        <v>0</v>
      </c>
      <c r="F190" s="151">
        <f t="shared" ref="F190" si="114">D190*E190</f>
        <v>0</v>
      </c>
      <c r="G190" s="152">
        <v>193030</v>
      </c>
      <c r="H190" s="153">
        <f t="shared" ref="H190" si="115">D190*G190</f>
        <v>193030</v>
      </c>
      <c r="I190" s="154">
        <f t="shared" ref="I190" si="116">F190+H190</f>
        <v>193030</v>
      </c>
    </row>
    <row r="191" spans="1:9" ht="34.5" customHeight="1" x14ac:dyDescent="0.25">
      <c r="A191" s="76" t="s">
        <v>262</v>
      </c>
      <c r="B191" s="3" t="s">
        <v>253</v>
      </c>
      <c r="C191" s="41" t="s">
        <v>2</v>
      </c>
      <c r="D191" s="7">
        <v>1</v>
      </c>
      <c r="E191" s="205" t="s">
        <v>641</v>
      </c>
      <c r="F191" s="205"/>
      <c r="G191" s="208"/>
      <c r="H191" s="211"/>
      <c r="I191" s="214"/>
    </row>
    <row r="192" spans="1:9" ht="34.5" customHeight="1" x14ac:dyDescent="0.25">
      <c r="A192" s="76" t="s">
        <v>263</v>
      </c>
      <c r="B192" s="3" t="s">
        <v>254</v>
      </c>
      <c r="C192" s="41" t="s">
        <v>2</v>
      </c>
      <c r="D192" s="7">
        <v>1</v>
      </c>
      <c r="E192" s="206"/>
      <c r="F192" s="206"/>
      <c r="G192" s="209"/>
      <c r="H192" s="212"/>
      <c r="I192" s="215"/>
    </row>
    <row r="193" spans="1:9" ht="34.5" customHeight="1" x14ac:dyDescent="0.25">
      <c r="A193" s="76" t="s">
        <v>264</v>
      </c>
      <c r="B193" s="3" t="s">
        <v>255</v>
      </c>
      <c r="C193" s="41" t="s">
        <v>2</v>
      </c>
      <c r="D193" s="7">
        <v>1</v>
      </c>
      <c r="E193" s="207"/>
      <c r="F193" s="207"/>
      <c r="G193" s="210"/>
      <c r="H193" s="213"/>
      <c r="I193" s="216"/>
    </row>
    <row r="194" spans="1:9" s="11" customFormat="1" ht="42.75" customHeight="1" x14ac:dyDescent="0.25">
      <c r="A194" s="76">
        <v>3.16</v>
      </c>
      <c r="B194" s="2" t="s">
        <v>556</v>
      </c>
      <c r="C194" s="41" t="s">
        <v>2</v>
      </c>
      <c r="D194" s="7">
        <v>1</v>
      </c>
      <c r="E194" s="150">
        <v>328880</v>
      </c>
      <c r="F194" s="156">
        <f t="shared" ref="F194" si="117">D194*E194</f>
        <v>328880</v>
      </c>
      <c r="G194" s="152">
        <v>39470</v>
      </c>
      <c r="H194" s="158">
        <f t="shared" ref="H194" si="118">D194*G194</f>
        <v>39470</v>
      </c>
      <c r="I194" s="159">
        <f t="shared" ref="I194" si="119">F194+H194</f>
        <v>368350</v>
      </c>
    </row>
    <row r="195" spans="1:9" s="11" customFormat="1" ht="36" x14ac:dyDescent="0.25">
      <c r="A195" s="76" t="s">
        <v>265</v>
      </c>
      <c r="B195" s="3" t="s">
        <v>557</v>
      </c>
      <c r="C195" s="41" t="s">
        <v>2</v>
      </c>
      <c r="D195" s="7">
        <v>1</v>
      </c>
      <c r="E195" s="202" t="s">
        <v>642</v>
      </c>
      <c r="F195" s="202"/>
      <c r="G195" s="228"/>
      <c r="H195" s="231"/>
      <c r="I195" s="234"/>
    </row>
    <row r="196" spans="1:9" s="11" customFormat="1" ht="36" x14ac:dyDescent="0.25">
      <c r="A196" s="76" t="s">
        <v>558</v>
      </c>
      <c r="B196" s="3" t="s">
        <v>559</v>
      </c>
      <c r="C196" s="41" t="s">
        <v>2</v>
      </c>
      <c r="D196" s="7">
        <v>1</v>
      </c>
      <c r="E196" s="203"/>
      <c r="F196" s="203"/>
      <c r="G196" s="229"/>
      <c r="H196" s="232"/>
      <c r="I196" s="235"/>
    </row>
    <row r="197" spans="1:9" s="11" customFormat="1" ht="42.75" customHeight="1" x14ac:dyDescent="0.25">
      <c r="A197" s="76" t="s">
        <v>560</v>
      </c>
      <c r="B197" s="3" t="s">
        <v>561</v>
      </c>
      <c r="C197" s="41" t="s">
        <v>2</v>
      </c>
      <c r="D197" s="7">
        <v>1</v>
      </c>
      <c r="E197" s="203"/>
      <c r="F197" s="203"/>
      <c r="G197" s="229"/>
      <c r="H197" s="232"/>
      <c r="I197" s="235"/>
    </row>
    <row r="198" spans="1:9" s="11" customFormat="1" ht="82.5" customHeight="1" x14ac:dyDescent="0.25">
      <c r="A198" s="76" t="s">
        <v>562</v>
      </c>
      <c r="B198" s="3" t="s">
        <v>271</v>
      </c>
      <c r="C198" s="41" t="s">
        <v>2</v>
      </c>
      <c r="D198" s="7">
        <v>1</v>
      </c>
      <c r="E198" s="203"/>
      <c r="F198" s="203"/>
      <c r="G198" s="229"/>
      <c r="H198" s="232"/>
      <c r="I198" s="235"/>
    </row>
    <row r="199" spans="1:9" s="11" customFormat="1" ht="54.75" customHeight="1" x14ac:dyDescent="0.25">
      <c r="A199" s="76" t="s">
        <v>563</v>
      </c>
      <c r="B199" s="3" t="s">
        <v>272</v>
      </c>
      <c r="C199" s="41" t="s">
        <v>2</v>
      </c>
      <c r="D199" s="7">
        <v>1</v>
      </c>
      <c r="E199" s="204"/>
      <c r="F199" s="204"/>
      <c r="G199" s="230"/>
      <c r="H199" s="233"/>
      <c r="I199" s="236"/>
    </row>
    <row r="200" spans="1:9" s="11" customFormat="1" ht="42.75" customHeight="1" x14ac:dyDescent="0.25">
      <c r="A200" s="76">
        <v>3.17</v>
      </c>
      <c r="B200" s="2" t="s">
        <v>564</v>
      </c>
      <c r="C200" s="41" t="s">
        <v>2</v>
      </c>
      <c r="D200" s="7">
        <v>1</v>
      </c>
      <c r="E200" s="150">
        <v>184630</v>
      </c>
      <c r="F200" s="156">
        <f t="shared" ref="F200" si="120">D200*E200</f>
        <v>184630</v>
      </c>
      <c r="G200" s="152">
        <v>22160</v>
      </c>
      <c r="H200" s="158">
        <f t="shared" ref="H200" si="121">D200*G200</f>
        <v>22160</v>
      </c>
      <c r="I200" s="159">
        <f t="shared" ref="I200" si="122">F200+H200</f>
        <v>206790</v>
      </c>
    </row>
    <row r="201" spans="1:9" s="11" customFormat="1" ht="30" customHeight="1" x14ac:dyDescent="0.25">
      <c r="A201" s="76" t="s">
        <v>565</v>
      </c>
      <c r="B201" s="3" t="s">
        <v>261</v>
      </c>
      <c r="C201" s="41" t="s">
        <v>2</v>
      </c>
      <c r="D201" s="7">
        <v>1</v>
      </c>
      <c r="E201" s="202" t="s">
        <v>643</v>
      </c>
      <c r="F201" s="202"/>
      <c r="G201" s="228"/>
      <c r="H201" s="231"/>
      <c r="I201" s="234"/>
    </row>
    <row r="202" spans="1:9" s="11" customFormat="1" ht="72" x14ac:dyDescent="0.25">
      <c r="A202" s="76" t="s">
        <v>566</v>
      </c>
      <c r="B202" s="18" t="s">
        <v>579</v>
      </c>
      <c r="C202" s="41" t="s">
        <v>2</v>
      </c>
      <c r="D202" s="7">
        <v>1</v>
      </c>
      <c r="E202" s="204"/>
      <c r="F202" s="204"/>
      <c r="G202" s="230"/>
      <c r="H202" s="233"/>
      <c r="I202" s="236"/>
    </row>
    <row r="203" spans="1:9" s="11" customFormat="1" x14ac:dyDescent="0.25">
      <c r="A203" s="226">
        <v>3.18</v>
      </c>
      <c r="B203" s="2" t="s">
        <v>567</v>
      </c>
      <c r="C203" s="41"/>
      <c r="D203" s="13"/>
      <c r="E203" s="155"/>
      <c r="F203" s="156"/>
      <c r="G203" s="157"/>
      <c r="H203" s="158"/>
      <c r="I203" s="159"/>
    </row>
    <row r="204" spans="1:9" s="11" customFormat="1" ht="80.25" customHeight="1" x14ac:dyDescent="0.25">
      <c r="A204" s="227"/>
      <c r="B204" s="3" t="s">
        <v>568</v>
      </c>
      <c r="C204" s="41" t="s">
        <v>2</v>
      </c>
      <c r="D204" s="13">
        <v>1</v>
      </c>
      <c r="E204" s="150">
        <v>0</v>
      </c>
      <c r="F204" s="156">
        <f t="shared" ref="F204" si="123">D204*E204</f>
        <v>0</v>
      </c>
      <c r="G204" s="152">
        <v>654000</v>
      </c>
      <c r="H204" s="158">
        <f t="shared" ref="H204" si="124">D204*G204</f>
        <v>654000</v>
      </c>
      <c r="I204" s="159">
        <f t="shared" ref="I204" si="125">F204+H204</f>
        <v>654000</v>
      </c>
    </row>
    <row r="205" spans="1:9" s="11" customFormat="1" ht="42.75" customHeight="1" x14ac:dyDescent="0.25">
      <c r="A205" s="76" t="s">
        <v>569</v>
      </c>
      <c r="B205" s="3" t="s">
        <v>570</v>
      </c>
      <c r="C205" s="41" t="s">
        <v>2</v>
      </c>
      <c r="D205" s="13">
        <v>1</v>
      </c>
      <c r="E205" s="202" t="s">
        <v>644</v>
      </c>
      <c r="F205" s="202"/>
      <c r="G205" s="228"/>
      <c r="H205" s="231"/>
      <c r="I205" s="234"/>
    </row>
    <row r="206" spans="1:9" s="11" customFormat="1" ht="42.75" customHeight="1" x14ac:dyDescent="0.25">
      <c r="A206" s="76" t="s">
        <v>571</v>
      </c>
      <c r="B206" s="3" t="s">
        <v>572</v>
      </c>
      <c r="C206" s="41" t="s">
        <v>2</v>
      </c>
      <c r="D206" s="13">
        <v>1</v>
      </c>
      <c r="E206" s="203"/>
      <c r="F206" s="203"/>
      <c r="G206" s="229"/>
      <c r="H206" s="232"/>
      <c r="I206" s="235"/>
    </row>
    <row r="207" spans="1:9" s="11" customFormat="1" ht="42.75" customHeight="1" x14ac:dyDescent="0.25">
      <c r="A207" s="76" t="s">
        <v>573</v>
      </c>
      <c r="B207" s="3" t="s">
        <v>574</v>
      </c>
      <c r="C207" s="41" t="s">
        <v>2</v>
      </c>
      <c r="D207" s="13">
        <v>1</v>
      </c>
      <c r="E207" s="203"/>
      <c r="F207" s="203"/>
      <c r="G207" s="229"/>
      <c r="H207" s="232"/>
      <c r="I207" s="235"/>
    </row>
    <row r="208" spans="1:9" s="11" customFormat="1" ht="42.75" customHeight="1" x14ac:dyDescent="0.25">
      <c r="A208" s="76" t="s">
        <v>575</v>
      </c>
      <c r="B208" s="3" t="s">
        <v>576</v>
      </c>
      <c r="C208" s="41" t="s">
        <v>2</v>
      </c>
      <c r="D208" s="13">
        <v>1</v>
      </c>
      <c r="E208" s="203"/>
      <c r="F208" s="203"/>
      <c r="G208" s="229"/>
      <c r="H208" s="232"/>
      <c r="I208" s="235"/>
    </row>
    <row r="209" spans="1:12" s="11" customFormat="1" ht="42.75" customHeight="1" x14ac:dyDescent="0.25">
      <c r="A209" s="76" t="s">
        <v>577</v>
      </c>
      <c r="B209" s="3" t="s">
        <v>578</v>
      </c>
      <c r="C209" s="41" t="s">
        <v>2</v>
      </c>
      <c r="D209" s="13">
        <v>1</v>
      </c>
      <c r="E209" s="204"/>
      <c r="F209" s="204"/>
      <c r="G209" s="230"/>
      <c r="H209" s="233"/>
      <c r="I209" s="236"/>
    </row>
    <row r="210" spans="1:12" s="6" customFormat="1" ht="34.5" customHeight="1" x14ac:dyDescent="0.25">
      <c r="A210" s="195" t="s">
        <v>736</v>
      </c>
      <c r="B210" s="196"/>
      <c r="C210" s="42"/>
      <c r="D210" s="43"/>
      <c r="E210" s="167"/>
      <c r="F210" s="167">
        <f>SUM(F121:F209)</f>
        <v>513510</v>
      </c>
      <c r="G210" s="166"/>
      <c r="H210" s="167">
        <f>SUM(H121:H209)</f>
        <v>17254830</v>
      </c>
      <c r="I210" s="167">
        <f>SUM(I121:I209)</f>
        <v>17768340</v>
      </c>
      <c r="L210" s="147"/>
    </row>
    <row r="211" spans="1:12" ht="2.25" customHeight="1" x14ac:dyDescent="0.25">
      <c r="A211" s="224"/>
      <c r="B211" s="224"/>
      <c r="C211" s="47"/>
      <c r="D211" s="40"/>
      <c r="E211" s="131"/>
      <c r="F211" s="40"/>
      <c r="G211" s="40"/>
      <c r="H211" s="40"/>
      <c r="I211" s="40"/>
    </row>
    <row r="212" spans="1:12" ht="21.75" customHeight="1" x14ac:dyDescent="0.25">
      <c r="A212" s="42"/>
      <c r="B212" s="42"/>
      <c r="C212" s="42"/>
      <c r="D212" s="42"/>
      <c r="E212" s="42"/>
      <c r="F212" s="42"/>
      <c r="G212" s="42"/>
      <c r="H212" s="42"/>
      <c r="I212" s="42"/>
    </row>
    <row r="213" spans="1:12" s="72" customFormat="1" ht="35.25" customHeight="1" x14ac:dyDescent="0.25">
      <c r="A213" s="70" t="s">
        <v>91</v>
      </c>
      <c r="B213" s="69" t="str">
        <f>B10</f>
        <v>Electrical Works for new 33/11 kV Primary Substation</v>
      </c>
      <c r="C213" s="71"/>
      <c r="D213" s="71"/>
      <c r="E213" s="168"/>
      <c r="F213" s="168">
        <f>F87</f>
        <v>26073870</v>
      </c>
      <c r="G213" s="168"/>
      <c r="H213" s="168">
        <f>H87</f>
        <v>7518770</v>
      </c>
      <c r="I213" s="168">
        <f>I87</f>
        <v>33592640</v>
      </c>
    </row>
    <row r="214" spans="1:12" s="72" customFormat="1" ht="35.25" customHeight="1" x14ac:dyDescent="0.25">
      <c r="A214" s="70" t="s">
        <v>92</v>
      </c>
      <c r="B214" s="69" t="str">
        <f>B88</f>
        <v>Mechanical Works for new 33/11 kV Primary Substation</v>
      </c>
      <c r="C214" s="71"/>
      <c r="D214" s="71"/>
      <c r="E214" s="168"/>
      <c r="F214" s="168">
        <f>F117</f>
        <v>5858600</v>
      </c>
      <c r="G214" s="168"/>
      <c r="H214" s="168">
        <f>H117</f>
        <v>1037410</v>
      </c>
      <c r="I214" s="168">
        <f>I117</f>
        <v>6896010</v>
      </c>
    </row>
    <row r="215" spans="1:12" s="72" customFormat="1" ht="35.25" customHeight="1" x14ac:dyDescent="0.25">
      <c r="A215" s="70" t="s">
        <v>93</v>
      </c>
      <c r="B215" s="69" t="str">
        <f>B118</f>
        <v>Civil Works for new 33/11 kV Primary Substation Building</v>
      </c>
      <c r="C215" s="71"/>
      <c r="D215" s="71"/>
      <c r="E215" s="168"/>
      <c r="F215" s="168">
        <f>F210</f>
        <v>513510</v>
      </c>
      <c r="G215" s="168"/>
      <c r="H215" s="168">
        <f t="shared" ref="H215:I215" si="126">H210</f>
        <v>17254830</v>
      </c>
      <c r="I215" s="168">
        <f t="shared" si="126"/>
        <v>17768340</v>
      </c>
    </row>
    <row r="216" spans="1:12" ht="50.25" customHeight="1" x14ac:dyDescent="0.25">
      <c r="A216" s="48"/>
      <c r="B216" s="12"/>
      <c r="C216" s="40"/>
      <c r="D216" s="40"/>
      <c r="E216" s="154"/>
      <c r="F216" s="154"/>
      <c r="G216" s="154"/>
      <c r="H216" s="154"/>
      <c r="I216" s="154"/>
    </row>
    <row r="217" spans="1:12" ht="51.9" customHeight="1" x14ac:dyDescent="0.25">
      <c r="A217" s="217" t="s">
        <v>153</v>
      </c>
      <c r="B217" s="218"/>
      <c r="C217" s="78"/>
      <c r="D217" s="78"/>
      <c r="E217" s="169"/>
      <c r="F217" s="170">
        <f>SUM(F213:F215)</f>
        <v>32445980</v>
      </c>
      <c r="G217" s="170"/>
      <c r="H217" s="170">
        <f>SUM(H213:H215)</f>
        <v>25811010</v>
      </c>
      <c r="I217" s="170">
        <f>SUM(I213:I215)</f>
        <v>58256990</v>
      </c>
    </row>
    <row r="218" spans="1:12" x14ac:dyDescent="0.25">
      <c r="I218" s="130"/>
    </row>
  </sheetData>
  <protectedRanges>
    <protectedRange password="CDE6" sqref="B182" name="Range1_11_1_1_1"/>
    <protectedRange password="CDE6" sqref="B184" name="Range1_14_1_1_2"/>
    <protectedRange password="CDE6" sqref="B135" name="Range1_11_1_1"/>
    <protectedRange password="CDE6" sqref="B137" name="Range1_14_1_1_1"/>
    <protectedRange sqref="B189" name="Range1_17_1_1_1"/>
  </protectedRanges>
  <mergeCells count="111">
    <mergeCell ref="E205:E209"/>
    <mergeCell ref="F205:F209"/>
    <mergeCell ref="G205:G209"/>
    <mergeCell ref="H205:H209"/>
    <mergeCell ref="I205:I209"/>
    <mergeCell ref="E201:E202"/>
    <mergeCell ref="F201:F202"/>
    <mergeCell ref="G201:G202"/>
    <mergeCell ref="H201:H202"/>
    <mergeCell ref="I201:I202"/>
    <mergeCell ref="E195:E199"/>
    <mergeCell ref="F195:F199"/>
    <mergeCell ref="G195:G199"/>
    <mergeCell ref="H195:H199"/>
    <mergeCell ref="I195:I199"/>
    <mergeCell ref="E191:E193"/>
    <mergeCell ref="F191:F193"/>
    <mergeCell ref="G191:G193"/>
    <mergeCell ref="H191:H193"/>
    <mergeCell ref="I191:I193"/>
    <mergeCell ref="E186:E189"/>
    <mergeCell ref="F186:F189"/>
    <mergeCell ref="G186:G189"/>
    <mergeCell ref="H186:H189"/>
    <mergeCell ref="I186:I189"/>
    <mergeCell ref="E177:E184"/>
    <mergeCell ref="F177:F184"/>
    <mergeCell ref="G177:G184"/>
    <mergeCell ref="H177:H184"/>
    <mergeCell ref="I177:I184"/>
    <mergeCell ref="E174:E175"/>
    <mergeCell ref="F174:F175"/>
    <mergeCell ref="G174:G175"/>
    <mergeCell ref="H174:H175"/>
    <mergeCell ref="I174:I175"/>
    <mergeCell ref="E169:E171"/>
    <mergeCell ref="G169:G171"/>
    <mergeCell ref="F169:F171"/>
    <mergeCell ref="H169:H171"/>
    <mergeCell ref="I169:I171"/>
    <mergeCell ref="E162:E164"/>
    <mergeCell ref="F162:F164"/>
    <mergeCell ref="G162:G164"/>
    <mergeCell ref="I162:I164"/>
    <mergeCell ref="H162:H164"/>
    <mergeCell ref="E158:E160"/>
    <mergeCell ref="F158:F160"/>
    <mergeCell ref="G158:G160"/>
    <mergeCell ref="H158:H160"/>
    <mergeCell ref="I158:I160"/>
    <mergeCell ref="E139:E142"/>
    <mergeCell ref="F139:F142"/>
    <mergeCell ref="G139:G142"/>
    <mergeCell ref="H139:H142"/>
    <mergeCell ref="I139:I142"/>
    <mergeCell ref="E154:E156"/>
    <mergeCell ref="F154:F156"/>
    <mergeCell ref="G154:G156"/>
    <mergeCell ref="H154:H156"/>
    <mergeCell ref="I154:I156"/>
    <mergeCell ref="E149:E152"/>
    <mergeCell ref="F149:F152"/>
    <mergeCell ref="G149:G152"/>
    <mergeCell ref="H149:H152"/>
    <mergeCell ref="I149:I152"/>
    <mergeCell ref="E130:E137"/>
    <mergeCell ref="F130:F137"/>
    <mergeCell ref="G130:G137"/>
    <mergeCell ref="H130:H137"/>
    <mergeCell ref="I130:I137"/>
    <mergeCell ref="A217:B217"/>
    <mergeCell ref="A41:A42"/>
    <mergeCell ref="A43:A44"/>
    <mergeCell ref="A45:A49"/>
    <mergeCell ref="A50:A51"/>
    <mergeCell ref="A211:B211"/>
    <mergeCell ref="A210:B210"/>
    <mergeCell ref="A67:A68"/>
    <mergeCell ref="A72:A73"/>
    <mergeCell ref="A117:B117"/>
    <mergeCell ref="A69:A70"/>
    <mergeCell ref="A203:A204"/>
    <mergeCell ref="A111:A112"/>
    <mergeCell ref="A128:A129"/>
    <mergeCell ref="E144:E147"/>
    <mergeCell ref="F144:F147"/>
    <mergeCell ref="G144:G147"/>
    <mergeCell ref="H144:H147"/>
    <mergeCell ref="I144:I147"/>
    <mergeCell ref="E4:I4"/>
    <mergeCell ref="A5:A7"/>
    <mergeCell ref="B5:B7"/>
    <mergeCell ref="C5:C7"/>
    <mergeCell ref="D5:D7"/>
    <mergeCell ref="E5:F5"/>
    <mergeCell ref="G5:H5"/>
    <mergeCell ref="E6:E7"/>
    <mergeCell ref="F6:F7"/>
    <mergeCell ref="G6:G7"/>
    <mergeCell ref="H6:H7"/>
    <mergeCell ref="A11:A12"/>
    <mergeCell ref="A27:A28"/>
    <mergeCell ref="A87:B87"/>
    <mergeCell ref="A90:A91"/>
    <mergeCell ref="A98:A99"/>
    <mergeCell ref="A25:A26"/>
    <mergeCell ref="A35:A36"/>
    <mergeCell ref="A39:A40"/>
    <mergeCell ref="A18:A19"/>
    <mergeCell ref="A78:A79"/>
    <mergeCell ref="A83:A84"/>
  </mergeCells>
  <printOptions horizontalCentered="1"/>
  <pageMargins left="0.70866141732283505" right="0.70866141732283505" top="1.5748031496063" bottom="1.1023622047244099" header="0.59055118110236204" footer="0.59055118110236204"/>
  <pageSetup paperSize="9" scale="46" fitToHeight="0" orientation="landscape" r:id="rId1"/>
  <headerFooter>
    <oddHeader>&amp;L&amp;18CONSTRUCTION WORKS FOR REPLACEMENT OF SHBPRY, SMHPRY AND DRPRY SUBSTATION IN EASTERN REGION&amp;R&amp;G</oddHeader>
    <oddFooter>&amp;C&amp;18Page &amp;P of &amp;N&amp;R&amp;18May 2023</oddFooter>
  </headerFooter>
  <rowBreaks count="12" manualBreakCount="12">
    <brk id="26" max="8" man="1"/>
    <brk id="43" max="8" man="1"/>
    <brk id="56" max="8" man="1"/>
    <brk id="70" max="8" man="1"/>
    <brk id="87" max="8" man="1"/>
    <brk id="110" max="8" man="1"/>
    <brk id="123" max="8" man="1"/>
    <brk id="137" max="8" man="1"/>
    <brk id="156" max="8" man="1"/>
    <brk id="172" max="8" man="1"/>
    <brk id="189" max="8" man="1"/>
    <brk id="204" max="8" man="1"/>
  </rowBreaks>
  <ignoredErrors>
    <ignoredError sqref="F120 A218:I221 B64:D64 A119 C210:D210 C128:D128 B124:D124 C217:E217 A231:I263 A222:B230 E222:I230 F64 F68 H68:I68 B120:D120 F67 F73 H73:I73 C73 C118:D118 F216 H39:I42 F39:F42 C119:D119 H64:I64 H80:I80 H124:I125 F124:F125 F80 F45:F47 H45:I47 F128 H128:I128 H67:I67 H118:I118 H216:I216 F118 H120:I120" unlockedFormula="1"/>
  </ignoredError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3"/>
  <sheetViews>
    <sheetView view="pageBreakPreview" topLeftCell="A61" zoomScale="55" zoomScaleNormal="55" zoomScaleSheetLayoutView="55" zoomScalePageLayoutView="70" workbookViewId="0">
      <selection activeCell="O8" sqref="O8"/>
    </sheetView>
  </sheetViews>
  <sheetFormatPr defaultRowHeight="18" x14ac:dyDescent="0.25"/>
  <cols>
    <col min="1" max="1" width="15" style="26" customWidth="1"/>
    <col min="2" max="2" width="118.81640625" style="29" customWidth="1"/>
    <col min="3" max="3" width="13" style="27" customWidth="1"/>
    <col min="4" max="4" width="21" style="79" customWidth="1"/>
    <col min="5" max="5" width="22.453125" style="1" customWidth="1"/>
    <col min="6" max="6" width="23.54296875" style="1" customWidth="1"/>
    <col min="7" max="7" width="22.08984375" style="1" customWidth="1"/>
    <col min="8" max="8" width="26" style="1" customWidth="1"/>
    <col min="9" max="9" width="27.453125" style="6" customWidth="1"/>
    <col min="10" max="246" width="9.08984375" style="1"/>
    <col min="247" max="247" width="7.6328125" style="1" bestFit="1" customWidth="1"/>
    <col min="248" max="248" width="88.36328125" style="1" customWidth="1"/>
    <col min="249" max="249" width="13" style="1" customWidth="1"/>
    <col min="250" max="250" width="18" style="1" customWidth="1"/>
    <col min="251" max="251" width="17" style="1" customWidth="1"/>
    <col min="252" max="252" width="17.90625" style="1" customWidth="1"/>
    <col min="253" max="253" width="20.453125" style="1" customWidth="1"/>
    <col min="254" max="254" width="14.90625" style="1" customWidth="1"/>
    <col min="255" max="257" width="18.08984375" style="1" customWidth="1"/>
    <col min="258" max="258" width="20.453125" style="1" customWidth="1"/>
    <col min="259" max="259" width="14.08984375" style="1" bestFit="1" customWidth="1"/>
    <col min="260" max="260" width="10" style="1" bestFit="1" customWidth="1"/>
    <col min="261" max="502" width="9.08984375" style="1"/>
    <col min="503" max="503" width="7.6328125" style="1" bestFit="1" customWidth="1"/>
    <col min="504" max="504" width="88.36328125" style="1" customWidth="1"/>
    <col min="505" max="505" width="13" style="1" customWidth="1"/>
    <col min="506" max="506" width="18" style="1" customWidth="1"/>
    <col min="507" max="507" width="17" style="1" customWidth="1"/>
    <col min="508" max="508" width="17.90625" style="1" customWidth="1"/>
    <col min="509" max="509" width="20.453125" style="1" customWidth="1"/>
    <col min="510" max="510" width="14.90625" style="1" customWidth="1"/>
    <col min="511" max="513" width="18.08984375" style="1" customWidth="1"/>
    <col min="514" max="514" width="20.453125" style="1" customWidth="1"/>
    <col min="515" max="515" width="14.08984375" style="1" bestFit="1" customWidth="1"/>
    <col min="516" max="516" width="10" style="1" bestFit="1" customWidth="1"/>
    <col min="517" max="758" width="9.08984375" style="1"/>
    <col min="759" max="759" width="7.6328125" style="1" bestFit="1" customWidth="1"/>
    <col min="760" max="760" width="88.36328125" style="1" customWidth="1"/>
    <col min="761" max="761" width="13" style="1" customWidth="1"/>
    <col min="762" max="762" width="18" style="1" customWidth="1"/>
    <col min="763" max="763" width="17" style="1" customWidth="1"/>
    <col min="764" max="764" width="17.90625" style="1" customWidth="1"/>
    <col min="765" max="765" width="20.453125" style="1" customWidth="1"/>
    <col min="766" max="766" width="14.90625" style="1" customWidth="1"/>
    <col min="767" max="769" width="18.08984375" style="1" customWidth="1"/>
    <col min="770" max="770" width="20.453125" style="1" customWidth="1"/>
    <col min="771" max="771" width="14.08984375" style="1" bestFit="1" customWidth="1"/>
    <col min="772" max="772" width="10" style="1" bestFit="1" customWidth="1"/>
    <col min="773" max="1014" width="9.08984375" style="1"/>
    <col min="1015" max="1015" width="7.6328125" style="1" bestFit="1" customWidth="1"/>
    <col min="1016" max="1016" width="88.36328125" style="1" customWidth="1"/>
    <col min="1017" max="1017" width="13" style="1" customWidth="1"/>
    <col min="1018" max="1018" width="18" style="1" customWidth="1"/>
    <col min="1019" max="1019" width="17" style="1" customWidth="1"/>
    <col min="1020" max="1020" width="17.90625" style="1" customWidth="1"/>
    <col min="1021" max="1021" width="20.453125" style="1" customWidth="1"/>
    <col min="1022" max="1022" width="14.90625" style="1" customWidth="1"/>
    <col min="1023" max="1025" width="18.08984375" style="1" customWidth="1"/>
    <col min="1026" max="1026" width="20.453125" style="1" customWidth="1"/>
    <col min="1027" max="1027" width="14.08984375" style="1" bestFit="1" customWidth="1"/>
    <col min="1028" max="1028" width="10" style="1" bestFit="1" customWidth="1"/>
    <col min="1029" max="1270" width="9.08984375" style="1"/>
    <col min="1271" max="1271" width="7.6328125" style="1" bestFit="1" customWidth="1"/>
    <col min="1272" max="1272" width="88.36328125" style="1" customWidth="1"/>
    <col min="1273" max="1273" width="13" style="1" customWidth="1"/>
    <col min="1274" max="1274" width="18" style="1" customWidth="1"/>
    <col min="1275" max="1275" width="17" style="1" customWidth="1"/>
    <col min="1276" max="1276" width="17.90625" style="1" customWidth="1"/>
    <col min="1277" max="1277" width="20.453125" style="1" customWidth="1"/>
    <col min="1278" max="1278" width="14.90625" style="1" customWidth="1"/>
    <col min="1279" max="1281" width="18.08984375" style="1" customWidth="1"/>
    <col min="1282" max="1282" width="20.453125" style="1" customWidth="1"/>
    <col min="1283" max="1283" width="14.08984375" style="1" bestFit="1" customWidth="1"/>
    <col min="1284" max="1284" width="10" style="1" bestFit="1" customWidth="1"/>
    <col min="1285" max="1526" width="9.08984375" style="1"/>
    <col min="1527" max="1527" width="7.6328125" style="1" bestFit="1" customWidth="1"/>
    <col min="1528" max="1528" width="88.36328125" style="1" customWidth="1"/>
    <col min="1529" max="1529" width="13" style="1" customWidth="1"/>
    <col min="1530" max="1530" width="18" style="1" customWidth="1"/>
    <col min="1531" max="1531" width="17" style="1" customWidth="1"/>
    <col min="1532" max="1532" width="17.90625" style="1" customWidth="1"/>
    <col min="1533" max="1533" width="20.453125" style="1" customWidth="1"/>
    <col min="1534" max="1534" width="14.90625" style="1" customWidth="1"/>
    <col min="1535" max="1537" width="18.08984375" style="1" customWidth="1"/>
    <col min="1538" max="1538" width="20.453125" style="1" customWidth="1"/>
    <col min="1539" max="1539" width="14.08984375" style="1" bestFit="1" customWidth="1"/>
    <col min="1540" max="1540" width="10" style="1" bestFit="1" customWidth="1"/>
    <col min="1541" max="1782" width="9.08984375" style="1"/>
    <col min="1783" max="1783" width="7.6328125" style="1" bestFit="1" customWidth="1"/>
    <col min="1784" max="1784" width="88.36328125" style="1" customWidth="1"/>
    <col min="1785" max="1785" width="13" style="1" customWidth="1"/>
    <col min="1786" max="1786" width="18" style="1" customWidth="1"/>
    <col min="1787" max="1787" width="17" style="1" customWidth="1"/>
    <col min="1788" max="1788" width="17.90625" style="1" customWidth="1"/>
    <col min="1789" max="1789" width="20.453125" style="1" customWidth="1"/>
    <col min="1790" max="1790" width="14.90625" style="1" customWidth="1"/>
    <col min="1791" max="1793" width="18.08984375" style="1" customWidth="1"/>
    <col min="1794" max="1794" width="20.453125" style="1" customWidth="1"/>
    <col min="1795" max="1795" width="14.08984375" style="1" bestFit="1" customWidth="1"/>
    <col min="1796" max="1796" width="10" style="1" bestFit="1" customWidth="1"/>
    <col min="1797" max="2038" width="9.08984375" style="1"/>
    <col min="2039" max="2039" width="7.6328125" style="1" bestFit="1" customWidth="1"/>
    <col min="2040" max="2040" width="88.36328125" style="1" customWidth="1"/>
    <col min="2041" max="2041" width="13" style="1" customWidth="1"/>
    <col min="2042" max="2042" width="18" style="1" customWidth="1"/>
    <col min="2043" max="2043" width="17" style="1" customWidth="1"/>
    <col min="2044" max="2044" width="17.90625" style="1" customWidth="1"/>
    <col min="2045" max="2045" width="20.453125" style="1" customWidth="1"/>
    <col min="2046" max="2046" width="14.90625" style="1" customWidth="1"/>
    <col min="2047" max="2049" width="18.08984375" style="1" customWidth="1"/>
    <col min="2050" max="2050" width="20.453125" style="1" customWidth="1"/>
    <col min="2051" max="2051" width="14.08984375" style="1" bestFit="1" customWidth="1"/>
    <col min="2052" max="2052" width="10" style="1" bestFit="1" customWidth="1"/>
    <col min="2053" max="2294" width="9.08984375" style="1"/>
    <col min="2295" max="2295" width="7.6328125" style="1" bestFit="1" customWidth="1"/>
    <col min="2296" max="2296" width="88.36328125" style="1" customWidth="1"/>
    <col min="2297" max="2297" width="13" style="1" customWidth="1"/>
    <col min="2298" max="2298" width="18" style="1" customWidth="1"/>
    <col min="2299" max="2299" width="17" style="1" customWidth="1"/>
    <col min="2300" max="2300" width="17.90625" style="1" customWidth="1"/>
    <col min="2301" max="2301" width="20.453125" style="1" customWidth="1"/>
    <col min="2302" max="2302" width="14.90625" style="1" customWidth="1"/>
    <col min="2303" max="2305" width="18.08984375" style="1" customWidth="1"/>
    <col min="2306" max="2306" width="20.453125" style="1" customWidth="1"/>
    <col min="2307" max="2307" width="14.08984375" style="1" bestFit="1" customWidth="1"/>
    <col min="2308" max="2308" width="10" style="1" bestFit="1" customWidth="1"/>
    <col min="2309" max="2550" width="9.08984375" style="1"/>
    <col min="2551" max="2551" width="7.6328125" style="1" bestFit="1" customWidth="1"/>
    <col min="2552" max="2552" width="88.36328125" style="1" customWidth="1"/>
    <col min="2553" max="2553" width="13" style="1" customWidth="1"/>
    <col min="2554" max="2554" width="18" style="1" customWidth="1"/>
    <col min="2555" max="2555" width="17" style="1" customWidth="1"/>
    <col min="2556" max="2556" width="17.90625" style="1" customWidth="1"/>
    <col min="2557" max="2557" width="20.453125" style="1" customWidth="1"/>
    <col min="2558" max="2558" width="14.90625" style="1" customWidth="1"/>
    <col min="2559" max="2561" width="18.08984375" style="1" customWidth="1"/>
    <col min="2562" max="2562" width="20.453125" style="1" customWidth="1"/>
    <col min="2563" max="2563" width="14.08984375" style="1" bestFit="1" customWidth="1"/>
    <col min="2564" max="2564" width="10" style="1" bestFit="1" customWidth="1"/>
    <col min="2565" max="2806" width="9.08984375" style="1"/>
    <col min="2807" max="2807" width="7.6328125" style="1" bestFit="1" customWidth="1"/>
    <col min="2808" max="2808" width="88.36328125" style="1" customWidth="1"/>
    <col min="2809" max="2809" width="13" style="1" customWidth="1"/>
    <col min="2810" max="2810" width="18" style="1" customWidth="1"/>
    <col min="2811" max="2811" width="17" style="1" customWidth="1"/>
    <col min="2812" max="2812" width="17.90625" style="1" customWidth="1"/>
    <col min="2813" max="2813" width="20.453125" style="1" customWidth="1"/>
    <col min="2814" max="2814" width="14.90625" style="1" customWidth="1"/>
    <col min="2815" max="2817" width="18.08984375" style="1" customWidth="1"/>
    <col min="2818" max="2818" width="20.453125" style="1" customWidth="1"/>
    <col min="2819" max="2819" width="14.08984375" style="1" bestFit="1" customWidth="1"/>
    <col min="2820" max="2820" width="10" style="1" bestFit="1" customWidth="1"/>
    <col min="2821" max="3062" width="9.08984375" style="1"/>
    <col min="3063" max="3063" width="7.6328125" style="1" bestFit="1" customWidth="1"/>
    <col min="3064" max="3064" width="88.36328125" style="1" customWidth="1"/>
    <col min="3065" max="3065" width="13" style="1" customWidth="1"/>
    <col min="3066" max="3066" width="18" style="1" customWidth="1"/>
    <col min="3067" max="3067" width="17" style="1" customWidth="1"/>
    <col min="3068" max="3068" width="17.90625" style="1" customWidth="1"/>
    <col min="3069" max="3069" width="20.453125" style="1" customWidth="1"/>
    <col min="3070" max="3070" width="14.90625" style="1" customWidth="1"/>
    <col min="3071" max="3073" width="18.08984375" style="1" customWidth="1"/>
    <col min="3074" max="3074" width="20.453125" style="1" customWidth="1"/>
    <col min="3075" max="3075" width="14.08984375" style="1" bestFit="1" customWidth="1"/>
    <col min="3076" max="3076" width="10" style="1" bestFit="1" customWidth="1"/>
    <col min="3077" max="3318" width="9.08984375" style="1"/>
    <col min="3319" max="3319" width="7.6328125" style="1" bestFit="1" customWidth="1"/>
    <col min="3320" max="3320" width="88.36328125" style="1" customWidth="1"/>
    <col min="3321" max="3321" width="13" style="1" customWidth="1"/>
    <col min="3322" max="3322" width="18" style="1" customWidth="1"/>
    <col min="3323" max="3323" width="17" style="1" customWidth="1"/>
    <col min="3324" max="3324" width="17.90625" style="1" customWidth="1"/>
    <col min="3325" max="3325" width="20.453125" style="1" customWidth="1"/>
    <col min="3326" max="3326" width="14.90625" style="1" customWidth="1"/>
    <col min="3327" max="3329" width="18.08984375" style="1" customWidth="1"/>
    <col min="3330" max="3330" width="20.453125" style="1" customWidth="1"/>
    <col min="3331" max="3331" width="14.08984375" style="1" bestFit="1" customWidth="1"/>
    <col min="3332" max="3332" width="10" style="1" bestFit="1" customWidth="1"/>
    <col min="3333" max="3574" width="9.08984375" style="1"/>
    <col min="3575" max="3575" width="7.6328125" style="1" bestFit="1" customWidth="1"/>
    <col min="3576" max="3576" width="88.36328125" style="1" customWidth="1"/>
    <col min="3577" max="3577" width="13" style="1" customWidth="1"/>
    <col min="3578" max="3578" width="18" style="1" customWidth="1"/>
    <col min="3579" max="3579" width="17" style="1" customWidth="1"/>
    <col min="3580" max="3580" width="17.90625" style="1" customWidth="1"/>
    <col min="3581" max="3581" width="20.453125" style="1" customWidth="1"/>
    <col min="3582" max="3582" width="14.90625" style="1" customWidth="1"/>
    <col min="3583" max="3585" width="18.08984375" style="1" customWidth="1"/>
    <col min="3586" max="3586" width="20.453125" style="1" customWidth="1"/>
    <col min="3587" max="3587" width="14.08984375" style="1" bestFit="1" customWidth="1"/>
    <col min="3588" max="3588" width="10" style="1" bestFit="1" customWidth="1"/>
    <col min="3589" max="3830" width="9.08984375" style="1"/>
    <col min="3831" max="3831" width="7.6328125" style="1" bestFit="1" customWidth="1"/>
    <col min="3832" max="3832" width="88.36328125" style="1" customWidth="1"/>
    <col min="3833" max="3833" width="13" style="1" customWidth="1"/>
    <col min="3834" max="3834" width="18" style="1" customWidth="1"/>
    <col min="3835" max="3835" width="17" style="1" customWidth="1"/>
    <col min="3836" max="3836" width="17.90625" style="1" customWidth="1"/>
    <col min="3837" max="3837" width="20.453125" style="1" customWidth="1"/>
    <col min="3838" max="3838" width="14.90625" style="1" customWidth="1"/>
    <col min="3839" max="3841" width="18.08984375" style="1" customWidth="1"/>
    <col min="3842" max="3842" width="20.453125" style="1" customWidth="1"/>
    <col min="3843" max="3843" width="14.08984375" style="1" bestFit="1" customWidth="1"/>
    <col min="3844" max="3844" width="10" style="1" bestFit="1" customWidth="1"/>
    <col min="3845" max="4086" width="9.08984375" style="1"/>
    <col min="4087" max="4087" width="7.6328125" style="1" bestFit="1" customWidth="1"/>
    <col min="4088" max="4088" width="88.36328125" style="1" customWidth="1"/>
    <col min="4089" max="4089" width="13" style="1" customWidth="1"/>
    <col min="4090" max="4090" width="18" style="1" customWidth="1"/>
    <col min="4091" max="4091" width="17" style="1" customWidth="1"/>
    <col min="4092" max="4092" width="17.90625" style="1" customWidth="1"/>
    <col min="4093" max="4093" width="20.453125" style="1" customWidth="1"/>
    <col min="4094" max="4094" width="14.90625" style="1" customWidth="1"/>
    <col min="4095" max="4097" width="18.08984375" style="1" customWidth="1"/>
    <col min="4098" max="4098" width="20.453125" style="1" customWidth="1"/>
    <col min="4099" max="4099" width="14.08984375" style="1" bestFit="1" customWidth="1"/>
    <col min="4100" max="4100" width="10" style="1" bestFit="1" customWidth="1"/>
    <col min="4101" max="4342" width="9.08984375" style="1"/>
    <col min="4343" max="4343" width="7.6328125" style="1" bestFit="1" customWidth="1"/>
    <col min="4344" max="4344" width="88.36328125" style="1" customWidth="1"/>
    <col min="4345" max="4345" width="13" style="1" customWidth="1"/>
    <col min="4346" max="4346" width="18" style="1" customWidth="1"/>
    <col min="4347" max="4347" width="17" style="1" customWidth="1"/>
    <col min="4348" max="4348" width="17.90625" style="1" customWidth="1"/>
    <col min="4349" max="4349" width="20.453125" style="1" customWidth="1"/>
    <col min="4350" max="4350" width="14.90625" style="1" customWidth="1"/>
    <col min="4351" max="4353" width="18.08984375" style="1" customWidth="1"/>
    <col min="4354" max="4354" width="20.453125" style="1" customWidth="1"/>
    <col min="4355" max="4355" width="14.08984375" style="1" bestFit="1" customWidth="1"/>
    <col min="4356" max="4356" width="10" style="1" bestFit="1" customWidth="1"/>
    <col min="4357" max="4598" width="9.08984375" style="1"/>
    <col min="4599" max="4599" width="7.6328125" style="1" bestFit="1" customWidth="1"/>
    <col min="4600" max="4600" width="88.36328125" style="1" customWidth="1"/>
    <col min="4601" max="4601" width="13" style="1" customWidth="1"/>
    <col min="4602" max="4602" width="18" style="1" customWidth="1"/>
    <col min="4603" max="4603" width="17" style="1" customWidth="1"/>
    <col min="4604" max="4604" width="17.90625" style="1" customWidth="1"/>
    <col min="4605" max="4605" width="20.453125" style="1" customWidth="1"/>
    <col min="4606" max="4606" width="14.90625" style="1" customWidth="1"/>
    <col min="4607" max="4609" width="18.08984375" style="1" customWidth="1"/>
    <col min="4610" max="4610" width="20.453125" style="1" customWidth="1"/>
    <col min="4611" max="4611" width="14.08984375" style="1" bestFit="1" customWidth="1"/>
    <col min="4612" max="4612" width="10" style="1" bestFit="1" customWidth="1"/>
    <col min="4613" max="4854" width="9.08984375" style="1"/>
    <col min="4855" max="4855" width="7.6328125" style="1" bestFit="1" customWidth="1"/>
    <col min="4856" max="4856" width="88.36328125" style="1" customWidth="1"/>
    <col min="4857" max="4857" width="13" style="1" customWidth="1"/>
    <col min="4858" max="4858" width="18" style="1" customWidth="1"/>
    <col min="4859" max="4859" width="17" style="1" customWidth="1"/>
    <col min="4860" max="4860" width="17.90625" style="1" customWidth="1"/>
    <col min="4861" max="4861" width="20.453125" style="1" customWidth="1"/>
    <col min="4862" max="4862" width="14.90625" style="1" customWidth="1"/>
    <col min="4863" max="4865" width="18.08984375" style="1" customWidth="1"/>
    <col min="4866" max="4866" width="20.453125" style="1" customWidth="1"/>
    <col min="4867" max="4867" width="14.08984375" style="1" bestFit="1" customWidth="1"/>
    <col min="4868" max="4868" width="10" style="1" bestFit="1" customWidth="1"/>
    <col min="4869" max="5110" width="9.08984375" style="1"/>
    <col min="5111" max="5111" width="7.6328125" style="1" bestFit="1" customWidth="1"/>
    <col min="5112" max="5112" width="88.36328125" style="1" customWidth="1"/>
    <col min="5113" max="5113" width="13" style="1" customWidth="1"/>
    <col min="5114" max="5114" width="18" style="1" customWidth="1"/>
    <col min="5115" max="5115" width="17" style="1" customWidth="1"/>
    <col min="5116" max="5116" width="17.90625" style="1" customWidth="1"/>
    <col min="5117" max="5117" width="20.453125" style="1" customWidth="1"/>
    <col min="5118" max="5118" width="14.90625" style="1" customWidth="1"/>
    <col min="5119" max="5121" width="18.08984375" style="1" customWidth="1"/>
    <col min="5122" max="5122" width="20.453125" style="1" customWidth="1"/>
    <col min="5123" max="5123" width="14.08984375" style="1" bestFit="1" customWidth="1"/>
    <col min="5124" max="5124" width="10" style="1" bestFit="1" customWidth="1"/>
    <col min="5125" max="5366" width="9.08984375" style="1"/>
    <col min="5367" max="5367" width="7.6328125" style="1" bestFit="1" customWidth="1"/>
    <col min="5368" max="5368" width="88.36328125" style="1" customWidth="1"/>
    <col min="5369" max="5369" width="13" style="1" customWidth="1"/>
    <col min="5370" max="5370" width="18" style="1" customWidth="1"/>
    <col min="5371" max="5371" width="17" style="1" customWidth="1"/>
    <col min="5372" max="5372" width="17.90625" style="1" customWidth="1"/>
    <col min="5373" max="5373" width="20.453125" style="1" customWidth="1"/>
    <col min="5374" max="5374" width="14.90625" style="1" customWidth="1"/>
    <col min="5375" max="5377" width="18.08984375" style="1" customWidth="1"/>
    <col min="5378" max="5378" width="20.453125" style="1" customWidth="1"/>
    <col min="5379" max="5379" width="14.08984375" style="1" bestFit="1" customWidth="1"/>
    <col min="5380" max="5380" width="10" style="1" bestFit="1" customWidth="1"/>
    <col min="5381" max="5622" width="9.08984375" style="1"/>
    <col min="5623" max="5623" width="7.6328125" style="1" bestFit="1" customWidth="1"/>
    <col min="5624" max="5624" width="88.36328125" style="1" customWidth="1"/>
    <col min="5625" max="5625" width="13" style="1" customWidth="1"/>
    <col min="5626" max="5626" width="18" style="1" customWidth="1"/>
    <col min="5627" max="5627" width="17" style="1" customWidth="1"/>
    <col min="5628" max="5628" width="17.90625" style="1" customWidth="1"/>
    <col min="5629" max="5629" width="20.453125" style="1" customWidth="1"/>
    <col min="5630" max="5630" width="14.90625" style="1" customWidth="1"/>
    <col min="5631" max="5633" width="18.08984375" style="1" customWidth="1"/>
    <col min="5634" max="5634" width="20.453125" style="1" customWidth="1"/>
    <col min="5635" max="5635" width="14.08984375" style="1" bestFit="1" customWidth="1"/>
    <col min="5636" max="5636" width="10" style="1" bestFit="1" customWidth="1"/>
    <col min="5637" max="5878" width="9.08984375" style="1"/>
    <col min="5879" max="5879" width="7.6328125" style="1" bestFit="1" customWidth="1"/>
    <col min="5880" max="5880" width="88.36328125" style="1" customWidth="1"/>
    <col min="5881" max="5881" width="13" style="1" customWidth="1"/>
    <col min="5882" max="5882" width="18" style="1" customWidth="1"/>
    <col min="5883" max="5883" width="17" style="1" customWidth="1"/>
    <col min="5884" max="5884" width="17.90625" style="1" customWidth="1"/>
    <col min="5885" max="5885" width="20.453125" style="1" customWidth="1"/>
    <col min="5886" max="5886" width="14.90625" style="1" customWidth="1"/>
    <col min="5887" max="5889" width="18.08984375" style="1" customWidth="1"/>
    <col min="5890" max="5890" width="20.453125" style="1" customWidth="1"/>
    <col min="5891" max="5891" width="14.08984375" style="1" bestFit="1" customWidth="1"/>
    <col min="5892" max="5892" width="10" style="1" bestFit="1" customWidth="1"/>
    <col min="5893" max="6134" width="9.08984375" style="1"/>
    <col min="6135" max="6135" width="7.6328125" style="1" bestFit="1" customWidth="1"/>
    <col min="6136" max="6136" width="88.36328125" style="1" customWidth="1"/>
    <col min="6137" max="6137" width="13" style="1" customWidth="1"/>
    <col min="6138" max="6138" width="18" style="1" customWidth="1"/>
    <col min="6139" max="6139" width="17" style="1" customWidth="1"/>
    <col min="6140" max="6140" width="17.90625" style="1" customWidth="1"/>
    <col min="6141" max="6141" width="20.453125" style="1" customWidth="1"/>
    <col min="6142" max="6142" width="14.90625" style="1" customWidth="1"/>
    <col min="6143" max="6145" width="18.08984375" style="1" customWidth="1"/>
    <col min="6146" max="6146" width="20.453125" style="1" customWidth="1"/>
    <col min="6147" max="6147" width="14.08984375" style="1" bestFit="1" customWidth="1"/>
    <col min="6148" max="6148" width="10" style="1" bestFit="1" customWidth="1"/>
    <col min="6149" max="6390" width="9.08984375" style="1"/>
    <col min="6391" max="6391" width="7.6328125" style="1" bestFit="1" customWidth="1"/>
    <col min="6392" max="6392" width="88.36328125" style="1" customWidth="1"/>
    <col min="6393" max="6393" width="13" style="1" customWidth="1"/>
    <col min="6394" max="6394" width="18" style="1" customWidth="1"/>
    <col min="6395" max="6395" width="17" style="1" customWidth="1"/>
    <col min="6396" max="6396" width="17.90625" style="1" customWidth="1"/>
    <col min="6397" max="6397" width="20.453125" style="1" customWidth="1"/>
    <col min="6398" max="6398" width="14.90625" style="1" customWidth="1"/>
    <col min="6399" max="6401" width="18.08984375" style="1" customWidth="1"/>
    <col min="6402" max="6402" width="20.453125" style="1" customWidth="1"/>
    <col min="6403" max="6403" width="14.08984375" style="1" bestFit="1" customWidth="1"/>
    <col min="6404" max="6404" width="10" style="1" bestFit="1" customWidth="1"/>
    <col min="6405" max="6646" width="9.08984375" style="1"/>
    <col min="6647" max="6647" width="7.6328125" style="1" bestFit="1" customWidth="1"/>
    <col min="6648" max="6648" width="88.36328125" style="1" customWidth="1"/>
    <col min="6649" max="6649" width="13" style="1" customWidth="1"/>
    <col min="6650" max="6650" width="18" style="1" customWidth="1"/>
    <col min="6651" max="6651" width="17" style="1" customWidth="1"/>
    <col min="6652" max="6652" width="17.90625" style="1" customWidth="1"/>
    <col min="6653" max="6653" width="20.453125" style="1" customWidth="1"/>
    <col min="6654" max="6654" width="14.90625" style="1" customWidth="1"/>
    <col min="6655" max="6657" width="18.08984375" style="1" customWidth="1"/>
    <col min="6658" max="6658" width="20.453125" style="1" customWidth="1"/>
    <col min="6659" max="6659" width="14.08984375" style="1" bestFit="1" customWidth="1"/>
    <col min="6660" max="6660" width="10" style="1" bestFit="1" customWidth="1"/>
    <col min="6661" max="6902" width="9.08984375" style="1"/>
    <col min="6903" max="6903" width="7.6328125" style="1" bestFit="1" customWidth="1"/>
    <col min="6904" max="6904" width="88.36328125" style="1" customWidth="1"/>
    <col min="6905" max="6905" width="13" style="1" customWidth="1"/>
    <col min="6906" max="6906" width="18" style="1" customWidth="1"/>
    <col min="6907" max="6907" width="17" style="1" customWidth="1"/>
    <col min="6908" max="6908" width="17.90625" style="1" customWidth="1"/>
    <col min="6909" max="6909" width="20.453125" style="1" customWidth="1"/>
    <col min="6910" max="6910" width="14.90625" style="1" customWidth="1"/>
    <col min="6911" max="6913" width="18.08984375" style="1" customWidth="1"/>
    <col min="6914" max="6914" width="20.453125" style="1" customWidth="1"/>
    <col min="6915" max="6915" width="14.08984375" style="1" bestFit="1" customWidth="1"/>
    <col min="6916" max="6916" width="10" style="1" bestFit="1" customWidth="1"/>
    <col min="6917" max="7158" width="9.08984375" style="1"/>
    <col min="7159" max="7159" width="7.6328125" style="1" bestFit="1" customWidth="1"/>
    <col min="7160" max="7160" width="88.36328125" style="1" customWidth="1"/>
    <col min="7161" max="7161" width="13" style="1" customWidth="1"/>
    <col min="7162" max="7162" width="18" style="1" customWidth="1"/>
    <col min="7163" max="7163" width="17" style="1" customWidth="1"/>
    <col min="7164" max="7164" width="17.90625" style="1" customWidth="1"/>
    <col min="7165" max="7165" width="20.453125" style="1" customWidth="1"/>
    <col min="7166" max="7166" width="14.90625" style="1" customWidth="1"/>
    <col min="7167" max="7169" width="18.08984375" style="1" customWidth="1"/>
    <col min="7170" max="7170" width="20.453125" style="1" customWidth="1"/>
    <col min="7171" max="7171" width="14.08984375" style="1" bestFit="1" customWidth="1"/>
    <col min="7172" max="7172" width="10" style="1" bestFit="1" customWidth="1"/>
    <col min="7173" max="7414" width="9.08984375" style="1"/>
    <col min="7415" max="7415" width="7.6328125" style="1" bestFit="1" customWidth="1"/>
    <col min="7416" max="7416" width="88.36328125" style="1" customWidth="1"/>
    <col min="7417" max="7417" width="13" style="1" customWidth="1"/>
    <col min="7418" max="7418" width="18" style="1" customWidth="1"/>
    <col min="7419" max="7419" width="17" style="1" customWidth="1"/>
    <col min="7420" max="7420" width="17.90625" style="1" customWidth="1"/>
    <col min="7421" max="7421" width="20.453125" style="1" customWidth="1"/>
    <col min="7422" max="7422" width="14.90625" style="1" customWidth="1"/>
    <col min="7423" max="7425" width="18.08984375" style="1" customWidth="1"/>
    <col min="7426" max="7426" width="20.453125" style="1" customWidth="1"/>
    <col min="7427" max="7427" width="14.08984375" style="1" bestFit="1" customWidth="1"/>
    <col min="7428" max="7428" width="10" style="1" bestFit="1" customWidth="1"/>
    <col min="7429" max="7670" width="9.08984375" style="1"/>
    <col min="7671" max="7671" width="7.6328125" style="1" bestFit="1" customWidth="1"/>
    <col min="7672" max="7672" width="88.36328125" style="1" customWidth="1"/>
    <col min="7673" max="7673" width="13" style="1" customWidth="1"/>
    <col min="7674" max="7674" width="18" style="1" customWidth="1"/>
    <col min="7675" max="7675" width="17" style="1" customWidth="1"/>
    <col min="7676" max="7676" width="17.90625" style="1" customWidth="1"/>
    <col min="7677" max="7677" width="20.453125" style="1" customWidth="1"/>
    <col min="7678" max="7678" width="14.90625" style="1" customWidth="1"/>
    <col min="7679" max="7681" width="18.08984375" style="1" customWidth="1"/>
    <col min="7682" max="7682" width="20.453125" style="1" customWidth="1"/>
    <col min="7683" max="7683" width="14.08984375" style="1" bestFit="1" customWidth="1"/>
    <col min="7684" max="7684" width="10" style="1" bestFit="1" customWidth="1"/>
    <col min="7685" max="7926" width="9.08984375" style="1"/>
    <col min="7927" max="7927" width="7.6328125" style="1" bestFit="1" customWidth="1"/>
    <col min="7928" max="7928" width="88.36328125" style="1" customWidth="1"/>
    <col min="7929" max="7929" width="13" style="1" customWidth="1"/>
    <col min="7930" max="7930" width="18" style="1" customWidth="1"/>
    <col min="7931" max="7931" width="17" style="1" customWidth="1"/>
    <col min="7932" max="7932" width="17.90625" style="1" customWidth="1"/>
    <col min="7933" max="7933" width="20.453125" style="1" customWidth="1"/>
    <col min="7934" max="7934" width="14.90625" style="1" customWidth="1"/>
    <col min="7935" max="7937" width="18.08984375" style="1" customWidth="1"/>
    <col min="7938" max="7938" width="20.453125" style="1" customWidth="1"/>
    <col min="7939" max="7939" width="14.08984375" style="1" bestFit="1" customWidth="1"/>
    <col min="7940" max="7940" width="10" style="1" bestFit="1" customWidth="1"/>
    <col min="7941" max="8182" width="9.08984375" style="1"/>
    <col min="8183" max="8183" width="7.6328125" style="1" bestFit="1" customWidth="1"/>
    <col min="8184" max="8184" width="88.36328125" style="1" customWidth="1"/>
    <col min="8185" max="8185" width="13" style="1" customWidth="1"/>
    <col min="8186" max="8186" width="18" style="1" customWidth="1"/>
    <col min="8187" max="8187" width="17" style="1" customWidth="1"/>
    <col min="8188" max="8188" width="17.90625" style="1" customWidth="1"/>
    <col min="8189" max="8189" width="20.453125" style="1" customWidth="1"/>
    <col min="8190" max="8190" width="14.90625" style="1" customWidth="1"/>
    <col min="8191" max="8193" width="18.08984375" style="1" customWidth="1"/>
    <col min="8194" max="8194" width="20.453125" style="1" customWidth="1"/>
    <col min="8195" max="8195" width="14.08984375" style="1" bestFit="1" customWidth="1"/>
    <col min="8196" max="8196" width="10" style="1" bestFit="1" customWidth="1"/>
    <col min="8197" max="8438" width="9.08984375" style="1"/>
    <col min="8439" max="8439" width="7.6328125" style="1" bestFit="1" customWidth="1"/>
    <col min="8440" max="8440" width="88.36328125" style="1" customWidth="1"/>
    <col min="8441" max="8441" width="13" style="1" customWidth="1"/>
    <col min="8442" max="8442" width="18" style="1" customWidth="1"/>
    <col min="8443" max="8443" width="17" style="1" customWidth="1"/>
    <col min="8444" max="8444" width="17.90625" style="1" customWidth="1"/>
    <col min="8445" max="8445" width="20.453125" style="1" customWidth="1"/>
    <col min="8446" max="8446" width="14.90625" style="1" customWidth="1"/>
    <col min="8447" max="8449" width="18.08984375" style="1" customWidth="1"/>
    <col min="8450" max="8450" width="20.453125" style="1" customWidth="1"/>
    <col min="8451" max="8451" width="14.08984375" style="1" bestFit="1" customWidth="1"/>
    <col min="8452" max="8452" width="10" style="1" bestFit="1" customWidth="1"/>
    <col min="8453" max="8694" width="9.08984375" style="1"/>
    <col min="8695" max="8695" width="7.6328125" style="1" bestFit="1" customWidth="1"/>
    <col min="8696" max="8696" width="88.36328125" style="1" customWidth="1"/>
    <col min="8697" max="8697" width="13" style="1" customWidth="1"/>
    <col min="8698" max="8698" width="18" style="1" customWidth="1"/>
    <col min="8699" max="8699" width="17" style="1" customWidth="1"/>
    <col min="8700" max="8700" width="17.90625" style="1" customWidth="1"/>
    <col min="8701" max="8701" width="20.453125" style="1" customWidth="1"/>
    <col min="8702" max="8702" width="14.90625" style="1" customWidth="1"/>
    <col min="8703" max="8705" width="18.08984375" style="1" customWidth="1"/>
    <col min="8706" max="8706" width="20.453125" style="1" customWidth="1"/>
    <col min="8707" max="8707" width="14.08984375" style="1" bestFit="1" customWidth="1"/>
    <col min="8708" max="8708" width="10" style="1" bestFit="1" customWidth="1"/>
    <col min="8709" max="8950" width="9.08984375" style="1"/>
    <col min="8951" max="8951" width="7.6328125" style="1" bestFit="1" customWidth="1"/>
    <col min="8952" max="8952" width="88.36328125" style="1" customWidth="1"/>
    <col min="8953" max="8953" width="13" style="1" customWidth="1"/>
    <col min="8954" max="8954" width="18" style="1" customWidth="1"/>
    <col min="8955" max="8955" width="17" style="1" customWidth="1"/>
    <col min="8956" max="8956" width="17.90625" style="1" customWidth="1"/>
    <col min="8957" max="8957" width="20.453125" style="1" customWidth="1"/>
    <col min="8958" max="8958" width="14.90625" style="1" customWidth="1"/>
    <col min="8959" max="8961" width="18.08984375" style="1" customWidth="1"/>
    <col min="8962" max="8962" width="20.453125" style="1" customWidth="1"/>
    <col min="8963" max="8963" width="14.08984375" style="1" bestFit="1" customWidth="1"/>
    <col min="8964" max="8964" width="10" style="1" bestFit="1" customWidth="1"/>
    <col min="8965" max="9206" width="9.08984375" style="1"/>
    <col min="9207" max="9207" width="7.6328125" style="1" bestFit="1" customWidth="1"/>
    <col min="9208" max="9208" width="88.36328125" style="1" customWidth="1"/>
    <col min="9209" max="9209" width="13" style="1" customWidth="1"/>
    <col min="9210" max="9210" width="18" style="1" customWidth="1"/>
    <col min="9211" max="9211" width="17" style="1" customWidth="1"/>
    <col min="9212" max="9212" width="17.90625" style="1" customWidth="1"/>
    <col min="9213" max="9213" width="20.453125" style="1" customWidth="1"/>
    <col min="9214" max="9214" width="14.90625" style="1" customWidth="1"/>
    <col min="9215" max="9217" width="18.08984375" style="1" customWidth="1"/>
    <col min="9218" max="9218" width="20.453125" style="1" customWidth="1"/>
    <col min="9219" max="9219" width="14.08984375" style="1" bestFit="1" customWidth="1"/>
    <col min="9220" max="9220" width="10" style="1" bestFit="1" customWidth="1"/>
    <col min="9221" max="9462" width="9.08984375" style="1"/>
    <col min="9463" max="9463" width="7.6328125" style="1" bestFit="1" customWidth="1"/>
    <col min="9464" max="9464" width="88.36328125" style="1" customWidth="1"/>
    <col min="9465" max="9465" width="13" style="1" customWidth="1"/>
    <col min="9466" max="9466" width="18" style="1" customWidth="1"/>
    <col min="9467" max="9467" width="17" style="1" customWidth="1"/>
    <col min="9468" max="9468" width="17.90625" style="1" customWidth="1"/>
    <col min="9469" max="9469" width="20.453125" style="1" customWidth="1"/>
    <col min="9470" max="9470" width="14.90625" style="1" customWidth="1"/>
    <col min="9471" max="9473" width="18.08984375" style="1" customWidth="1"/>
    <col min="9474" max="9474" width="20.453125" style="1" customWidth="1"/>
    <col min="9475" max="9475" width="14.08984375" style="1" bestFit="1" customWidth="1"/>
    <col min="9476" max="9476" width="10" style="1" bestFit="1" customWidth="1"/>
    <col min="9477" max="9718" width="9.08984375" style="1"/>
    <col min="9719" max="9719" width="7.6328125" style="1" bestFit="1" customWidth="1"/>
    <col min="9720" max="9720" width="88.36328125" style="1" customWidth="1"/>
    <col min="9721" max="9721" width="13" style="1" customWidth="1"/>
    <col min="9722" max="9722" width="18" style="1" customWidth="1"/>
    <col min="9723" max="9723" width="17" style="1" customWidth="1"/>
    <col min="9724" max="9724" width="17.90625" style="1" customWidth="1"/>
    <col min="9725" max="9725" width="20.453125" style="1" customWidth="1"/>
    <col min="9726" max="9726" width="14.90625" style="1" customWidth="1"/>
    <col min="9727" max="9729" width="18.08984375" style="1" customWidth="1"/>
    <col min="9730" max="9730" width="20.453125" style="1" customWidth="1"/>
    <col min="9731" max="9731" width="14.08984375" style="1" bestFit="1" customWidth="1"/>
    <col min="9732" max="9732" width="10" style="1" bestFit="1" customWidth="1"/>
    <col min="9733" max="9974" width="9.08984375" style="1"/>
    <col min="9975" max="9975" width="7.6328125" style="1" bestFit="1" customWidth="1"/>
    <col min="9976" max="9976" width="88.36328125" style="1" customWidth="1"/>
    <col min="9977" max="9977" width="13" style="1" customWidth="1"/>
    <col min="9978" max="9978" width="18" style="1" customWidth="1"/>
    <col min="9979" max="9979" width="17" style="1" customWidth="1"/>
    <col min="9980" max="9980" width="17.90625" style="1" customWidth="1"/>
    <col min="9981" max="9981" width="20.453125" style="1" customWidth="1"/>
    <col min="9982" max="9982" width="14.90625" style="1" customWidth="1"/>
    <col min="9983" max="9985" width="18.08984375" style="1" customWidth="1"/>
    <col min="9986" max="9986" width="20.453125" style="1" customWidth="1"/>
    <col min="9987" max="9987" width="14.08984375" style="1" bestFit="1" customWidth="1"/>
    <col min="9988" max="9988" width="10" style="1" bestFit="1" customWidth="1"/>
    <col min="9989" max="10230" width="9.08984375" style="1"/>
    <col min="10231" max="10231" width="7.6328125" style="1" bestFit="1" customWidth="1"/>
    <col min="10232" max="10232" width="88.36328125" style="1" customWidth="1"/>
    <col min="10233" max="10233" width="13" style="1" customWidth="1"/>
    <col min="10234" max="10234" width="18" style="1" customWidth="1"/>
    <col min="10235" max="10235" width="17" style="1" customWidth="1"/>
    <col min="10236" max="10236" width="17.90625" style="1" customWidth="1"/>
    <col min="10237" max="10237" width="20.453125" style="1" customWidth="1"/>
    <col min="10238" max="10238" width="14.90625" style="1" customWidth="1"/>
    <col min="10239" max="10241" width="18.08984375" style="1" customWidth="1"/>
    <col min="10242" max="10242" width="20.453125" style="1" customWidth="1"/>
    <col min="10243" max="10243" width="14.08984375" style="1" bestFit="1" customWidth="1"/>
    <col min="10244" max="10244" width="10" style="1" bestFit="1" customWidth="1"/>
    <col min="10245" max="10486" width="9.08984375" style="1"/>
    <col min="10487" max="10487" width="7.6328125" style="1" bestFit="1" customWidth="1"/>
    <col min="10488" max="10488" width="88.36328125" style="1" customWidth="1"/>
    <col min="10489" max="10489" width="13" style="1" customWidth="1"/>
    <col min="10490" max="10490" width="18" style="1" customWidth="1"/>
    <col min="10491" max="10491" width="17" style="1" customWidth="1"/>
    <col min="10492" max="10492" width="17.90625" style="1" customWidth="1"/>
    <col min="10493" max="10493" width="20.453125" style="1" customWidth="1"/>
    <col min="10494" max="10494" width="14.90625" style="1" customWidth="1"/>
    <col min="10495" max="10497" width="18.08984375" style="1" customWidth="1"/>
    <col min="10498" max="10498" width="20.453125" style="1" customWidth="1"/>
    <col min="10499" max="10499" width="14.08984375" style="1" bestFit="1" customWidth="1"/>
    <col min="10500" max="10500" width="10" style="1" bestFit="1" customWidth="1"/>
    <col min="10501" max="10742" width="9.08984375" style="1"/>
    <col min="10743" max="10743" width="7.6328125" style="1" bestFit="1" customWidth="1"/>
    <col min="10744" max="10744" width="88.36328125" style="1" customWidth="1"/>
    <col min="10745" max="10745" width="13" style="1" customWidth="1"/>
    <col min="10746" max="10746" width="18" style="1" customWidth="1"/>
    <col min="10747" max="10747" width="17" style="1" customWidth="1"/>
    <col min="10748" max="10748" width="17.90625" style="1" customWidth="1"/>
    <col min="10749" max="10749" width="20.453125" style="1" customWidth="1"/>
    <col min="10750" max="10750" width="14.90625" style="1" customWidth="1"/>
    <col min="10751" max="10753" width="18.08984375" style="1" customWidth="1"/>
    <col min="10754" max="10754" width="20.453125" style="1" customWidth="1"/>
    <col min="10755" max="10755" width="14.08984375" style="1" bestFit="1" customWidth="1"/>
    <col min="10756" max="10756" width="10" style="1" bestFit="1" customWidth="1"/>
    <col min="10757" max="10998" width="9.08984375" style="1"/>
    <col min="10999" max="10999" width="7.6328125" style="1" bestFit="1" customWidth="1"/>
    <col min="11000" max="11000" width="88.36328125" style="1" customWidth="1"/>
    <col min="11001" max="11001" width="13" style="1" customWidth="1"/>
    <col min="11002" max="11002" width="18" style="1" customWidth="1"/>
    <col min="11003" max="11003" width="17" style="1" customWidth="1"/>
    <col min="11004" max="11004" width="17.90625" style="1" customWidth="1"/>
    <col min="11005" max="11005" width="20.453125" style="1" customWidth="1"/>
    <col min="11006" max="11006" width="14.90625" style="1" customWidth="1"/>
    <col min="11007" max="11009" width="18.08984375" style="1" customWidth="1"/>
    <col min="11010" max="11010" width="20.453125" style="1" customWidth="1"/>
    <col min="11011" max="11011" width="14.08984375" style="1" bestFit="1" customWidth="1"/>
    <col min="11012" max="11012" width="10" style="1" bestFit="1" customWidth="1"/>
    <col min="11013" max="11254" width="9.08984375" style="1"/>
    <col min="11255" max="11255" width="7.6328125" style="1" bestFit="1" customWidth="1"/>
    <col min="11256" max="11256" width="88.36328125" style="1" customWidth="1"/>
    <col min="11257" max="11257" width="13" style="1" customWidth="1"/>
    <col min="11258" max="11258" width="18" style="1" customWidth="1"/>
    <col min="11259" max="11259" width="17" style="1" customWidth="1"/>
    <col min="11260" max="11260" width="17.90625" style="1" customWidth="1"/>
    <col min="11261" max="11261" width="20.453125" style="1" customWidth="1"/>
    <col min="11262" max="11262" width="14.90625" style="1" customWidth="1"/>
    <col min="11263" max="11265" width="18.08984375" style="1" customWidth="1"/>
    <col min="11266" max="11266" width="20.453125" style="1" customWidth="1"/>
    <col min="11267" max="11267" width="14.08984375" style="1" bestFit="1" customWidth="1"/>
    <col min="11268" max="11268" width="10" style="1" bestFit="1" customWidth="1"/>
    <col min="11269" max="11510" width="9.08984375" style="1"/>
    <col min="11511" max="11511" width="7.6328125" style="1" bestFit="1" customWidth="1"/>
    <col min="11512" max="11512" width="88.36328125" style="1" customWidth="1"/>
    <col min="11513" max="11513" width="13" style="1" customWidth="1"/>
    <col min="11514" max="11514" width="18" style="1" customWidth="1"/>
    <col min="11515" max="11515" width="17" style="1" customWidth="1"/>
    <col min="11516" max="11516" width="17.90625" style="1" customWidth="1"/>
    <col min="11517" max="11517" width="20.453125" style="1" customWidth="1"/>
    <col min="11518" max="11518" width="14.90625" style="1" customWidth="1"/>
    <col min="11519" max="11521" width="18.08984375" style="1" customWidth="1"/>
    <col min="11522" max="11522" width="20.453125" style="1" customWidth="1"/>
    <col min="11523" max="11523" width="14.08984375" style="1" bestFit="1" customWidth="1"/>
    <col min="11524" max="11524" width="10" style="1" bestFit="1" customWidth="1"/>
    <col min="11525" max="11766" width="9.08984375" style="1"/>
    <col min="11767" max="11767" width="7.6328125" style="1" bestFit="1" customWidth="1"/>
    <col min="11768" max="11768" width="88.36328125" style="1" customWidth="1"/>
    <col min="11769" max="11769" width="13" style="1" customWidth="1"/>
    <col min="11770" max="11770" width="18" style="1" customWidth="1"/>
    <col min="11771" max="11771" width="17" style="1" customWidth="1"/>
    <col min="11772" max="11772" width="17.90625" style="1" customWidth="1"/>
    <col min="11773" max="11773" width="20.453125" style="1" customWidth="1"/>
    <col min="11774" max="11774" width="14.90625" style="1" customWidth="1"/>
    <col min="11775" max="11777" width="18.08984375" style="1" customWidth="1"/>
    <col min="11778" max="11778" width="20.453125" style="1" customWidth="1"/>
    <col min="11779" max="11779" width="14.08984375" style="1" bestFit="1" customWidth="1"/>
    <col min="11780" max="11780" width="10" style="1" bestFit="1" customWidth="1"/>
    <col min="11781" max="12022" width="9.08984375" style="1"/>
    <col min="12023" max="12023" width="7.6328125" style="1" bestFit="1" customWidth="1"/>
    <col min="12024" max="12024" width="88.36328125" style="1" customWidth="1"/>
    <col min="12025" max="12025" width="13" style="1" customWidth="1"/>
    <col min="12026" max="12026" width="18" style="1" customWidth="1"/>
    <col min="12027" max="12027" width="17" style="1" customWidth="1"/>
    <col min="12028" max="12028" width="17.90625" style="1" customWidth="1"/>
    <col min="12029" max="12029" width="20.453125" style="1" customWidth="1"/>
    <col min="12030" max="12030" width="14.90625" style="1" customWidth="1"/>
    <col min="12031" max="12033" width="18.08984375" style="1" customWidth="1"/>
    <col min="12034" max="12034" width="20.453125" style="1" customWidth="1"/>
    <col min="12035" max="12035" width="14.08984375" style="1" bestFit="1" customWidth="1"/>
    <col min="12036" max="12036" width="10" style="1" bestFit="1" customWidth="1"/>
    <col min="12037" max="12278" width="9.08984375" style="1"/>
    <col min="12279" max="12279" width="7.6328125" style="1" bestFit="1" customWidth="1"/>
    <col min="12280" max="12280" width="88.36328125" style="1" customWidth="1"/>
    <col min="12281" max="12281" width="13" style="1" customWidth="1"/>
    <col min="12282" max="12282" width="18" style="1" customWidth="1"/>
    <col min="12283" max="12283" width="17" style="1" customWidth="1"/>
    <col min="12284" max="12284" width="17.90625" style="1" customWidth="1"/>
    <col min="12285" max="12285" width="20.453125" style="1" customWidth="1"/>
    <col min="12286" max="12286" width="14.90625" style="1" customWidth="1"/>
    <col min="12287" max="12289" width="18.08984375" style="1" customWidth="1"/>
    <col min="12290" max="12290" width="20.453125" style="1" customWidth="1"/>
    <col min="12291" max="12291" width="14.08984375" style="1" bestFit="1" customWidth="1"/>
    <col min="12292" max="12292" width="10" style="1" bestFit="1" customWidth="1"/>
    <col min="12293" max="12534" width="9.08984375" style="1"/>
    <col min="12535" max="12535" width="7.6328125" style="1" bestFit="1" customWidth="1"/>
    <col min="12536" max="12536" width="88.36328125" style="1" customWidth="1"/>
    <col min="12537" max="12537" width="13" style="1" customWidth="1"/>
    <col min="12538" max="12538" width="18" style="1" customWidth="1"/>
    <col min="12539" max="12539" width="17" style="1" customWidth="1"/>
    <col min="12540" max="12540" width="17.90625" style="1" customWidth="1"/>
    <col min="12541" max="12541" width="20.453125" style="1" customWidth="1"/>
    <col min="12542" max="12542" width="14.90625" style="1" customWidth="1"/>
    <col min="12543" max="12545" width="18.08984375" style="1" customWidth="1"/>
    <col min="12546" max="12546" width="20.453125" style="1" customWidth="1"/>
    <col min="12547" max="12547" width="14.08984375" style="1" bestFit="1" customWidth="1"/>
    <col min="12548" max="12548" width="10" style="1" bestFit="1" customWidth="1"/>
    <col min="12549" max="12790" width="9.08984375" style="1"/>
    <col min="12791" max="12791" width="7.6328125" style="1" bestFit="1" customWidth="1"/>
    <col min="12792" max="12792" width="88.36328125" style="1" customWidth="1"/>
    <col min="12793" max="12793" width="13" style="1" customWidth="1"/>
    <col min="12794" max="12794" width="18" style="1" customWidth="1"/>
    <col min="12795" max="12795" width="17" style="1" customWidth="1"/>
    <col min="12796" max="12796" width="17.90625" style="1" customWidth="1"/>
    <col min="12797" max="12797" width="20.453125" style="1" customWidth="1"/>
    <col min="12798" max="12798" width="14.90625" style="1" customWidth="1"/>
    <col min="12799" max="12801" width="18.08984375" style="1" customWidth="1"/>
    <col min="12802" max="12802" width="20.453125" style="1" customWidth="1"/>
    <col min="12803" max="12803" width="14.08984375" style="1" bestFit="1" customWidth="1"/>
    <col min="12804" max="12804" width="10" style="1" bestFit="1" customWidth="1"/>
    <col min="12805" max="13046" width="9.08984375" style="1"/>
    <col min="13047" max="13047" width="7.6328125" style="1" bestFit="1" customWidth="1"/>
    <col min="13048" max="13048" width="88.36328125" style="1" customWidth="1"/>
    <col min="13049" max="13049" width="13" style="1" customWidth="1"/>
    <col min="13050" max="13050" width="18" style="1" customWidth="1"/>
    <col min="13051" max="13051" width="17" style="1" customWidth="1"/>
    <col min="13052" max="13052" width="17.90625" style="1" customWidth="1"/>
    <col min="13053" max="13053" width="20.453125" style="1" customWidth="1"/>
    <col min="13054" max="13054" width="14.90625" style="1" customWidth="1"/>
    <col min="13055" max="13057" width="18.08984375" style="1" customWidth="1"/>
    <col min="13058" max="13058" width="20.453125" style="1" customWidth="1"/>
    <col min="13059" max="13059" width="14.08984375" style="1" bestFit="1" customWidth="1"/>
    <col min="13060" max="13060" width="10" style="1" bestFit="1" customWidth="1"/>
    <col min="13061" max="13302" width="9.08984375" style="1"/>
    <col min="13303" max="13303" width="7.6328125" style="1" bestFit="1" customWidth="1"/>
    <col min="13304" max="13304" width="88.36328125" style="1" customWidth="1"/>
    <col min="13305" max="13305" width="13" style="1" customWidth="1"/>
    <col min="13306" max="13306" width="18" style="1" customWidth="1"/>
    <col min="13307" max="13307" width="17" style="1" customWidth="1"/>
    <col min="13308" max="13308" width="17.90625" style="1" customWidth="1"/>
    <col min="13309" max="13309" width="20.453125" style="1" customWidth="1"/>
    <col min="13310" max="13310" width="14.90625" style="1" customWidth="1"/>
    <col min="13311" max="13313" width="18.08984375" style="1" customWidth="1"/>
    <col min="13314" max="13314" width="20.453125" style="1" customWidth="1"/>
    <col min="13315" max="13315" width="14.08984375" style="1" bestFit="1" customWidth="1"/>
    <col min="13316" max="13316" width="10" style="1" bestFit="1" customWidth="1"/>
    <col min="13317" max="13558" width="9.08984375" style="1"/>
    <col min="13559" max="13559" width="7.6328125" style="1" bestFit="1" customWidth="1"/>
    <col min="13560" max="13560" width="88.36328125" style="1" customWidth="1"/>
    <col min="13561" max="13561" width="13" style="1" customWidth="1"/>
    <col min="13562" max="13562" width="18" style="1" customWidth="1"/>
    <col min="13563" max="13563" width="17" style="1" customWidth="1"/>
    <col min="13564" max="13564" width="17.90625" style="1" customWidth="1"/>
    <col min="13565" max="13565" width="20.453125" style="1" customWidth="1"/>
    <col min="13566" max="13566" width="14.90625" style="1" customWidth="1"/>
    <col min="13567" max="13569" width="18.08984375" style="1" customWidth="1"/>
    <col min="13570" max="13570" width="20.453125" style="1" customWidth="1"/>
    <col min="13571" max="13571" width="14.08984375" style="1" bestFit="1" customWidth="1"/>
    <col min="13572" max="13572" width="10" style="1" bestFit="1" customWidth="1"/>
    <col min="13573" max="13814" width="9.08984375" style="1"/>
    <col min="13815" max="13815" width="7.6328125" style="1" bestFit="1" customWidth="1"/>
    <col min="13816" max="13816" width="88.36328125" style="1" customWidth="1"/>
    <col min="13817" max="13817" width="13" style="1" customWidth="1"/>
    <col min="13818" max="13818" width="18" style="1" customWidth="1"/>
    <col min="13819" max="13819" width="17" style="1" customWidth="1"/>
    <col min="13820" max="13820" width="17.90625" style="1" customWidth="1"/>
    <col min="13821" max="13821" width="20.453125" style="1" customWidth="1"/>
    <col min="13822" max="13822" width="14.90625" style="1" customWidth="1"/>
    <col min="13823" max="13825" width="18.08984375" style="1" customWidth="1"/>
    <col min="13826" max="13826" width="20.453125" style="1" customWidth="1"/>
    <col min="13827" max="13827" width="14.08984375" style="1" bestFit="1" customWidth="1"/>
    <col min="13828" max="13828" width="10" style="1" bestFit="1" customWidth="1"/>
    <col min="13829" max="14070" width="9.08984375" style="1"/>
    <col min="14071" max="14071" width="7.6328125" style="1" bestFit="1" customWidth="1"/>
    <col min="14072" max="14072" width="88.36328125" style="1" customWidth="1"/>
    <col min="14073" max="14073" width="13" style="1" customWidth="1"/>
    <col min="14074" max="14074" width="18" style="1" customWidth="1"/>
    <col min="14075" max="14075" width="17" style="1" customWidth="1"/>
    <col min="14076" max="14076" width="17.90625" style="1" customWidth="1"/>
    <col min="14077" max="14077" width="20.453125" style="1" customWidth="1"/>
    <col min="14078" max="14078" width="14.90625" style="1" customWidth="1"/>
    <col min="14079" max="14081" width="18.08984375" style="1" customWidth="1"/>
    <col min="14082" max="14082" width="20.453125" style="1" customWidth="1"/>
    <col min="14083" max="14083" width="14.08984375" style="1" bestFit="1" customWidth="1"/>
    <col min="14084" max="14084" width="10" style="1" bestFit="1" customWidth="1"/>
    <col min="14085" max="14326" width="9.08984375" style="1"/>
    <col min="14327" max="14327" width="7.6328125" style="1" bestFit="1" customWidth="1"/>
    <col min="14328" max="14328" width="88.36328125" style="1" customWidth="1"/>
    <col min="14329" max="14329" width="13" style="1" customWidth="1"/>
    <col min="14330" max="14330" width="18" style="1" customWidth="1"/>
    <col min="14331" max="14331" width="17" style="1" customWidth="1"/>
    <col min="14332" max="14332" width="17.90625" style="1" customWidth="1"/>
    <col min="14333" max="14333" width="20.453125" style="1" customWidth="1"/>
    <col min="14334" max="14334" width="14.90625" style="1" customWidth="1"/>
    <col min="14335" max="14337" width="18.08984375" style="1" customWidth="1"/>
    <col min="14338" max="14338" width="20.453125" style="1" customWidth="1"/>
    <col min="14339" max="14339" width="14.08984375" style="1" bestFit="1" customWidth="1"/>
    <col min="14340" max="14340" width="10" style="1" bestFit="1" customWidth="1"/>
    <col min="14341" max="14582" width="9.08984375" style="1"/>
    <col min="14583" max="14583" width="7.6328125" style="1" bestFit="1" customWidth="1"/>
    <col min="14584" max="14584" width="88.36328125" style="1" customWidth="1"/>
    <col min="14585" max="14585" width="13" style="1" customWidth="1"/>
    <col min="14586" max="14586" width="18" style="1" customWidth="1"/>
    <col min="14587" max="14587" width="17" style="1" customWidth="1"/>
    <col min="14588" max="14588" width="17.90625" style="1" customWidth="1"/>
    <col min="14589" max="14589" width="20.453125" style="1" customWidth="1"/>
    <col min="14590" max="14590" width="14.90625" style="1" customWidth="1"/>
    <col min="14591" max="14593" width="18.08984375" style="1" customWidth="1"/>
    <col min="14594" max="14594" width="20.453125" style="1" customWidth="1"/>
    <col min="14595" max="14595" width="14.08984375" style="1" bestFit="1" customWidth="1"/>
    <col min="14596" max="14596" width="10" style="1" bestFit="1" customWidth="1"/>
    <col min="14597" max="14838" width="9.08984375" style="1"/>
    <col min="14839" max="14839" width="7.6328125" style="1" bestFit="1" customWidth="1"/>
    <col min="14840" max="14840" width="88.36328125" style="1" customWidth="1"/>
    <col min="14841" max="14841" width="13" style="1" customWidth="1"/>
    <col min="14842" max="14842" width="18" style="1" customWidth="1"/>
    <col min="14843" max="14843" width="17" style="1" customWidth="1"/>
    <col min="14844" max="14844" width="17.90625" style="1" customWidth="1"/>
    <col min="14845" max="14845" width="20.453125" style="1" customWidth="1"/>
    <col min="14846" max="14846" width="14.90625" style="1" customWidth="1"/>
    <col min="14847" max="14849" width="18.08984375" style="1" customWidth="1"/>
    <col min="14850" max="14850" width="20.453125" style="1" customWidth="1"/>
    <col min="14851" max="14851" width="14.08984375" style="1" bestFit="1" customWidth="1"/>
    <col min="14852" max="14852" width="10" style="1" bestFit="1" customWidth="1"/>
    <col min="14853" max="15094" width="9.08984375" style="1"/>
    <col min="15095" max="15095" width="7.6328125" style="1" bestFit="1" customWidth="1"/>
    <col min="15096" max="15096" width="88.36328125" style="1" customWidth="1"/>
    <col min="15097" max="15097" width="13" style="1" customWidth="1"/>
    <col min="15098" max="15098" width="18" style="1" customWidth="1"/>
    <col min="15099" max="15099" width="17" style="1" customWidth="1"/>
    <col min="15100" max="15100" width="17.90625" style="1" customWidth="1"/>
    <col min="15101" max="15101" width="20.453125" style="1" customWidth="1"/>
    <col min="15102" max="15102" width="14.90625" style="1" customWidth="1"/>
    <col min="15103" max="15105" width="18.08984375" style="1" customWidth="1"/>
    <col min="15106" max="15106" width="20.453125" style="1" customWidth="1"/>
    <col min="15107" max="15107" width="14.08984375" style="1" bestFit="1" customWidth="1"/>
    <col min="15108" max="15108" width="10" style="1" bestFit="1" customWidth="1"/>
    <col min="15109" max="15350" width="9.08984375" style="1"/>
    <col min="15351" max="15351" width="7.6328125" style="1" bestFit="1" customWidth="1"/>
    <col min="15352" max="15352" width="88.36328125" style="1" customWidth="1"/>
    <col min="15353" max="15353" width="13" style="1" customWidth="1"/>
    <col min="15354" max="15354" width="18" style="1" customWidth="1"/>
    <col min="15355" max="15355" width="17" style="1" customWidth="1"/>
    <col min="15356" max="15356" width="17.90625" style="1" customWidth="1"/>
    <col min="15357" max="15357" width="20.453125" style="1" customWidth="1"/>
    <col min="15358" max="15358" width="14.90625" style="1" customWidth="1"/>
    <col min="15359" max="15361" width="18.08984375" style="1" customWidth="1"/>
    <col min="15362" max="15362" width="20.453125" style="1" customWidth="1"/>
    <col min="15363" max="15363" width="14.08984375" style="1" bestFit="1" customWidth="1"/>
    <col min="15364" max="15364" width="10" style="1" bestFit="1" customWidth="1"/>
    <col min="15365" max="15606" width="9.08984375" style="1"/>
    <col min="15607" max="15607" width="7.6328125" style="1" bestFit="1" customWidth="1"/>
    <col min="15608" max="15608" width="88.36328125" style="1" customWidth="1"/>
    <col min="15609" max="15609" width="13" style="1" customWidth="1"/>
    <col min="15610" max="15610" width="18" style="1" customWidth="1"/>
    <col min="15611" max="15611" width="17" style="1" customWidth="1"/>
    <col min="15612" max="15612" width="17.90625" style="1" customWidth="1"/>
    <col min="15613" max="15613" width="20.453125" style="1" customWidth="1"/>
    <col min="15614" max="15614" width="14.90625" style="1" customWidth="1"/>
    <col min="15615" max="15617" width="18.08984375" style="1" customWidth="1"/>
    <col min="15618" max="15618" width="20.453125" style="1" customWidth="1"/>
    <col min="15619" max="15619" width="14.08984375" style="1" bestFit="1" customWidth="1"/>
    <col min="15620" max="15620" width="10" style="1" bestFit="1" customWidth="1"/>
    <col min="15621" max="15862" width="9.08984375" style="1"/>
    <col min="15863" max="15863" width="7.6328125" style="1" bestFit="1" customWidth="1"/>
    <col min="15864" max="15864" width="88.36328125" style="1" customWidth="1"/>
    <col min="15865" max="15865" width="13" style="1" customWidth="1"/>
    <col min="15866" max="15866" width="18" style="1" customWidth="1"/>
    <col min="15867" max="15867" width="17" style="1" customWidth="1"/>
    <col min="15868" max="15868" width="17.90625" style="1" customWidth="1"/>
    <col min="15869" max="15869" width="20.453125" style="1" customWidth="1"/>
    <col min="15870" max="15870" width="14.90625" style="1" customWidth="1"/>
    <col min="15871" max="15873" width="18.08984375" style="1" customWidth="1"/>
    <col min="15874" max="15874" width="20.453125" style="1" customWidth="1"/>
    <col min="15875" max="15875" width="14.08984375" style="1" bestFit="1" customWidth="1"/>
    <col min="15876" max="15876" width="10" style="1" bestFit="1" customWidth="1"/>
    <col min="15877" max="16118" width="9.08984375" style="1"/>
    <col min="16119" max="16119" width="7.6328125" style="1" bestFit="1" customWidth="1"/>
    <col min="16120" max="16120" width="88.36328125" style="1" customWidth="1"/>
    <col min="16121" max="16121" width="13" style="1" customWidth="1"/>
    <col min="16122" max="16122" width="18" style="1" customWidth="1"/>
    <col min="16123" max="16123" width="17" style="1" customWidth="1"/>
    <col min="16124" max="16124" width="17.90625" style="1" customWidth="1"/>
    <col min="16125" max="16125" width="20.453125" style="1" customWidth="1"/>
    <col min="16126" max="16126" width="14.90625" style="1" customWidth="1"/>
    <col min="16127" max="16129" width="18.08984375" style="1" customWidth="1"/>
    <col min="16130" max="16130" width="20.453125" style="1" customWidth="1"/>
    <col min="16131" max="16131" width="14.08984375" style="1" bestFit="1" customWidth="1"/>
    <col min="16132" max="16132" width="10" style="1" bestFit="1" customWidth="1"/>
    <col min="16133" max="16374" width="9.08984375" style="1"/>
    <col min="16375" max="16384" width="9.08984375" style="1" customWidth="1"/>
  </cols>
  <sheetData>
    <row r="1" spans="1:9" s="29" customFormat="1" x14ac:dyDescent="0.25">
      <c r="A1" s="26" t="s">
        <v>7</v>
      </c>
      <c r="B1" s="27"/>
      <c r="C1" s="27"/>
      <c r="D1" s="79"/>
      <c r="E1" s="27"/>
      <c r="F1" s="27"/>
      <c r="G1" s="27"/>
      <c r="H1" s="27"/>
      <c r="I1" s="28"/>
    </row>
    <row r="2" spans="1:9" s="29" customFormat="1" x14ac:dyDescent="0.25">
      <c r="A2" s="26" t="str">
        <f>'Items 1,2,3-Construction Works'!A2</f>
        <v>TENDER NO. :   D-111808</v>
      </c>
      <c r="B2" s="27"/>
      <c r="C2" s="27"/>
      <c r="D2" s="79"/>
      <c r="E2" s="27"/>
      <c r="F2" s="27"/>
      <c r="G2" s="27"/>
      <c r="H2" s="27"/>
      <c r="I2" s="28"/>
    </row>
    <row r="3" spans="1:9" s="29" customFormat="1" x14ac:dyDescent="0.25">
      <c r="A3" s="26" t="str">
        <f>'Items 1,2,3-Construction Works'!A3</f>
        <v>CONSTRUCTION WORKS FOR REPLACEMENT OF SHBPRY, SMHPRY AND DRPRY SUBSTATION IN EASTERN REGION</v>
      </c>
      <c r="C3" s="28"/>
      <c r="D3" s="80"/>
      <c r="E3" s="26"/>
      <c r="F3" s="26"/>
      <c r="G3" s="26"/>
      <c r="H3" s="26"/>
      <c r="I3" s="26"/>
    </row>
    <row r="4" spans="1:9" s="29" customFormat="1" ht="27.75" customHeight="1" x14ac:dyDescent="0.25">
      <c r="A4" s="30" t="str">
        <f>'Items 1,2,3-Construction Works'!A4</f>
        <v>LOT 1: SHOBAISI PRY (SHBPRY)</v>
      </c>
      <c r="C4" s="27"/>
      <c r="D4" s="79"/>
      <c r="E4" s="191"/>
      <c r="F4" s="191"/>
      <c r="G4" s="191"/>
      <c r="H4" s="191"/>
      <c r="I4" s="191"/>
    </row>
    <row r="5" spans="1:9" s="29" customFormat="1" ht="42" customHeight="1" x14ac:dyDescent="0.25">
      <c r="A5" s="199" t="s">
        <v>8</v>
      </c>
      <c r="B5" s="192" t="s">
        <v>0</v>
      </c>
      <c r="C5" s="192" t="s">
        <v>1</v>
      </c>
      <c r="D5" s="240" t="s">
        <v>9</v>
      </c>
      <c r="E5" s="192" t="s">
        <v>10</v>
      </c>
      <c r="F5" s="192"/>
      <c r="G5" s="192" t="s">
        <v>11</v>
      </c>
      <c r="H5" s="192"/>
      <c r="I5" s="126" t="s">
        <v>12</v>
      </c>
    </row>
    <row r="6" spans="1:9" s="29" customFormat="1" ht="10.5" customHeight="1" x14ac:dyDescent="0.25">
      <c r="A6" s="200"/>
      <c r="B6" s="192"/>
      <c r="C6" s="192"/>
      <c r="D6" s="240"/>
      <c r="E6" s="192" t="s">
        <v>13</v>
      </c>
      <c r="F6" s="192" t="s">
        <v>14</v>
      </c>
      <c r="G6" s="192" t="s">
        <v>15</v>
      </c>
      <c r="H6" s="192" t="s">
        <v>16</v>
      </c>
      <c r="I6" s="126"/>
    </row>
    <row r="7" spans="1:9" s="29" customFormat="1" ht="21.75" customHeight="1" x14ac:dyDescent="0.25">
      <c r="A7" s="201"/>
      <c r="B7" s="192"/>
      <c r="C7" s="192"/>
      <c r="D7" s="240"/>
      <c r="E7" s="192"/>
      <c r="F7" s="192"/>
      <c r="G7" s="192"/>
      <c r="H7" s="192"/>
      <c r="I7" s="126" t="s">
        <v>17</v>
      </c>
    </row>
    <row r="8" spans="1:9" ht="121" customHeight="1" x14ac:dyDescent="0.25">
      <c r="A8" s="31"/>
      <c r="B8" s="32" t="s">
        <v>18</v>
      </c>
      <c r="C8" s="33"/>
      <c r="D8" s="81"/>
      <c r="E8" s="61"/>
      <c r="F8" s="34"/>
      <c r="G8" s="61"/>
      <c r="H8" s="34"/>
      <c r="I8" s="33"/>
    </row>
    <row r="9" spans="1:9" ht="54" customHeight="1" x14ac:dyDescent="0.25">
      <c r="A9" s="64">
        <v>4</v>
      </c>
      <c r="B9" s="65" t="s">
        <v>737</v>
      </c>
      <c r="C9" s="38"/>
      <c r="D9" s="82"/>
      <c r="E9" s="63"/>
      <c r="F9" s="38"/>
      <c r="G9" s="63"/>
      <c r="H9" s="38"/>
      <c r="I9" s="38"/>
    </row>
    <row r="10" spans="1:9" x14ac:dyDescent="0.25">
      <c r="A10" s="75">
        <v>4.0999999999999996</v>
      </c>
      <c r="B10" s="3" t="s">
        <v>109</v>
      </c>
      <c r="C10" s="40"/>
      <c r="D10" s="83"/>
      <c r="E10" s="5"/>
      <c r="F10" s="40"/>
      <c r="G10" s="5"/>
      <c r="H10" s="40"/>
      <c r="I10" s="40"/>
    </row>
    <row r="11" spans="1:9" x14ac:dyDescent="0.25">
      <c r="A11" s="237">
        <v>4.2</v>
      </c>
      <c r="B11" s="2" t="s">
        <v>63</v>
      </c>
      <c r="C11" s="41"/>
      <c r="D11" s="84"/>
      <c r="E11" s="23"/>
      <c r="F11" s="91"/>
      <c r="G11" s="22"/>
      <c r="H11" s="50"/>
      <c r="I11" s="40"/>
    </row>
    <row r="12" spans="1:9" ht="36" x14ac:dyDescent="0.25">
      <c r="A12" s="238"/>
      <c r="B12" s="3" t="s">
        <v>738</v>
      </c>
      <c r="C12" s="41"/>
      <c r="D12" s="84"/>
      <c r="E12" s="23"/>
      <c r="F12" s="91"/>
      <c r="G12" s="22"/>
      <c r="H12" s="50"/>
      <c r="I12" s="40"/>
    </row>
    <row r="13" spans="1:9" ht="54" x14ac:dyDescent="0.25">
      <c r="A13" s="74" t="s">
        <v>110</v>
      </c>
      <c r="B13" s="3" t="s">
        <v>739</v>
      </c>
      <c r="C13" s="41" t="s">
        <v>3</v>
      </c>
      <c r="D13" s="84">
        <v>1570</v>
      </c>
      <c r="E13" s="150">
        <v>0</v>
      </c>
      <c r="F13" s="151">
        <f t="shared" ref="F13" si="0">D13*E13</f>
        <v>0</v>
      </c>
      <c r="G13" s="152">
        <v>108</v>
      </c>
      <c r="H13" s="153">
        <f t="shared" ref="H13" si="1">D13*G13</f>
        <v>169560</v>
      </c>
      <c r="I13" s="154">
        <f t="shared" ref="I13" si="2">F13+H13</f>
        <v>169560</v>
      </c>
    </row>
    <row r="14" spans="1:9" ht="50.5" customHeight="1" x14ac:dyDescent="0.25">
      <c r="A14" s="74" t="s">
        <v>111</v>
      </c>
      <c r="B14" s="3" t="s">
        <v>700</v>
      </c>
      <c r="C14" s="41" t="s">
        <v>29</v>
      </c>
      <c r="D14" s="84">
        <v>3</v>
      </c>
      <c r="E14" s="151" t="s">
        <v>699</v>
      </c>
      <c r="F14" s="151"/>
      <c r="G14" s="152">
        <v>1730</v>
      </c>
      <c r="H14" s="153">
        <f t="shared" ref="H14:H16" si="3">D14*G14</f>
        <v>5190</v>
      </c>
      <c r="I14" s="154">
        <f t="shared" ref="I14:I16" si="4">F14+H14</f>
        <v>5190</v>
      </c>
    </row>
    <row r="15" spans="1:9" ht="73" customHeight="1" x14ac:dyDescent="0.25">
      <c r="A15" s="74" t="s">
        <v>112</v>
      </c>
      <c r="B15" s="3" t="s">
        <v>161</v>
      </c>
      <c r="C15" s="41" t="s">
        <v>29</v>
      </c>
      <c r="D15" s="84">
        <v>2</v>
      </c>
      <c r="E15" s="150">
        <v>0</v>
      </c>
      <c r="F15" s="151">
        <f t="shared" ref="F15:F16" si="5">D15*E15</f>
        <v>0</v>
      </c>
      <c r="G15" s="152">
        <v>1150</v>
      </c>
      <c r="H15" s="153">
        <f t="shared" si="3"/>
        <v>2300</v>
      </c>
      <c r="I15" s="154">
        <f t="shared" si="4"/>
        <v>2300</v>
      </c>
    </row>
    <row r="16" spans="1:9" ht="66" customHeight="1" x14ac:dyDescent="0.25">
      <c r="A16" s="74" t="s">
        <v>113</v>
      </c>
      <c r="B16" s="3" t="s">
        <v>746</v>
      </c>
      <c r="C16" s="41" t="s">
        <v>29</v>
      </c>
      <c r="D16" s="84">
        <v>1</v>
      </c>
      <c r="E16" s="150">
        <v>0</v>
      </c>
      <c r="F16" s="151">
        <f t="shared" si="5"/>
        <v>0</v>
      </c>
      <c r="G16" s="152">
        <v>1150</v>
      </c>
      <c r="H16" s="153">
        <f t="shared" si="3"/>
        <v>1150</v>
      </c>
      <c r="I16" s="154">
        <f t="shared" si="4"/>
        <v>1150</v>
      </c>
    </row>
    <row r="17" spans="1:9" ht="64.5" customHeight="1" x14ac:dyDescent="0.25">
      <c r="A17" s="74" t="s">
        <v>706</v>
      </c>
      <c r="B17" s="3" t="s">
        <v>751</v>
      </c>
      <c r="C17" s="41" t="s">
        <v>29</v>
      </c>
      <c r="D17" s="84">
        <v>2</v>
      </c>
      <c r="E17" s="150">
        <v>1150</v>
      </c>
      <c r="F17" s="151">
        <f t="shared" ref="F17" si="6">D17*E17</f>
        <v>2300</v>
      </c>
      <c r="G17" s="152">
        <v>400</v>
      </c>
      <c r="H17" s="153">
        <f t="shared" ref="H17" si="7">D17*G17</f>
        <v>800</v>
      </c>
      <c r="I17" s="154">
        <f t="shared" ref="I17" si="8">F17+H17</f>
        <v>3100</v>
      </c>
    </row>
    <row r="18" spans="1:9" ht="27.75" customHeight="1" x14ac:dyDescent="0.25">
      <c r="A18" s="237">
        <v>4.3</v>
      </c>
      <c r="B18" s="2" t="s">
        <v>67</v>
      </c>
      <c r="C18" s="41"/>
      <c r="D18" s="84"/>
      <c r="E18" s="150"/>
      <c r="F18" s="151"/>
      <c r="G18" s="152"/>
      <c r="H18" s="153"/>
      <c r="I18" s="154"/>
    </row>
    <row r="19" spans="1:9" ht="36" x14ac:dyDescent="0.25">
      <c r="A19" s="238"/>
      <c r="B19" s="3" t="s">
        <v>740</v>
      </c>
      <c r="C19" s="41"/>
      <c r="D19" s="84"/>
      <c r="E19" s="150"/>
      <c r="F19" s="151"/>
      <c r="G19" s="152"/>
      <c r="H19" s="153"/>
      <c r="I19" s="154"/>
    </row>
    <row r="20" spans="1:9" ht="54" x14ac:dyDescent="0.25">
      <c r="A20" s="74" t="s">
        <v>114</v>
      </c>
      <c r="B20" s="3" t="s">
        <v>162</v>
      </c>
      <c r="C20" s="41" t="s">
        <v>3</v>
      </c>
      <c r="D20" s="84">
        <v>10485</v>
      </c>
      <c r="E20" s="150">
        <v>0</v>
      </c>
      <c r="F20" s="151">
        <f t="shared" ref="F20:F24" si="9">D20*E20</f>
        <v>0</v>
      </c>
      <c r="G20" s="152">
        <v>108</v>
      </c>
      <c r="H20" s="153">
        <f t="shared" ref="H20:H24" si="10">D20*G20</f>
        <v>1132380</v>
      </c>
      <c r="I20" s="154">
        <f t="shared" ref="I20:I24" si="11">F20+H20</f>
        <v>1132380</v>
      </c>
    </row>
    <row r="21" spans="1:9" ht="54" x14ac:dyDescent="0.25">
      <c r="A21" s="74" t="s">
        <v>115</v>
      </c>
      <c r="B21" s="3" t="s">
        <v>701</v>
      </c>
      <c r="C21" s="41" t="s">
        <v>29</v>
      </c>
      <c r="D21" s="84">
        <v>13</v>
      </c>
      <c r="E21" s="151" t="s">
        <v>702</v>
      </c>
      <c r="F21" s="151"/>
      <c r="G21" s="152">
        <v>1730</v>
      </c>
      <c r="H21" s="153">
        <f t="shared" si="10"/>
        <v>22490</v>
      </c>
      <c r="I21" s="154">
        <f t="shared" si="11"/>
        <v>22490</v>
      </c>
    </row>
    <row r="22" spans="1:9" ht="54" x14ac:dyDescent="0.25">
      <c r="A22" s="74" t="s">
        <v>116</v>
      </c>
      <c r="B22" s="3" t="s">
        <v>713</v>
      </c>
      <c r="C22" s="41" t="s">
        <v>29</v>
      </c>
      <c r="D22" s="84">
        <v>5</v>
      </c>
      <c r="E22" s="150">
        <v>0</v>
      </c>
      <c r="F22" s="151">
        <f t="shared" ref="F22" si="12">D22*E22</f>
        <v>0</v>
      </c>
      <c r="G22" s="152">
        <v>1730</v>
      </c>
      <c r="H22" s="153">
        <f t="shared" ref="H22" si="13">D22*G22</f>
        <v>8650</v>
      </c>
      <c r="I22" s="154">
        <f t="shared" ref="I22" si="14">F22+H22</f>
        <v>8650</v>
      </c>
    </row>
    <row r="23" spans="1:9" ht="54" x14ac:dyDescent="0.25">
      <c r="A23" s="74" t="s">
        <v>117</v>
      </c>
      <c r="B23" s="3" t="s">
        <v>163</v>
      </c>
      <c r="C23" s="41" t="s">
        <v>29</v>
      </c>
      <c r="D23" s="84">
        <v>20</v>
      </c>
      <c r="E23" s="150">
        <v>0</v>
      </c>
      <c r="F23" s="151">
        <f t="shared" si="9"/>
        <v>0</v>
      </c>
      <c r="G23" s="152">
        <v>1150</v>
      </c>
      <c r="H23" s="153">
        <f t="shared" si="10"/>
        <v>23000</v>
      </c>
      <c r="I23" s="154">
        <f t="shared" si="11"/>
        <v>23000</v>
      </c>
    </row>
    <row r="24" spans="1:9" ht="72" x14ac:dyDescent="0.25">
      <c r="A24" s="74" t="s">
        <v>712</v>
      </c>
      <c r="B24" s="3" t="s">
        <v>164</v>
      </c>
      <c r="C24" s="41" t="s">
        <v>29</v>
      </c>
      <c r="D24" s="84">
        <v>12</v>
      </c>
      <c r="E24" s="150">
        <v>0</v>
      </c>
      <c r="F24" s="151">
        <f t="shared" si="9"/>
        <v>0</v>
      </c>
      <c r="G24" s="152">
        <v>1150</v>
      </c>
      <c r="H24" s="153">
        <f t="shared" si="10"/>
        <v>13800</v>
      </c>
      <c r="I24" s="154">
        <f t="shared" si="11"/>
        <v>13800</v>
      </c>
    </row>
    <row r="25" spans="1:9" x14ac:dyDescent="0.25">
      <c r="A25" s="237">
        <v>4.4000000000000004</v>
      </c>
      <c r="B25" s="2" t="s">
        <v>283</v>
      </c>
      <c r="C25" s="41"/>
      <c r="D25" s="84"/>
      <c r="E25" s="150"/>
      <c r="F25" s="151"/>
      <c r="G25" s="152"/>
      <c r="H25" s="153"/>
      <c r="I25" s="154"/>
    </row>
    <row r="26" spans="1:9" ht="36" x14ac:dyDescent="0.25">
      <c r="A26" s="238"/>
      <c r="B26" s="3" t="s">
        <v>741</v>
      </c>
      <c r="C26" s="41"/>
      <c r="D26" s="84"/>
      <c r="E26" s="150"/>
      <c r="F26" s="151"/>
      <c r="G26" s="152"/>
      <c r="H26" s="153"/>
      <c r="I26" s="154"/>
    </row>
    <row r="27" spans="1:9" ht="36" x14ac:dyDescent="0.25">
      <c r="A27" s="129" t="s">
        <v>118</v>
      </c>
      <c r="B27" s="3" t="s">
        <v>715</v>
      </c>
      <c r="C27" s="41" t="s">
        <v>3</v>
      </c>
      <c r="D27" s="84">
        <v>2150</v>
      </c>
      <c r="E27" s="150">
        <v>0</v>
      </c>
      <c r="F27" s="151">
        <f t="shared" ref="F27:F29" si="15">D27*E27</f>
        <v>0</v>
      </c>
      <c r="G27" s="152">
        <v>58</v>
      </c>
      <c r="H27" s="153">
        <f t="shared" ref="H27:H29" si="16">D27*G27</f>
        <v>124700</v>
      </c>
      <c r="I27" s="154">
        <f t="shared" ref="I27:I29" si="17">F27+H27</f>
        <v>124700</v>
      </c>
    </row>
    <row r="28" spans="1:9" ht="36" x14ac:dyDescent="0.25">
      <c r="A28" s="129" t="s">
        <v>119</v>
      </c>
      <c r="B28" s="3" t="s">
        <v>284</v>
      </c>
      <c r="C28" s="41" t="s">
        <v>29</v>
      </c>
      <c r="D28" s="84">
        <v>2</v>
      </c>
      <c r="E28" s="150">
        <v>2880</v>
      </c>
      <c r="F28" s="151">
        <f t="shared" si="15"/>
        <v>5760</v>
      </c>
      <c r="G28" s="152">
        <v>400</v>
      </c>
      <c r="H28" s="153">
        <f t="shared" si="16"/>
        <v>800</v>
      </c>
      <c r="I28" s="154">
        <f t="shared" si="17"/>
        <v>6560</v>
      </c>
    </row>
    <row r="29" spans="1:9" ht="36" x14ac:dyDescent="0.25">
      <c r="A29" s="129" t="s">
        <v>120</v>
      </c>
      <c r="B29" s="3" t="s">
        <v>285</v>
      </c>
      <c r="C29" s="41" t="s">
        <v>64</v>
      </c>
      <c r="D29" s="84">
        <v>2</v>
      </c>
      <c r="E29" s="150">
        <v>17300</v>
      </c>
      <c r="F29" s="151">
        <f t="shared" si="15"/>
        <v>34600</v>
      </c>
      <c r="G29" s="152">
        <v>2880</v>
      </c>
      <c r="H29" s="153">
        <f t="shared" si="16"/>
        <v>5760</v>
      </c>
      <c r="I29" s="154">
        <f t="shared" si="17"/>
        <v>40360</v>
      </c>
    </row>
    <row r="30" spans="1:9" ht="36" x14ac:dyDescent="0.25">
      <c r="A30" s="129" t="s">
        <v>165</v>
      </c>
      <c r="B30" s="3" t="s">
        <v>286</v>
      </c>
      <c r="C30" s="41" t="s">
        <v>64</v>
      </c>
      <c r="D30" s="84">
        <v>4</v>
      </c>
      <c r="E30" s="150">
        <v>17300</v>
      </c>
      <c r="F30" s="151">
        <f t="shared" ref="F30" si="18">D30*E30</f>
        <v>69200</v>
      </c>
      <c r="G30" s="152">
        <v>2880</v>
      </c>
      <c r="H30" s="153">
        <f t="shared" ref="H30" si="19">D30*G30</f>
        <v>11520</v>
      </c>
      <c r="I30" s="154">
        <f t="shared" ref="I30" si="20">F30+H30</f>
        <v>80720</v>
      </c>
    </row>
    <row r="31" spans="1:9" s="11" customFormat="1" x14ac:dyDescent="0.25">
      <c r="A31" s="146">
        <v>4.5</v>
      </c>
      <c r="B31" s="2" t="s">
        <v>724</v>
      </c>
      <c r="C31" s="41"/>
      <c r="D31" s="86"/>
      <c r="E31" s="155"/>
      <c r="F31" s="156"/>
      <c r="G31" s="157"/>
      <c r="H31" s="158"/>
      <c r="I31" s="159"/>
    </row>
    <row r="32" spans="1:9" s="11" customFormat="1" ht="60" customHeight="1" x14ac:dyDescent="0.25">
      <c r="A32" s="144" t="s">
        <v>581</v>
      </c>
      <c r="B32" s="3" t="s">
        <v>580</v>
      </c>
      <c r="C32" s="41" t="s">
        <v>2</v>
      </c>
      <c r="D32" s="86">
        <v>1</v>
      </c>
      <c r="E32" s="150">
        <v>13840</v>
      </c>
      <c r="F32" s="156">
        <f t="shared" ref="F32:F33" si="21">D32*E32</f>
        <v>13840</v>
      </c>
      <c r="G32" s="152">
        <v>4610</v>
      </c>
      <c r="H32" s="158">
        <f t="shared" ref="H32:H33" si="22">D32*G32</f>
        <v>4610</v>
      </c>
      <c r="I32" s="159">
        <f t="shared" ref="I32:I33" si="23">F32+H32</f>
        <v>18450</v>
      </c>
    </row>
    <row r="33" spans="1:9" s="11" customFormat="1" ht="68" customHeight="1" x14ac:dyDescent="0.25">
      <c r="A33" s="144" t="s">
        <v>582</v>
      </c>
      <c r="B33" s="3" t="s">
        <v>606</v>
      </c>
      <c r="C33" s="41" t="s">
        <v>64</v>
      </c>
      <c r="D33" s="86">
        <v>2</v>
      </c>
      <c r="E33" s="150">
        <v>8650</v>
      </c>
      <c r="F33" s="156">
        <f t="shared" si="21"/>
        <v>17300</v>
      </c>
      <c r="G33" s="152">
        <v>1730</v>
      </c>
      <c r="H33" s="158">
        <f t="shared" si="22"/>
        <v>3460</v>
      </c>
      <c r="I33" s="159">
        <f t="shared" si="23"/>
        <v>20760</v>
      </c>
    </row>
    <row r="34" spans="1:9" x14ac:dyDescent="0.25">
      <c r="A34" s="219">
        <v>4.5999999999999996</v>
      </c>
      <c r="B34" s="2" t="s">
        <v>121</v>
      </c>
      <c r="C34" s="3"/>
      <c r="D34" s="85"/>
      <c r="E34" s="171"/>
      <c r="F34" s="172"/>
      <c r="G34" s="171"/>
      <c r="H34" s="172"/>
      <c r="I34" s="172"/>
    </row>
    <row r="35" spans="1:9" ht="72" x14ac:dyDescent="0.25">
      <c r="A35" s="221"/>
      <c r="B35" s="3" t="s">
        <v>742</v>
      </c>
      <c r="C35" s="3"/>
      <c r="D35" s="85"/>
      <c r="E35" s="171"/>
      <c r="F35" s="172"/>
      <c r="G35" s="171"/>
      <c r="H35" s="172"/>
      <c r="I35" s="172"/>
    </row>
    <row r="36" spans="1:9" ht="54" x14ac:dyDescent="0.25">
      <c r="A36" s="127">
        <v>4.7</v>
      </c>
      <c r="B36" s="14" t="s">
        <v>743</v>
      </c>
      <c r="C36" s="59" t="s">
        <v>30</v>
      </c>
      <c r="D36" s="86">
        <f>(D13+D20+D27)*0.5*1</f>
        <v>7102.5</v>
      </c>
      <c r="E36" s="150">
        <v>0</v>
      </c>
      <c r="F36" s="153">
        <f t="shared" ref="F36:F43" si="24">D36*E36</f>
        <v>0</v>
      </c>
      <c r="G36" s="152">
        <v>40</v>
      </c>
      <c r="H36" s="153">
        <f>D36*G36</f>
        <v>284100</v>
      </c>
      <c r="I36" s="154">
        <f>F36+H36</f>
        <v>284100</v>
      </c>
    </row>
    <row r="37" spans="1:9" ht="54" x14ac:dyDescent="0.25">
      <c r="A37" s="127" t="s">
        <v>583</v>
      </c>
      <c r="B37" s="14" t="s">
        <v>122</v>
      </c>
      <c r="C37" s="59" t="s">
        <v>30</v>
      </c>
      <c r="D37" s="86">
        <v>10</v>
      </c>
      <c r="E37" s="150">
        <v>0</v>
      </c>
      <c r="F37" s="153">
        <f t="shared" ref="F37:F38" si="25">D37*E37</f>
        <v>0</v>
      </c>
      <c r="G37" s="152">
        <v>29</v>
      </c>
      <c r="H37" s="153">
        <f>D37*G37</f>
        <v>290</v>
      </c>
      <c r="I37" s="154">
        <f>F37+H37</f>
        <v>290</v>
      </c>
    </row>
    <row r="38" spans="1:9" ht="28.5" customHeight="1" x14ac:dyDescent="0.25">
      <c r="A38" s="127">
        <v>4.8</v>
      </c>
      <c r="B38" s="14" t="s">
        <v>123</v>
      </c>
      <c r="C38" s="59" t="s">
        <v>2</v>
      </c>
      <c r="D38" s="86">
        <v>1</v>
      </c>
      <c r="E38" s="150">
        <v>23490</v>
      </c>
      <c r="F38" s="153">
        <f t="shared" si="25"/>
        <v>23490</v>
      </c>
      <c r="G38" s="152">
        <v>5770</v>
      </c>
      <c r="H38" s="153">
        <f t="shared" ref="H38" si="26">D38*G38</f>
        <v>5770</v>
      </c>
      <c r="I38" s="154">
        <f t="shared" ref="I38" si="27">F38+H38</f>
        <v>29260</v>
      </c>
    </row>
    <row r="39" spans="1:9" ht="63.75" customHeight="1" x14ac:dyDescent="0.25">
      <c r="A39" s="127">
        <v>4.9000000000000004</v>
      </c>
      <c r="B39" s="15" t="s">
        <v>752</v>
      </c>
      <c r="C39" s="59" t="s">
        <v>4</v>
      </c>
      <c r="D39" s="86">
        <f>(D13*2)+(D20*1)+(D27*1)</f>
        <v>15775</v>
      </c>
      <c r="E39" s="150">
        <v>7</v>
      </c>
      <c r="F39" s="153">
        <f t="shared" si="24"/>
        <v>110425</v>
      </c>
      <c r="G39" s="152">
        <v>2</v>
      </c>
      <c r="H39" s="153">
        <f t="shared" ref="H39:H43" si="28">D39*G39</f>
        <v>31550</v>
      </c>
      <c r="I39" s="154">
        <f t="shared" ref="I39:I43" si="29">F39+H39</f>
        <v>141975</v>
      </c>
    </row>
    <row r="40" spans="1:9" ht="42.75" customHeight="1" x14ac:dyDescent="0.25">
      <c r="A40" s="76">
        <v>4.0999999999999996</v>
      </c>
      <c r="B40" s="15" t="s">
        <v>753</v>
      </c>
      <c r="C40" s="59" t="s">
        <v>3</v>
      </c>
      <c r="D40" s="86">
        <f>D13+D20+D27</f>
        <v>14205</v>
      </c>
      <c r="E40" s="150">
        <v>1</v>
      </c>
      <c r="F40" s="153">
        <f t="shared" si="24"/>
        <v>14205</v>
      </c>
      <c r="G40" s="152">
        <v>1</v>
      </c>
      <c r="H40" s="153">
        <f t="shared" si="28"/>
        <v>14205</v>
      </c>
      <c r="I40" s="154">
        <f t="shared" si="29"/>
        <v>28410</v>
      </c>
    </row>
    <row r="41" spans="1:9" x14ac:dyDescent="0.25">
      <c r="A41" s="76">
        <v>4.1100000000000003</v>
      </c>
      <c r="B41" s="15" t="s">
        <v>124</v>
      </c>
      <c r="C41" s="59"/>
      <c r="D41" s="86"/>
      <c r="E41" s="152"/>
      <c r="F41" s="153"/>
      <c r="G41" s="152"/>
      <c r="H41" s="153"/>
      <c r="I41" s="154"/>
    </row>
    <row r="42" spans="1:9" ht="42.75" customHeight="1" x14ac:dyDescent="0.25">
      <c r="A42" s="76" t="s">
        <v>128</v>
      </c>
      <c r="B42" s="15" t="s">
        <v>166</v>
      </c>
      <c r="C42" s="59" t="s">
        <v>4</v>
      </c>
      <c r="D42" s="86">
        <f>(D13+D20)/50</f>
        <v>241.1</v>
      </c>
      <c r="E42" s="150">
        <v>120</v>
      </c>
      <c r="F42" s="153">
        <f t="shared" si="24"/>
        <v>28932</v>
      </c>
      <c r="G42" s="152">
        <v>20</v>
      </c>
      <c r="H42" s="153">
        <f t="shared" si="28"/>
        <v>4822</v>
      </c>
      <c r="I42" s="154">
        <f t="shared" si="29"/>
        <v>33754</v>
      </c>
    </row>
    <row r="43" spans="1:9" ht="54" customHeight="1" x14ac:dyDescent="0.25">
      <c r="A43" s="76" t="s">
        <v>129</v>
      </c>
      <c r="B43" s="15" t="s">
        <v>167</v>
      </c>
      <c r="C43" s="59" t="s">
        <v>4</v>
      </c>
      <c r="D43" s="86">
        <v>35</v>
      </c>
      <c r="E43" s="150">
        <v>120</v>
      </c>
      <c r="F43" s="153">
        <f t="shared" si="24"/>
        <v>4200</v>
      </c>
      <c r="G43" s="152">
        <v>20</v>
      </c>
      <c r="H43" s="153">
        <f t="shared" si="28"/>
        <v>700</v>
      </c>
      <c r="I43" s="154">
        <f t="shared" si="29"/>
        <v>4900</v>
      </c>
    </row>
    <row r="44" spans="1:9" ht="62" customHeight="1" x14ac:dyDescent="0.25">
      <c r="A44" s="76">
        <v>4.12</v>
      </c>
      <c r="B44" s="15" t="s">
        <v>136</v>
      </c>
      <c r="C44" s="59"/>
      <c r="D44" s="86"/>
      <c r="E44" s="152"/>
      <c r="F44" s="153"/>
      <c r="G44" s="152"/>
      <c r="H44" s="153"/>
      <c r="I44" s="154"/>
    </row>
    <row r="45" spans="1:9" ht="27.75" customHeight="1" x14ac:dyDescent="0.25">
      <c r="A45" s="76" t="s">
        <v>132</v>
      </c>
      <c r="B45" s="16" t="s">
        <v>125</v>
      </c>
      <c r="C45" s="59" t="s">
        <v>3</v>
      </c>
      <c r="D45" s="86">
        <v>10</v>
      </c>
      <c r="E45" s="150">
        <v>0</v>
      </c>
      <c r="F45" s="153">
        <f t="shared" ref="F45" si="30">D45*E45</f>
        <v>0</v>
      </c>
      <c r="G45" s="152">
        <v>479</v>
      </c>
      <c r="H45" s="153">
        <f t="shared" ref="H45:H49" si="31">D45*G45</f>
        <v>4790</v>
      </c>
      <c r="I45" s="154">
        <f t="shared" ref="I45:I49" si="32">F45+H45</f>
        <v>4790</v>
      </c>
    </row>
    <row r="46" spans="1:9" ht="27.75" customHeight="1" x14ac:dyDescent="0.25">
      <c r="A46" s="76" t="s">
        <v>133</v>
      </c>
      <c r="B46" s="16" t="s">
        <v>126</v>
      </c>
      <c r="C46" s="59" t="s">
        <v>3</v>
      </c>
      <c r="D46" s="86">
        <v>16</v>
      </c>
      <c r="E46" s="150">
        <v>0</v>
      </c>
      <c r="F46" s="153">
        <f>D46*E46</f>
        <v>0</v>
      </c>
      <c r="G46" s="152">
        <v>957</v>
      </c>
      <c r="H46" s="153">
        <f t="shared" si="31"/>
        <v>15312</v>
      </c>
      <c r="I46" s="154">
        <f t="shared" si="32"/>
        <v>15312</v>
      </c>
    </row>
    <row r="47" spans="1:9" ht="27.75" customHeight="1" x14ac:dyDescent="0.25">
      <c r="A47" s="76" t="s">
        <v>134</v>
      </c>
      <c r="B47" s="16" t="s">
        <v>721</v>
      </c>
      <c r="C47" s="59" t="s">
        <v>3</v>
      </c>
      <c r="D47" s="86">
        <v>5</v>
      </c>
      <c r="E47" s="150">
        <v>0</v>
      </c>
      <c r="F47" s="153">
        <f>D47*E47</f>
        <v>0</v>
      </c>
      <c r="G47" s="152">
        <v>1811</v>
      </c>
      <c r="H47" s="153">
        <f t="shared" si="31"/>
        <v>9055</v>
      </c>
      <c r="I47" s="154">
        <f t="shared" si="32"/>
        <v>9055</v>
      </c>
    </row>
    <row r="48" spans="1:9" ht="27.75" customHeight="1" x14ac:dyDescent="0.25">
      <c r="A48" s="76" t="s">
        <v>135</v>
      </c>
      <c r="B48" s="16" t="s">
        <v>130</v>
      </c>
      <c r="C48" s="59" t="s">
        <v>3</v>
      </c>
      <c r="D48" s="86">
        <v>5</v>
      </c>
      <c r="E48" s="150">
        <v>0</v>
      </c>
      <c r="F48" s="153">
        <f>D48*E48</f>
        <v>0</v>
      </c>
      <c r="G48" s="152">
        <v>2665</v>
      </c>
      <c r="H48" s="153">
        <f t="shared" ref="H48" si="33">D48*G48</f>
        <v>13325</v>
      </c>
      <c r="I48" s="154">
        <f t="shared" ref="I48" si="34">F48+H48</f>
        <v>13325</v>
      </c>
    </row>
    <row r="49" spans="1:9" ht="27.75" customHeight="1" x14ac:dyDescent="0.25">
      <c r="A49" s="76" t="s">
        <v>584</v>
      </c>
      <c r="B49" s="16" t="s">
        <v>131</v>
      </c>
      <c r="C49" s="59" t="s">
        <v>3</v>
      </c>
      <c r="D49" s="86">
        <v>20</v>
      </c>
      <c r="E49" s="150">
        <v>0</v>
      </c>
      <c r="F49" s="153">
        <f>D49*E49</f>
        <v>0</v>
      </c>
      <c r="G49" s="152">
        <v>2665</v>
      </c>
      <c r="H49" s="153">
        <f t="shared" si="31"/>
        <v>53300</v>
      </c>
      <c r="I49" s="154">
        <f t="shared" si="32"/>
        <v>53300</v>
      </c>
    </row>
    <row r="50" spans="1:9" ht="61" customHeight="1" x14ac:dyDescent="0.25">
      <c r="A50" s="76">
        <v>4.13</v>
      </c>
      <c r="B50" s="15" t="s">
        <v>127</v>
      </c>
      <c r="C50" s="59"/>
      <c r="D50" s="86"/>
      <c r="E50" s="152"/>
      <c r="F50" s="153"/>
      <c r="G50" s="152"/>
      <c r="H50" s="153"/>
      <c r="I50" s="154"/>
    </row>
    <row r="51" spans="1:9" ht="27.75" customHeight="1" x14ac:dyDescent="0.25">
      <c r="A51" s="76" t="s">
        <v>137</v>
      </c>
      <c r="B51" s="16" t="s">
        <v>718</v>
      </c>
      <c r="C51" s="59" t="s">
        <v>3</v>
      </c>
      <c r="D51" s="86">
        <v>20</v>
      </c>
      <c r="E51" s="150">
        <v>0</v>
      </c>
      <c r="F51" s="153">
        <f t="shared" ref="F51" si="35">D51*E51</f>
        <v>0</v>
      </c>
      <c r="G51" s="152">
        <v>577</v>
      </c>
      <c r="H51" s="153">
        <f t="shared" ref="H51" si="36">D51*G51</f>
        <v>11540</v>
      </c>
      <c r="I51" s="154">
        <f t="shared" ref="I51" si="37">F51+H51</f>
        <v>11540</v>
      </c>
    </row>
    <row r="52" spans="1:9" ht="27.75" customHeight="1" x14ac:dyDescent="0.25">
      <c r="A52" s="76" t="s">
        <v>138</v>
      </c>
      <c r="B52" s="16" t="s">
        <v>716</v>
      </c>
      <c r="C52" s="59" t="s">
        <v>3</v>
      </c>
      <c r="D52" s="86">
        <v>16</v>
      </c>
      <c r="E52" s="150">
        <v>0</v>
      </c>
      <c r="F52" s="153">
        <f t="shared" ref="F52" si="38">D52*E52</f>
        <v>0</v>
      </c>
      <c r="G52" s="152">
        <v>577</v>
      </c>
      <c r="H52" s="153">
        <f t="shared" ref="H52" si="39">D52*G52</f>
        <v>9232</v>
      </c>
      <c r="I52" s="154">
        <f t="shared" ref="I52" si="40">F52+H52</f>
        <v>9232</v>
      </c>
    </row>
    <row r="53" spans="1:9" ht="27.75" customHeight="1" x14ac:dyDescent="0.25">
      <c r="A53" s="76" t="s">
        <v>585</v>
      </c>
      <c r="B53" s="16" t="s">
        <v>717</v>
      </c>
      <c r="C53" s="59" t="s">
        <v>3</v>
      </c>
      <c r="D53" s="86">
        <v>34</v>
      </c>
      <c r="E53" s="150">
        <v>0</v>
      </c>
      <c r="F53" s="153">
        <f t="shared" ref="F53:F55" si="41">D53*E53</f>
        <v>0</v>
      </c>
      <c r="G53" s="152">
        <v>1154</v>
      </c>
      <c r="H53" s="153">
        <f t="shared" ref="H53:H55" si="42">D53*G53</f>
        <v>39236</v>
      </c>
      <c r="I53" s="154">
        <f t="shared" ref="I53:I55" si="43">F53+H53</f>
        <v>39236</v>
      </c>
    </row>
    <row r="54" spans="1:9" ht="27.75" customHeight="1" x14ac:dyDescent="0.25">
      <c r="A54" s="76" t="s">
        <v>586</v>
      </c>
      <c r="B54" s="16" t="s">
        <v>719</v>
      </c>
      <c r="C54" s="59" t="s">
        <v>3</v>
      </c>
      <c r="D54" s="86">
        <v>5</v>
      </c>
      <c r="E54" s="150">
        <v>0</v>
      </c>
      <c r="F54" s="153">
        <f t="shared" si="41"/>
        <v>0</v>
      </c>
      <c r="G54" s="152">
        <v>1730</v>
      </c>
      <c r="H54" s="153">
        <f t="shared" si="42"/>
        <v>8650</v>
      </c>
      <c r="I54" s="154">
        <f t="shared" si="43"/>
        <v>8650</v>
      </c>
    </row>
    <row r="55" spans="1:9" ht="27.75" customHeight="1" x14ac:dyDescent="0.25">
      <c r="A55" s="76" t="s">
        <v>714</v>
      </c>
      <c r="B55" s="16" t="s">
        <v>720</v>
      </c>
      <c r="C55" s="59" t="s">
        <v>3</v>
      </c>
      <c r="D55" s="86">
        <v>5</v>
      </c>
      <c r="E55" s="150">
        <v>0</v>
      </c>
      <c r="F55" s="153">
        <f t="shared" si="41"/>
        <v>0</v>
      </c>
      <c r="G55" s="152">
        <v>2307</v>
      </c>
      <c r="H55" s="153">
        <f t="shared" si="42"/>
        <v>11535</v>
      </c>
      <c r="I55" s="154">
        <f t="shared" si="43"/>
        <v>11535</v>
      </c>
    </row>
    <row r="56" spans="1:9" ht="36" x14ac:dyDescent="0.25">
      <c r="A56" s="76">
        <v>4.1399999999999997</v>
      </c>
      <c r="B56" s="21" t="s">
        <v>43</v>
      </c>
      <c r="C56" s="59"/>
      <c r="D56" s="86"/>
      <c r="E56" s="152"/>
      <c r="F56" s="153"/>
      <c r="G56" s="152"/>
      <c r="H56" s="153"/>
      <c r="I56" s="154"/>
    </row>
    <row r="57" spans="1:9" ht="27.75" customHeight="1" x14ac:dyDescent="0.25">
      <c r="A57" s="76" t="s">
        <v>139</v>
      </c>
      <c r="B57" s="21" t="s">
        <v>44</v>
      </c>
      <c r="C57" s="60" t="s">
        <v>46</v>
      </c>
      <c r="D57" s="86">
        <v>5</v>
      </c>
      <c r="E57" s="150">
        <v>0</v>
      </c>
      <c r="F57" s="153">
        <f t="shared" ref="F57:F58" si="44">D57*E57</f>
        <v>0</v>
      </c>
      <c r="G57" s="152">
        <v>519</v>
      </c>
      <c r="H57" s="153">
        <f t="shared" ref="H57:H58" si="45">D57*G57</f>
        <v>2595</v>
      </c>
      <c r="I57" s="154">
        <f t="shared" ref="I57:I58" si="46">F57+H57</f>
        <v>2595</v>
      </c>
    </row>
    <row r="58" spans="1:9" ht="27.75" customHeight="1" x14ac:dyDescent="0.25">
      <c r="A58" s="76" t="s">
        <v>140</v>
      </c>
      <c r="B58" s="21" t="s">
        <v>45</v>
      </c>
      <c r="C58" s="60" t="s">
        <v>46</v>
      </c>
      <c r="D58" s="86">
        <v>5</v>
      </c>
      <c r="E58" s="150">
        <v>0</v>
      </c>
      <c r="F58" s="153">
        <f t="shared" si="44"/>
        <v>0</v>
      </c>
      <c r="G58" s="152">
        <v>865</v>
      </c>
      <c r="H58" s="153">
        <f t="shared" si="45"/>
        <v>4325</v>
      </c>
      <c r="I58" s="154">
        <f t="shared" si="46"/>
        <v>4325</v>
      </c>
    </row>
    <row r="59" spans="1:9" ht="27.75" customHeight="1" x14ac:dyDescent="0.25">
      <c r="A59" s="76">
        <v>4.1500000000000004</v>
      </c>
      <c r="B59" s="21" t="s">
        <v>47</v>
      </c>
      <c r="C59" s="60"/>
      <c r="D59" s="86"/>
      <c r="E59" s="152"/>
      <c r="F59" s="153"/>
      <c r="G59" s="152"/>
      <c r="H59" s="153"/>
      <c r="I59" s="154"/>
    </row>
    <row r="60" spans="1:9" ht="27.75" customHeight="1" x14ac:dyDescent="0.25">
      <c r="A60" s="76" t="s">
        <v>587</v>
      </c>
      <c r="B60" s="21" t="s">
        <v>48</v>
      </c>
      <c r="C60" s="60" t="s">
        <v>4</v>
      </c>
      <c r="D60" s="86">
        <v>5</v>
      </c>
      <c r="E60" s="150">
        <v>0</v>
      </c>
      <c r="F60" s="153">
        <f t="shared" ref="F60:F62" si="47">D60*E60</f>
        <v>0</v>
      </c>
      <c r="G60" s="152">
        <v>90</v>
      </c>
      <c r="H60" s="153">
        <f t="shared" ref="H60:H62" si="48">D60*G60</f>
        <v>450</v>
      </c>
      <c r="I60" s="154">
        <f t="shared" ref="I60:I62" si="49">F60+H60</f>
        <v>450</v>
      </c>
    </row>
    <row r="61" spans="1:9" ht="22" customHeight="1" x14ac:dyDescent="0.25">
      <c r="A61" s="76" t="s">
        <v>588</v>
      </c>
      <c r="B61" s="21" t="s">
        <v>49</v>
      </c>
      <c r="C61" s="60" t="s">
        <v>46</v>
      </c>
      <c r="D61" s="86">
        <v>5</v>
      </c>
      <c r="E61" s="150">
        <v>0</v>
      </c>
      <c r="F61" s="153">
        <f t="shared" si="47"/>
        <v>0</v>
      </c>
      <c r="G61" s="152">
        <v>144</v>
      </c>
      <c r="H61" s="153">
        <f t="shared" si="48"/>
        <v>720</v>
      </c>
      <c r="I61" s="154">
        <f t="shared" si="49"/>
        <v>720</v>
      </c>
    </row>
    <row r="62" spans="1:9" ht="27.75" customHeight="1" x14ac:dyDescent="0.25">
      <c r="A62" s="76" t="s">
        <v>589</v>
      </c>
      <c r="B62" s="21" t="s">
        <v>50</v>
      </c>
      <c r="C62" s="60" t="s">
        <v>46</v>
      </c>
      <c r="D62" s="86">
        <v>5</v>
      </c>
      <c r="E62" s="150">
        <v>0</v>
      </c>
      <c r="F62" s="153">
        <f t="shared" si="47"/>
        <v>0</v>
      </c>
      <c r="G62" s="152">
        <v>144</v>
      </c>
      <c r="H62" s="153">
        <f t="shared" si="48"/>
        <v>720</v>
      </c>
      <c r="I62" s="154">
        <f t="shared" si="49"/>
        <v>720</v>
      </c>
    </row>
    <row r="63" spans="1:9" ht="36" x14ac:dyDescent="0.25">
      <c r="A63" s="76">
        <v>4.16</v>
      </c>
      <c r="B63" s="18" t="s">
        <v>31</v>
      </c>
      <c r="C63" s="59" t="s">
        <v>3</v>
      </c>
      <c r="D63" s="86">
        <f>(D45*2)+(D46*4)+(D49*10)+(D51)+(D52*2)+(D53*4)</f>
        <v>472</v>
      </c>
      <c r="E63" s="150">
        <v>12</v>
      </c>
      <c r="F63" s="153">
        <f t="shared" ref="F63" si="50">D63*E63</f>
        <v>5664</v>
      </c>
      <c r="G63" s="152">
        <v>6</v>
      </c>
      <c r="H63" s="153">
        <f t="shared" ref="H63" si="51">D63*G63</f>
        <v>2832</v>
      </c>
      <c r="I63" s="154">
        <f t="shared" ref="I63" si="52">F63+H63</f>
        <v>8496</v>
      </c>
    </row>
    <row r="64" spans="1:9" ht="36" x14ac:dyDescent="0.25">
      <c r="A64" s="76">
        <v>4.17</v>
      </c>
      <c r="B64" s="18" t="s">
        <v>590</v>
      </c>
      <c r="C64" s="59" t="s">
        <v>3</v>
      </c>
      <c r="D64" s="86">
        <v>1300</v>
      </c>
      <c r="E64" s="150">
        <v>0</v>
      </c>
      <c r="F64" s="153">
        <f t="shared" ref="F64" si="53">D64*E64</f>
        <v>0</v>
      </c>
      <c r="G64" s="152">
        <v>58</v>
      </c>
      <c r="H64" s="153">
        <f t="shared" ref="H64" si="54">D64*G64</f>
        <v>75400</v>
      </c>
      <c r="I64" s="154">
        <f t="shared" ref="I64" si="55">F64+H64</f>
        <v>75400</v>
      </c>
    </row>
    <row r="65" spans="1:9" x14ac:dyDescent="0.25">
      <c r="A65" s="76">
        <v>4.18</v>
      </c>
      <c r="B65" s="15" t="s">
        <v>747</v>
      </c>
      <c r="C65" s="59"/>
      <c r="D65" s="86"/>
      <c r="E65" s="152"/>
      <c r="F65" s="153"/>
      <c r="G65" s="152"/>
      <c r="H65" s="153"/>
      <c r="I65" s="154"/>
    </row>
    <row r="66" spans="1:9" s="11" customFormat="1" x14ac:dyDescent="0.25">
      <c r="A66" s="76">
        <v>4.1900000000000004</v>
      </c>
      <c r="B66" s="15" t="s">
        <v>747</v>
      </c>
      <c r="C66" s="59"/>
      <c r="D66" s="86"/>
      <c r="E66" s="157"/>
      <c r="F66" s="158"/>
      <c r="G66" s="157"/>
      <c r="H66" s="158"/>
      <c r="I66" s="159"/>
    </row>
    <row r="67" spans="1:9" s="11" customFormat="1" x14ac:dyDescent="0.25">
      <c r="A67" s="76">
        <v>4.2</v>
      </c>
      <c r="B67" s="15" t="s">
        <v>747</v>
      </c>
      <c r="C67" s="59"/>
      <c r="D67" s="86"/>
      <c r="E67" s="157"/>
      <c r="F67" s="158"/>
      <c r="G67" s="157"/>
      <c r="H67" s="158"/>
      <c r="I67" s="159"/>
    </row>
    <row r="68" spans="1:9" s="11" customFormat="1" x14ac:dyDescent="0.25">
      <c r="A68" s="76">
        <v>4.21</v>
      </c>
      <c r="B68" s="15" t="s">
        <v>747</v>
      </c>
      <c r="C68" s="59"/>
      <c r="D68" s="86"/>
      <c r="E68" s="157"/>
      <c r="F68" s="158"/>
      <c r="G68" s="157"/>
      <c r="H68" s="158"/>
      <c r="I68" s="159"/>
    </row>
    <row r="69" spans="1:9" ht="44" customHeight="1" x14ac:dyDescent="0.25">
      <c r="A69" s="195" t="s">
        <v>744</v>
      </c>
      <c r="B69" s="196"/>
      <c r="C69" s="67"/>
      <c r="D69" s="87"/>
      <c r="E69" s="173"/>
      <c r="F69" s="166">
        <f>SUM(F11:F68)</f>
        <v>329916</v>
      </c>
      <c r="G69" s="166"/>
      <c r="H69" s="166">
        <f>SUM(H11:H68)</f>
        <v>2134624</v>
      </c>
      <c r="I69" s="166">
        <f>SUM(I11:I68)</f>
        <v>2464540</v>
      </c>
    </row>
    <row r="70" spans="1:9" ht="11" customHeight="1" x14ac:dyDescent="0.25">
      <c r="A70" s="42"/>
      <c r="B70" s="42"/>
      <c r="C70" s="42"/>
      <c r="D70" s="89"/>
      <c r="E70" s="167"/>
      <c r="F70" s="167"/>
      <c r="G70" s="167"/>
      <c r="H70" s="167"/>
      <c r="I70" s="167"/>
    </row>
    <row r="71" spans="1:9" ht="45.15" customHeight="1" x14ac:dyDescent="0.25">
      <c r="A71" s="70" t="s">
        <v>141</v>
      </c>
      <c r="B71" s="69" t="str">
        <f>B9</f>
        <v>Interconnecting Cables between Grid Station and the new Primary Substation and Load Diversion works</v>
      </c>
      <c r="C71" s="40"/>
      <c r="D71" s="83"/>
      <c r="E71" s="154"/>
      <c r="F71" s="154">
        <f>F69</f>
        <v>329916</v>
      </c>
      <c r="G71" s="154"/>
      <c r="H71" s="154">
        <f>H69</f>
        <v>2134624</v>
      </c>
      <c r="I71" s="154">
        <f>I69</f>
        <v>2464540</v>
      </c>
    </row>
    <row r="72" spans="1:9" ht="16.5" customHeight="1" x14ac:dyDescent="0.25">
      <c r="A72" s="48"/>
      <c r="B72" s="12"/>
      <c r="C72" s="40"/>
      <c r="D72" s="83"/>
      <c r="E72" s="154"/>
      <c r="F72" s="154"/>
      <c r="G72" s="154"/>
      <c r="H72" s="154"/>
      <c r="I72" s="154"/>
    </row>
    <row r="73" spans="1:9" ht="34" customHeight="1" x14ac:dyDescent="0.25">
      <c r="A73" s="239" t="s">
        <v>168</v>
      </c>
      <c r="B73" s="239"/>
      <c r="C73" s="78"/>
      <c r="D73" s="90"/>
      <c r="E73" s="169"/>
      <c r="F73" s="170">
        <f>SUM(F71:F71)</f>
        <v>329916</v>
      </c>
      <c r="G73" s="170"/>
      <c r="H73" s="170">
        <f>SUM(H71:H71)</f>
        <v>2134624</v>
      </c>
      <c r="I73" s="170">
        <f>SUM(I71:I71)</f>
        <v>2464540</v>
      </c>
    </row>
  </sheetData>
  <mergeCells count="17">
    <mergeCell ref="A11:A12"/>
    <mergeCell ref="E4:I4"/>
    <mergeCell ref="A5:A7"/>
    <mergeCell ref="B5:B7"/>
    <mergeCell ref="C5:C7"/>
    <mergeCell ref="D5:D7"/>
    <mergeCell ref="E5:F5"/>
    <mergeCell ref="G5:H5"/>
    <mergeCell ref="E6:E7"/>
    <mergeCell ref="F6:F7"/>
    <mergeCell ref="G6:G7"/>
    <mergeCell ref="H6:H7"/>
    <mergeCell ref="A18:A19"/>
    <mergeCell ref="A25:A26"/>
    <mergeCell ref="A34:A35"/>
    <mergeCell ref="A73:B73"/>
    <mergeCell ref="A69:B69"/>
  </mergeCells>
  <printOptions horizontalCentered="1"/>
  <pageMargins left="0.70866141732283505" right="0.70866141732283505" top="1.5748031496063" bottom="1.1023622047244099" header="0.59055118110236204" footer="0.59055118110236204"/>
  <pageSetup paperSize="9" scale="46" fitToHeight="0" orientation="landscape" r:id="rId1"/>
  <headerFooter>
    <oddHeader>&amp;L&amp;18CONSTRUCTION WORKS FOR REPLACEMENT OF SHBPRY, SMHPRY AND DRPRY SUBSTATION IN EASTERN REGION
&amp;R&amp;G</oddHeader>
    <oddFooter>&amp;C&amp;18Page &amp;P of &amp;N&amp;R&amp;18May 2023</oddFooter>
  </headerFooter>
  <rowBreaks count="3" manualBreakCount="3">
    <brk id="17" max="8" man="1"/>
    <brk id="33" max="8" man="1"/>
    <brk id="48" max="8"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6"/>
  <sheetViews>
    <sheetView view="pageBreakPreview" topLeftCell="A16" zoomScale="55" zoomScaleNormal="60" zoomScaleSheetLayoutView="55" zoomScalePageLayoutView="70" workbookViewId="0">
      <selection activeCell="N8" sqref="N8"/>
    </sheetView>
  </sheetViews>
  <sheetFormatPr defaultRowHeight="18" x14ac:dyDescent="0.25"/>
  <cols>
    <col min="1" max="1" width="15" style="26" customWidth="1"/>
    <col min="2" max="2" width="95" style="29" customWidth="1"/>
    <col min="3" max="3" width="13" style="27" customWidth="1"/>
    <col min="4" max="4" width="21" style="79" customWidth="1"/>
    <col min="5" max="5" width="22.453125" style="1" customWidth="1"/>
    <col min="6" max="6" width="23.54296875" style="1" customWidth="1"/>
    <col min="7" max="7" width="22.08984375" style="1" customWidth="1"/>
    <col min="8" max="8" width="26" style="1" customWidth="1"/>
    <col min="9" max="9" width="27.453125" style="6" customWidth="1"/>
    <col min="10" max="246" width="9.08984375" style="1"/>
    <col min="247" max="247" width="7.6328125" style="1" bestFit="1" customWidth="1"/>
    <col min="248" max="248" width="88.36328125" style="1" customWidth="1"/>
    <col min="249" max="249" width="13" style="1" customWidth="1"/>
    <col min="250" max="250" width="18" style="1" customWidth="1"/>
    <col min="251" max="251" width="17" style="1" customWidth="1"/>
    <col min="252" max="252" width="17.90625" style="1" customWidth="1"/>
    <col min="253" max="253" width="20.453125" style="1" customWidth="1"/>
    <col min="254" max="254" width="14.90625" style="1" customWidth="1"/>
    <col min="255" max="257" width="18.08984375" style="1" customWidth="1"/>
    <col min="258" max="258" width="20.453125" style="1" customWidth="1"/>
    <col min="259" max="259" width="14.08984375" style="1" bestFit="1" customWidth="1"/>
    <col min="260" max="260" width="10" style="1" bestFit="1" customWidth="1"/>
    <col min="261" max="502" width="9.08984375" style="1"/>
    <col min="503" max="503" width="7.6328125" style="1" bestFit="1" customWidth="1"/>
    <col min="504" max="504" width="88.36328125" style="1" customWidth="1"/>
    <col min="505" max="505" width="13" style="1" customWidth="1"/>
    <col min="506" max="506" width="18" style="1" customWidth="1"/>
    <col min="507" max="507" width="17" style="1" customWidth="1"/>
    <col min="508" max="508" width="17.90625" style="1" customWidth="1"/>
    <col min="509" max="509" width="20.453125" style="1" customWidth="1"/>
    <col min="510" max="510" width="14.90625" style="1" customWidth="1"/>
    <col min="511" max="513" width="18.08984375" style="1" customWidth="1"/>
    <col min="514" max="514" width="20.453125" style="1" customWidth="1"/>
    <col min="515" max="515" width="14.08984375" style="1" bestFit="1" customWidth="1"/>
    <col min="516" max="516" width="10" style="1" bestFit="1" customWidth="1"/>
    <col min="517" max="758" width="9.08984375" style="1"/>
    <col min="759" max="759" width="7.6328125" style="1" bestFit="1" customWidth="1"/>
    <col min="760" max="760" width="88.36328125" style="1" customWidth="1"/>
    <col min="761" max="761" width="13" style="1" customWidth="1"/>
    <col min="762" max="762" width="18" style="1" customWidth="1"/>
    <col min="763" max="763" width="17" style="1" customWidth="1"/>
    <col min="764" max="764" width="17.90625" style="1" customWidth="1"/>
    <col min="765" max="765" width="20.453125" style="1" customWidth="1"/>
    <col min="766" max="766" width="14.90625" style="1" customWidth="1"/>
    <col min="767" max="769" width="18.08984375" style="1" customWidth="1"/>
    <col min="770" max="770" width="20.453125" style="1" customWidth="1"/>
    <col min="771" max="771" width="14.08984375" style="1" bestFit="1" customWidth="1"/>
    <col min="772" max="772" width="10" style="1" bestFit="1" customWidth="1"/>
    <col min="773" max="1014" width="9.08984375" style="1"/>
    <col min="1015" max="1015" width="7.6328125" style="1" bestFit="1" customWidth="1"/>
    <col min="1016" max="1016" width="88.36328125" style="1" customWidth="1"/>
    <col min="1017" max="1017" width="13" style="1" customWidth="1"/>
    <col min="1018" max="1018" width="18" style="1" customWidth="1"/>
    <col min="1019" max="1019" width="17" style="1" customWidth="1"/>
    <col min="1020" max="1020" width="17.90625" style="1" customWidth="1"/>
    <col min="1021" max="1021" width="20.453125" style="1" customWidth="1"/>
    <col min="1022" max="1022" width="14.90625" style="1" customWidth="1"/>
    <col min="1023" max="1025" width="18.08984375" style="1" customWidth="1"/>
    <col min="1026" max="1026" width="20.453125" style="1" customWidth="1"/>
    <col min="1027" max="1027" width="14.08984375" style="1" bestFit="1" customWidth="1"/>
    <col min="1028" max="1028" width="10" style="1" bestFit="1" customWidth="1"/>
    <col min="1029" max="1270" width="9.08984375" style="1"/>
    <col min="1271" max="1271" width="7.6328125" style="1" bestFit="1" customWidth="1"/>
    <col min="1272" max="1272" width="88.36328125" style="1" customWidth="1"/>
    <col min="1273" max="1273" width="13" style="1" customWidth="1"/>
    <col min="1274" max="1274" width="18" style="1" customWidth="1"/>
    <col min="1275" max="1275" width="17" style="1" customWidth="1"/>
    <col min="1276" max="1276" width="17.90625" style="1" customWidth="1"/>
    <col min="1277" max="1277" width="20.453125" style="1" customWidth="1"/>
    <col min="1278" max="1278" width="14.90625" style="1" customWidth="1"/>
    <col min="1279" max="1281" width="18.08984375" style="1" customWidth="1"/>
    <col min="1282" max="1282" width="20.453125" style="1" customWidth="1"/>
    <col min="1283" max="1283" width="14.08984375" style="1" bestFit="1" customWidth="1"/>
    <col min="1284" max="1284" width="10" style="1" bestFit="1" customWidth="1"/>
    <col min="1285" max="1526" width="9.08984375" style="1"/>
    <col min="1527" max="1527" width="7.6328125" style="1" bestFit="1" customWidth="1"/>
    <col min="1528" max="1528" width="88.36328125" style="1" customWidth="1"/>
    <col min="1529" max="1529" width="13" style="1" customWidth="1"/>
    <col min="1530" max="1530" width="18" style="1" customWidth="1"/>
    <col min="1531" max="1531" width="17" style="1" customWidth="1"/>
    <col min="1532" max="1532" width="17.90625" style="1" customWidth="1"/>
    <col min="1533" max="1533" width="20.453125" style="1" customWidth="1"/>
    <col min="1534" max="1534" width="14.90625" style="1" customWidth="1"/>
    <col min="1535" max="1537" width="18.08984375" style="1" customWidth="1"/>
    <col min="1538" max="1538" width="20.453125" style="1" customWidth="1"/>
    <col min="1539" max="1539" width="14.08984375" style="1" bestFit="1" customWidth="1"/>
    <col min="1540" max="1540" width="10" style="1" bestFit="1" customWidth="1"/>
    <col min="1541" max="1782" width="9.08984375" style="1"/>
    <col min="1783" max="1783" width="7.6328125" style="1" bestFit="1" customWidth="1"/>
    <col min="1784" max="1784" width="88.36328125" style="1" customWidth="1"/>
    <col min="1785" max="1785" width="13" style="1" customWidth="1"/>
    <col min="1786" max="1786" width="18" style="1" customWidth="1"/>
    <col min="1787" max="1787" width="17" style="1" customWidth="1"/>
    <col min="1788" max="1788" width="17.90625" style="1" customWidth="1"/>
    <col min="1789" max="1789" width="20.453125" style="1" customWidth="1"/>
    <col min="1790" max="1790" width="14.90625" style="1" customWidth="1"/>
    <col min="1791" max="1793" width="18.08984375" style="1" customWidth="1"/>
    <col min="1794" max="1794" width="20.453125" style="1" customWidth="1"/>
    <col min="1795" max="1795" width="14.08984375" style="1" bestFit="1" customWidth="1"/>
    <col min="1796" max="1796" width="10" style="1" bestFit="1" customWidth="1"/>
    <col min="1797" max="2038" width="9.08984375" style="1"/>
    <col min="2039" max="2039" width="7.6328125" style="1" bestFit="1" customWidth="1"/>
    <col min="2040" max="2040" width="88.36328125" style="1" customWidth="1"/>
    <col min="2041" max="2041" width="13" style="1" customWidth="1"/>
    <col min="2042" max="2042" width="18" style="1" customWidth="1"/>
    <col min="2043" max="2043" width="17" style="1" customWidth="1"/>
    <col min="2044" max="2044" width="17.90625" style="1" customWidth="1"/>
    <col min="2045" max="2045" width="20.453125" style="1" customWidth="1"/>
    <col min="2046" max="2046" width="14.90625" style="1" customWidth="1"/>
    <col min="2047" max="2049" width="18.08984375" style="1" customWidth="1"/>
    <col min="2050" max="2050" width="20.453125" style="1" customWidth="1"/>
    <col min="2051" max="2051" width="14.08984375" style="1" bestFit="1" customWidth="1"/>
    <col min="2052" max="2052" width="10" style="1" bestFit="1" customWidth="1"/>
    <col min="2053" max="2294" width="9.08984375" style="1"/>
    <col min="2295" max="2295" width="7.6328125" style="1" bestFit="1" customWidth="1"/>
    <col min="2296" max="2296" width="88.36328125" style="1" customWidth="1"/>
    <col min="2297" max="2297" width="13" style="1" customWidth="1"/>
    <col min="2298" max="2298" width="18" style="1" customWidth="1"/>
    <col min="2299" max="2299" width="17" style="1" customWidth="1"/>
    <col min="2300" max="2300" width="17.90625" style="1" customWidth="1"/>
    <col min="2301" max="2301" width="20.453125" style="1" customWidth="1"/>
    <col min="2302" max="2302" width="14.90625" style="1" customWidth="1"/>
    <col min="2303" max="2305" width="18.08984375" style="1" customWidth="1"/>
    <col min="2306" max="2306" width="20.453125" style="1" customWidth="1"/>
    <col min="2307" max="2307" width="14.08984375" style="1" bestFit="1" customWidth="1"/>
    <col min="2308" max="2308" width="10" style="1" bestFit="1" customWidth="1"/>
    <col min="2309" max="2550" width="9.08984375" style="1"/>
    <col min="2551" max="2551" width="7.6328125" style="1" bestFit="1" customWidth="1"/>
    <col min="2552" max="2552" width="88.36328125" style="1" customWidth="1"/>
    <col min="2553" max="2553" width="13" style="1" customWidth="1"/>
    <col min="2554" max="2554" width="18" style="1" customWidth="1"/>
    <col min="2555" max="2555" width="17" style="1" customWidth="1"/>
    <col min="2556" max="2556" width="17.90625" style="1" customWidth="1"/>
    <col min="2557" max="2557" width="20.453125" style="1" customWidth="1"/>
    <col min="2558" max="2558" width="14.90625" style="1" customWidth="1"/>
    <col min="2559" max="2561" width="18.08984375" style="1" customWidth="1"/>
    <col min="2562" max="2562" width="20.453125" style="1" customWidth="1"/>
    <col min="2563" max="2563" width="14.08984375" style="1" bestFit="1" customWidth="1"/>
    <col min="2564" max="2564" width="10" style="1" bestFit="1" customWidth="1"/>
    <col min="2565" max="2806" width="9.08984375" style="1"/>
    <col min="2807" max="2807" width="7.6328125" style="1" bestFit="1" customWidth="1"/>
    <col min="2808" max="2808" width="88.36328125" style="1" customWidth="1"/>
    <col min="2809" max="2809" width="13" style="1" customWidth="1"/>
    <col min="2810" max="2810" width="18" style="1" customWidth="1"/>
    <col min="2811" max="2811" width="17" style="1" customWidth="1"/>
    <col min="2812" max="2812" width="17.90625" style="1" customWidth="1"/>
    <col min="2813" max="2813" width="20.453125" style="1" customWidth="1"/>
    <col min="2814" max="2814" width="14.90625" style="1" customWidth="1"/>
    <col min="2815" max="2817" width="18.08984375" style="1" customWidth="1"/>
    <col min="2818" max="2818" width="20.453125" style="1" customWidth="1"/>
    <col min="2819" max="2819" width="14.08984375" style="1" bestFit="1" customWidth="1"/>
    <col min="2820" max="2820" width="10" style="1" bestFit="1" customWidth="1"/>
    <col min="2821" max="3062" width="9.08984375" style="1"/>
    <col min="3063" max="3063" width="7.6328125" style="1" bestFit="1" customWidth="1"/>
    <col min="3064" max="3064" width="88.36328125" style="1" customWidth="1"/>
    <col min="3065" max="3065" width="13" style="1" customWidth="1"/>
    <col min="3066" max="3066" width="18" style="1" customWidth="1"/>
    <col min="3067" max="3067" width="17" style="1" customWidth="1"/>
    <col min="3068" max="3068" width="17.90625" style="1" customWidth="1"/>
    <col min="3069" max="3069" width="20.453125" style="1" customWidth="1"/>
    <col min="3070" max="3070" width="14.90625" style="1" customWidth="1"/>
    <col min="3071" max="3073" width="18.08984375" style="1" customWidth="1"/>
    <col min="3074" max="3074" width="20.453125" style="1" customWidth="1"/>
    <col min="3075" max="3075" width="14.08984375" style="1" bestFit="1" customWidth="1"/>
    <col min="3076" max="3076" width="10" style="1" bestFit="1" customWidth="1"/>
    <col min="3077" max="3318" width="9.08984375" style="1"/>
    <col min="3319" max="3319" width="7.6328125" style="1" bestFit="1" customWidth="1"/>
    <col min="3320" max="3320" width="88.36328125" style="1" customWidth="1"/>
    <col min="3321" max="3321" width="13" style="1" customWidth="1"/>
    <col min="3322" max="3322" width="18" style="1" customWidth="1"/>
    <col min="3323" max="3323" width="17" style="1" customWidth="1"/>
    <col min="3324" max="3324" width="17.90625" style="1" customWidth="1"/>
    <col min="3325" max="3325" width="20.453125" style="1" customWidth="1"/>
    <col min="3326" max="3326" width="14.90625" style="1" customWidth="1"/>
    <col min="3327" max="3329" width="18.08984375" style="1" customWidth="1"/>
    <col min="3330" max="3330" width="20.453125" style="1" customWidth="1"/>
    <col min="3331" max="3331" width="14.08984375" style="1" bestFit="1" customWidth="1"/>
    <col min="3332" max="3332" width="10" style="1" bestFit="1" customWidth="1"/>
    <col min="3333" max="3574" width="9.08984375" style="1"/>
    <col min="3575" max="3575" width="7.6328125" style="1" bestFit="1" customWidth="1"/>
    <col min="3576" max="3576" width="88.36328125" style="1" customWidth="1"/>
    <col min="3577" max="3577" width="13" style="1" customWidth="1"/>
    <col min="3578" max="3578" width="18" style="1" customWidth="1"/>
    <col min="3579" max="3579" width="17" style="1" customWidth="1"/>
    <col min="3580" max="3580" width="17.90625" style="1" customWidth="1"/>
    <col min="3581" max="3581" width="20.453125" style="1" customWidth="1"/>
    <col min="3582" max="3582" width="14.90625" style="1" customWidth="1"/>
    <col min="3583" max="3585" width="18.08984375" style="1" customWidth="1"/>
    <col min="3586" max="3586" width="20.453125" style="1" customWidth="1"/>
    <col min="3587" max="3587" width="14.08984375" style="1" bestFit="1" customWidth="1"/>
    <col min="3588" max="3588" width="10" style="1" bestFit="1" customWidth="1"/>
    <col min="3589" max="3830" width="9.08984375" style="1"/>
    <col min="3831" max="3831" width="7.6328125" style="1" bestFit="1" customWidth="1"/>
    <col min="3832" max="3832" width="88.36328125" style="1" customWidth="1"/>
    <col min="3833" max="3833" width="13" style="1" customWidth="1"/>
    <col min="3834" max="3834" width="18" style="1" customWidth="1"/>
    <col min="3835" max="3835" width="17" style="1" customWidth="1"/>
    <col min="3836" max="3836" width="17.90625" style="1" customWidth="1"/>
    <col min="3837" max="3837" width="20.453125" style="1" customWidth="1"/>
    <col min="3838" max="3838" width="14.90625" style="1" customWidth="1"/>
    <col min="3839" max="3841" width="18.08984375" style="1" customWidth="1"/>
    <col min="3842" max="3842" width="20.453125" style="1" customWidth="1"/>
    <col min="3843" max="3843" width="14.08984375" style="1" bestFit="1" customWidth="1"/>
    <col min="3844" max="3844" width="10" style="1" bestFit="1" customWidth="1"/>
    <col min="3845" max="4086" width="9.08984375" style="1"/>
    <col min="4087" max="4087" width="7.6328125" style="1" bestFit="1" customWidth="1"/>
    <col min="4088" max="4088" width="88.36328125" style="1" customWidth="1"/>
    <col min="4089" max="4089" width="13" style="1" customWidth="1"/>
    <col min="4090" max="4090" width="18" style="1" customWidth="1"/>
    <col min="4091" max="4091" width="17" style="1" customWidth="1"/>
    <col min="4092" max="4092" width="17.90625" style="1" customWidth="1"/>
    <col min="4093" max="4093" width="20.453125" style="1" customWidth="1"/>
    <col min="4094" max="4094" width="14.90625" style="1" customWidth="1"/>
    <col min="4095" max="4097" width="18.08984375" style="1" customWidth="1"/>
    <col min="4098" max="4098" width="20.453125" style="1" customWidth="1"/>
    <col min="4099" max="4099" width="14.08984375" style="1" bestFit="1" customWidth="1"/>
    <col min="4100" max="4100" width="10" style="1" bestFit="1" customWidth="1"/>
    <col min="4101" max="4342" width="9.08984375" style="1"/>
    <col min="4343" max="4343" width="7.6328125" style="1" bestFit="1" customWidth="1"/>
    <col min="4344" max="4344" width="88.36328125" style="1" customWidth="1"/>
    <col min="4345" max="4345" width="13" style="1" customWidth="1"/>
    <col min="4346" max="4346" width="18" style="1" customWidth="1"/>
    <col min="4347" max="4347" width="17" style="1" customWidth="1"/>
    <col min="4348" max="4348" width="17.90625" style="1" customWidth="1"/>
    <col min="4349" max="4349" width="20.453125" style="1" customWidth="1"/>
    <col min="4350" max="4350" width="14.90625" style="1" customWidth="1"/>
    <col min="4351" max="4353" width="18.08984375" style="1" customWidth="1"/>
    <col min="4354" max="4354" width="20.453125" style="1" customWidth="1"/>
    <col min="4355" max="4355" width="14.08984375" style="1" bestFit="1" customWidth="1"/>
    <col min="4356" max="4356" width="10" style="1" bestFit="1" customWidth="1"/>
    <col min="4357" max="4598" width="9.08984375" style="1"/>
    <col min="4599" max="4599" width="7.6328125" style="1" bestFit="1" customWidth="1"/>
    <col min="4600" max="4600" width="88.36328125" style="1" customWidth="1"/>
    <col min="4601" max="4601" width="13" style="1" customWidth="1"/>
    <col min="4602" max="4602" width="18" style="1" customWidth="1"/>
    <col min="4603" max="4603" width="17" style="1" customWidth="1"/>
    <col min="4604" max="4604" width="17.90625" style="1" customWidth="1"/>
    <col min="4605" max="4605" width="20.453125" style="1" customWidth="1"/>
    <col min="4606" max="4606" width="14.90625" style="1" customWidth="1"/>
    <col min="4607" max="4609" width="18.08984375" style="1" customWidth="1"/>
    <col min="4610" max="4610" width="20.453125" style="1" customWidth="1"/>
    <col min="4611" max="4611" width="14.08984375" style="1" bestFit="1" customWidth="1"/>
    <col min="4612" max="4612" width="10" style="1" bestFit="1" customWidth="1"/>
    <col min="4613" max="4854" width="9.08984375" style="1"/>
    <col min="4855" max="4855" width="7.6328125" style="1" bestFit="1" customWidth="1"/>
    <col min="4856" max="4856" width="88.36328125" style="1" customWidth="1"/>
    <col min="4857" max="4857" width="13" style="1" customWidth="1"/>
    <col min="4858" max="4858" width="18" style="1" customWidth="1"/>
    <col min="4859" max="4859" width="17" style="1" customWidth="1"/>
    <col min="4860" max="4860" width="17.90625" style="1" customWidth="1"/>
    <col min="4861" max="4861" width="20.453125" style="1" customWidth="1"/>
    <col min="4862" max="4862" width="14.90625" style="1" customWidth="1"/>
    <col min="4863" max="4865" width="18.08984375" style="1" customWidth="1"/>
    <col min="4866" max="4866" width="20.453125" style="1" customWidth="1"/>
    <col min="4867" max="4867" width="14.08984375" style="1" bestFit="1" customWidth="1"/>
    <col min="4868" max="4868" width="10" style="1" bestFit="1" customWidth="1"/>
    <col min="4869" max="5110" width="9.08984375" style="1"/>
    <col min="5111" max="5111" width="7.6328125" style="1" bestFit="1" customWidth="1"/>
    <col min="5112" max="5112" width="88.36328125" style="1" customWidth="1"/>
    <col min="5113" max="5113" width="13" style="1" customWidth="1"/>
    <col min="5114" max="5114" width="18" style="1" customWidth="1"/>
    <col min="5115" max="5115" width="17" style="1" customWidth="1"/>
    <col min="5116" max="5116" width="17.90625" style="1" customWidth="1"/>
    <col min="5117" max="5117" width="20.453125" style="1" customWidth="1"/>
    <col min="5118" max="5118" width="14.90625" style="1" customWidth="1"/>
    <col min="5119" max="5121" width="18.08984375" style="1" customWidth="1"/>
    <col min="5122" max="5122" width="20.453125" style="1" customWidth="1"/>
    <col min="5123" max="5123" width="14.08984375" style="1" bestFit="1" customWidth="1"/>
    <col min="5124" max="5124" width="10" style="1" bestFit="1" customWidth="1"/>
    <col min="5125" max="5366" width="9.08984375" style="1"/>
    <col min="5367" max="5367" width="7.6328125" style="1" bestFit="1" customWidth="1"/>
    <col min="5368" max="5368" width="88.36328125" style="1" customWidth="1"/>
    <col min="5369" max="5369" width="13" style="1" customWidth="1"/>
    <col min="5370" max="5370" width="18" style="1" customWidth="1"/>
    <col min="5371" max="5371" width="17" style="1" customWidth="1"/>
    <col min="5372" max="5372" width="17.90625" style="1" customWidth="1"/>
    <col min="5373" max="5373" width="20.453125" style="1" customWidth="1"/>
    <col min="5374" max="5374" width="14.90625" style="1" customWidth="1"/>
    <col min="5375" max="5377" width="18.08984375" style="1" customWidth="1"/>
    <col min="5378" max="5378" width="20.453125" style="1" customWidth="1"/>
    <col min="5379" max="5379" width="14.08984375" style="1" bestFit="1" customWidth="1"/>
    <col min="5380" max="5380" width="10" style="1" bestFit="1" customWidth="1"/>
    <col min="5381" max="5622" width="9.08984375" style="1"/>
    <col min="5623" max="5623" width="7.6328125" style="1" bestFit="1" customWidth="1"/>
    <col min="5624" max="5624" width="88.36328125" style="1" customWidth="1"/>
    <col min="5625" max="5625" width="13" style="1" customWidth="1"/>
    <col min="5626" max="5626" width="18" style="1" customWidth="1"/>
    <col min="5627" max="5627" width="17" style="1" customWidth="1"/>
    <col min="5628" max="5628" width="17.90625" style="1" customWidth="1"/>
    <col min="5629" max="5629" width="20.453125" style="1" customWidth="1"/>
    <col min="5630" max="5630" width="14.90625" style="1" customWidth="1"/>
    <col min="5631" max="5633" width="18.08984375" style="1" customWidth="1"/>
    <col min="5634" max="5634" width="20.453125" style="1" customWidth="1"/>
    <col min="5635" max="5635" width="14.08984375" style="1" bestFit="1" customWidth="1"/>
    <col min="5636" max="5636" width="10" style="1" bestFit="1" customWidth="1"/>
    <col min="5637" max="5878" width="9.08984375" style="1"/>
    <col min="5879" max="5879" width="7.6328125" style="1" bestFit="1" customWidth="1"/>
    <col min="5880" max="5880" width="88.36328125" style="1" customWidth="1"/>
    <col min="5881" max="5881" width="13" style="1" customWidth="1"/>
    <col min="5882" max="5882" width="18" style="1" customWidth="1"/>
    <col min="5883" max="5883" width="17" style="1" customWidth="1"/>
    <col min="5884" max="5884" width="17.90625" style="1" customWidth="1"/>
    <col min="5885" max="5885" width="20.453125" style="1" customWidth="1"/>
    <col min="5886" max="5886" width="14.90625" style="1" customWidth="1"/>
    <col min="5887" max="5889" width="18.08984375" style="1" customWidth="1"/>
    <col min="5890" max="5890" width="20.453125" style="1" customWidth="1"/>
    <col min="5891" max="5891" width="14.08984375" style="1" bestFit="1" customWidth="1"/>
    <col min="5892" max="5892" width="10" style="1" bestFit="1" customWidth="1"/>
    <col min="5893" max="6134" width="9.08984375" style="1"/>
    <col min="6135" max="6135" width="7.6328125" style="1" bestFit="1" customWidth="1"/>
    <col min="6136" max="6136" width="88.36328125" style="1" customWidth="1"/>
    <col min="6137" max="6137" width="13" style="1" customWidth="1"/>
    <col min="6138" max="6138" width="18" style="1" customWidth="1"/>
    <col min="6139" max="6139" width="17" style="1" customWidth="1"/>
    <col min="6140" max="6140" width="17.90625" style="1" customWidth="1"/>
    <col min="6141" max="6141" width="20.453125" style="1" customWidth="1"/>
    <col min="6142" max="6142" width="14.90625" style="1" customWidth="1"/>
    <col min="6143" max="6145" width="18.08984375" style="1" customWidth="1"/>
    <col min="6146" max="6146" width="20.453125" style="1" customWidth="1"/>
    <col min="6147" max="6147" width="14.08984375" style="1" bestFit="1" customWidth="1"/>
    <col min="6148" max="6148" width="10" style="1" bestFit="1" customWidth="1"/>
    <col min="6149" max="6390" width="9.08984375" style="1"/>
    <col min="6391" max="6391" width="7.6328125" style="1" bestFit="1" customWidth="1"/>
    <col min="6392" max="6392" width="88.36328125" style="1" customWidth="1"/>
    <col min="6393" max="6393" width="13" style="1" customWidth="1"/>
    <col min="6394" max="6394" width="18" style="1" customWidth="1"/>
    <col min="6395" max="6395" width="17" style="1" customWidth="1"/>
    <col min="6396" max="6396" width="17.90625" style="1" customWidth="1"/>
    <col min="6397" max="6397" width="20.453125" style="1" customWidth="1"/>
    <col min="6398" max="6398" width="14.90625" style="1" customWidth="1"/>
    <col min="6399" max="6401" width="18.08984375" style="1" customWidth="1"/>
    <col min="6402" max="6402" width="20.453125" style="1" customWidth="1"/>
    <col min="6403" max="6403" width="14.08984375" style="1" bestFit="1" customWidth="1"/>
    <col min="6404" max="6404" width="10" style="1" bestFit="1" customWidth="1"/>
    <col min="6405" max="6646" width="9.08984375" style="1"/>
    <col min="6647" max="6647" width="7.6328125" style="1" bestFit="1" customWidth="1"/>
    <col min="6648" max="6648" width="88.36328125" style="1" customWidth="1"/>
    <col min="6649" max="6649" width="13" style="1" customWidth="1"/>
    <col min="6650" max="6650" width="18" style="1" customWidth="1"/>
    <col min="6651" max="6651" width="17" style="1" customWidth="1"/>
    <col min="6652" max="6652" width="17.90625" style="1" customWidth="1"/>
    <col min="6653" max="6653" width="20.453125" style="1" customWidth="1"/>
    <col min="6654" max="6654" width="14.90625" style="1" customWidth="1"/>
    <col min="6655" max="6657" width="18.08984375" style="1" customWidth="1"/>
    <col min="6658" max="6658" width="20.453125" style="1" customWidth="1"/>
    <col min="6659" max="6659" width="14.08984375" style="1" bestFit="1" customWidth="1"/>
    <col min="6660" max="6660" width="10" style="1" bestFit="1" customWidth="1"/>
    <col min="6661" max="6902" width="9.08984375" style="1"/>
    <col min="6903" max="6903" width="7.6328125" style="1" bestFit="1" customWidth="1"/>
    <col min="6904" max="6904" width="88.36328125" style="1" customWidth="1"/>
    <col min="6905" max="6905" width="13" style="1" customWidth="1"/>
    <col min="6906" max="6906" width="18" style="1" customWidth="1"/>
    <col min="6907" max="6907" width="17" style="1" customWidth="1"/>
    <col min="6908" max="6908" width="17.90625" style="1" customWidth="1"/>
    <col min="6909" max="6909" width="20.453125" style="1" customWidth="1"/>
    <col min="6910" max="6910" width="14.90625" style="1" customWidth="1"/>
    <col min="6911" max="6913" width="18.08984375" style="1" customWidth="1"/>
    <col min="6914" max="6914" width="20.453125" style="1" customWidth="1"/>
    <col min="6915" max="6915" width="14.08984375" style="1" bestFit="1" customWidth="1"/>
    <col min="6916" max="6916" width="10" style="1" bestFit="1" customWidth="1"/>
    <col min="6917" max="7158" width="9.08984375" style="1"/>
    <col min="7159" max="7159" width="7.6328125" style="1" bestFit="1" customWidth="1"/>
    <col min="7160" max="7160" width="88.36328125" style="1" customWidth="1"/>
    <col min="7161" max="7161" width="13" style="1" customWidth="1"/>
    <col min="7162" max="7162" width="18" style="1" customWidth="1"/>
    <col min="7163" max="7163" width="17" style="1" customWidth="1"/>
    <col min="7164" max="7164" width="17.90625" style="1" customWidth="1"/>
    <col min="7165" max="7165" width="20.453125" style="1" customWidth="1"/>
    <col min="7166" max="7166" width="14.90625" style="1" customWidth="1"/>
    <col min="7167" max="7169" width="18.08984375" style="1" customWidth="1"/>
    <col min="7170" max="7170" width="20.453125" style="1" customWidth="1"/>
    <col min="7171" max="7171" width="14.08984375" style="1" bestFit="1" customWidth="1"/>
    <col min="7172" max="7172" width="10" style="1" bestFit="1" customWidth="1"/>
    <col min="7173" max="7414" width="9.08984375" style="1"/>
    <col min="7415" max="7415" width="7.6328125" style="1" bestFit="1" customWidth="1"/>
    <col min="7416" max="7416" width="88.36328125" style="1" customWidth="1"/>
    <col min="7417" max="7417" width="13" style="1" customWidth="1"/>
    <col min="7418" max="7418" width="18" style="1" customWidth="1"/>
    <col min="7419" max="7419" width="17" style="1" customWidth="1"/>
    <col min="7420" max="7420" width="17.90625" style="1" customWidth="1"/>
    <col min="7421" max="7421" width="20.453125" style="1" customWidth="1"/>
    <col min="7422" max="7422" width="14.90625" style="1" customWidth="1"/>
    <col min="7423" max="7425" width="18.08984375" style="1" customWidth="1"/>
    <col min="7426" max="7426" width="20.453125" style="1" customWidth="1"/>
    <col min="7427" max="7427" width="14.08984375" style="1" bestFit="1" customWidth="1"/>
    <col min="7428" max="7428" width="10" style="1" bestFit="1" customWidth="1"/>
    <col min="7429" max="7670" width="9.08984375" style="1"/>
    <col min="7671" max="7671" width="7.6328125" style="1" bestFit="1" customWidth="1"/>
    <col min="7672" max="7672" width="88.36328125" style="1" customWidth="1"/>
    <col min="7673" max="7673" width="13" style="1" customWidth="1"/>
    <col min="7674" max="7674" width="18" style="1" customWidth="1"/>
    <col min="7675" max="7675" width="17" style="1" customWidth="1"/>
    <col min="7676" max="7676" width="17.90625" style="1" customWidth="1"/>
    <col min="7677" max="7677" width="20.453125" style="1" customWidth="1"/>
    <col min="7678" max="7678" width="14.90625" style="1" customWidth="1"/>
    <col min="7679" max="7681" width="18.08984375" style="1" customWidth="1"/>
    <col min="7682" max="7682" width="20.453125" style="1" customWidth="1"/>
    <col min="7683" max="7683" width="14.08984375" style="1" bestFit="1" customWidth="1"/>
    <col min="7684" max="7684" width="10" style="1" bestFit="1" customWidth="1"/>
    <col min="7685" max="7926" width="9.08984375" style="1"/>
    <col min="7927" max="7927" width="7.6328125" style="1" bestFit="1" customWidth="1"/>
    <col min="7928" max="7928" width="88.36328125" style="1" customWidth="1"/>
    <col min="7929" max="7929" width="13" style="1" customWidth="1"/>
    <col min="7930" max="7930" width="18" style="1" customWidth="1"/>
    <col min="7931" max="7931" width="17" style="1" customWidth="1"/>
    <col min="7932" max="7932" width="17.90625" style="1" customWidth="1"/>
    <col min="7933" max="7933" width="20.453125" style="1" customWidth="1"/>
    <col min="7934" max="7934" width="14.90625" style="1" customWidth="1"/>
    <col min="7935" max="7937" width="18.08984375" style="1" customWidth="1"/>
    <col min="7938" max="7938" width="20.453125" style="1" customWidth="1"/>
    <col min="7939" max="7939" width="14.08984375" style="1" bestFit="1" customWidth="1"/>
    <col min="7940" max="7940" width="10" style="1" bestFit="1" customWidth="1"/>
    <col min="7941" max="8182" width="9.08984375" style="1"/>
    <col min="8183" max="8183" width="7.6328125" style="1" bestFit="1" customWidth="1"/>
    <col min="8184" max="8184" width="88.36328125" style="1" customWidth="1"/>
    <col min="8185" max="8185" width="13" style="1" customWidth="1"/>
    <col min="8186" max="8186" width="18" style="1" customWidth="1"/>
    <col min="8187" max="8187" width="17" style="1" customWidth="1"/>
    <col min="8188" max="8188" width="17.90625" style="1" customWidth="1"/>
    <col min="8189" max="8189" width="20.453125" style="1" customWidth="1"/>
    <col min="8190" max="8190" width="14.90625" style="1" customWidth="1"/>
    <col min="8191" max="8193" width="18.08984375" style="1" customWidth="1"/>
    <col min="8194" max="8194" width="20.453125" style="1" customWidth="1"/>
    <col min="8195" max="8195" width="14.08984375" style="1" bestFit="1" customWidth="1"/>
    <col min="8196" max="8196" width="10" style="1" bestFit="1" customWidth="1"/>
    <col min="8197" max="8438" width="9.08984375" style="1"/>
    <col min="8439" max="8439" width="7.6328125" style="1" bestFit="1" customWidth="1"/>
    <col min="8440" max="8440" width="88.36328125" style="1" customWidth="1"/>
    <col min="8441" max="8441" width="13" style="1" customWidth="1"/>
    <col min="8442" max="8442" width="18" style="1" customWidth="1"/>
    <col min="8443" max="8443" width="17" style="1" customWidth="1"/>
    <col min="8444" max="8444" width="17.90625" style="1" customWidth="1"/>
    <col min="8445" max="8445" width="20.453125" style="1" customWidth="1"/>
    <col min="8446" max="8446" width="14.90625" style="1" customWidth="1"/>
    <col min="8447" max="8449" width="18.08984375" style="1" customWidth="1"/>
    <col min="8450" max="8450" width="20.453125" style="1" customWidth="1"/>
    <col min="8451" max="8451" width="14.08984375" style="1" bestFit="1" customWidth="1"/>
    <col min="8452" max="8452" width="10" style="1" bestFit="1" customWidth="1"/>
    <col min="8453" max="8694" width="9.08984375" style="1"/>
    <col min="8695" max="8695" width="7.6328125" style="1" bestFit="1" customWidth="1"/>
    <col min="8696" max="8696" width="88.36328125" style="1" customWidth="1"/>
    <col min="8697" max="8697" width="13" style="1" customWidth="1"/>
    <col min="8698" max="8698" width="18" style="1" customWidth="1"/>
    <col min="8699" max="8699" width="17" style="1" customWidth="1"/>
    <col min="8700" max="8700" width="17.90625" style="1" customWidth="1"/>
    <col min="8701" max="8701" width="20.453125" style="1" customWidth="1"/>
    <col min="8702" max="8702" width="14.90625" style="1" customWidth="1"/>
    <col min="8703" max="8705" width="18.08984375" style="1" customWidth="1"/>
    <col min="8706" max="8706" width="20.453125" style="1" customWidth="1"/>
    <col min="8707" max="8707" width="14.08984375" style="1" bestFit="1" customWidth="1"/>
    <col min="8708" max="8708" width="10" style="1" bestFit="1" customWidth="1"/>
    <col min="8709" max="8950" width="9.08984375" style="1"/>
    <col min="8951" max="8951" width="7.6328125" style="1" bestFit="1" customWidth="1"/>
    <col min="8952" max="8952" width="88.36328125" style="1" customWidth="1"/>
    <col min="8953" max="8953" width="13" style="1" customWidth="1"/>
    <col min="8954" max="8954" width="18" style="1" customWidth="1"/>
    <col min="8955" max="8955" width="17" style="1" customWidth="1"/>
    <col min="8956" max="8956" width="17.90625" style="1" customWidth="1"/>
    <col min="8957" max="8957" width="20.453125" style="1" customWidth="1"/>
    <col min="8958" max="8958" width="14.90625" style="1" customWidth="1"/>
    <col min="8959" max="8961" width="18.08984375" style="1" customWidth="1"/>
    <col min="8962" max="8962" width="20.453125" style="1" customWidth="1"/>
    <col min="8963" max="8963" width="14.08984375" style="1" bestFit="1" customWidth="1"/>
    <col min="8964" max="8964" width="10" style="1" bestFit="1" customWidth="1"/>
    <col min="8965" max="9206" width="9.08984375" style="1"/>
    <col min="9207" max="9207" width="7.6328125" style="1" bestFit="1" customWidth="1"/>
    <col min="9208" max="9208" width="88.36328125" style="1" customWidth="1"/>
    <col min="9209" max="9209" width="13" style="1" customWidth="1"/>
    <col min="9210" max="9210" width="18" style="1" customWidth="1"/>
    <col min="9211" max="9211" width="17" style="1" customWidth="1"/>
    <col min="9212" max="9212" width="17.90625" style="1" customWidth="1"/>
    <col min="9213" max="9213" width="20.453125" style="1" customWidth="1"/>
    <col min="9214" max="9214" width="14.90625" style="1" customWidth="1"/>
    <col min="9215" max="9217" width="18.08984375" style="1" customWidth="1"/>
    <col min="9218" max="9218" width="20.453125" style="1" customWidth="1"/>
    <col min="9219" max="9219" width="14.08984375" style="1" bestFit="1" customWidth="1"/>
    <col min="9220" max="9220" width="10" style="1" bestFit="1" customWidth="1"/>
    <col min="9221" max="9462" width="9.08984375" style="1"/>
    <col min="9463" max="9463" width="7.6328125" style="1" bestFit="1" customWidth="1"/>
    <col min="9464" max="9464" width="88.36328125" style="1" customWidth="1"/>
    <col min="9465" max="9465" width="13" style="1" customWidth="1"/>
    <col min="9466" max="9466" width="18" style="1" customWidth="1"/>
    <col min="9467" max="9467" width="17" style="1" customWidth="1"/>
    <col min="9468" max="9468" width="17.90625" style="1" customWidth="1"/>
    <col min="9469" max="9469" width="20.453125" style="1" customWidth="1"/>
    <col min="9470" max="9470" width="14.90625" style="1" customWidth="1"/>
    <col min="9471" max="9473" width="18.08984375" style="1" customWidth="1"/>
    <col min="9474" max="9474" width="20.453125" style="1" customWidth="1"/>
    <col min="9475" max="9475" width="14.08984375" style="1" bestFit="1" customWidth="1"/>
    <col min="9476" max="9476" width="10" style="1" bestFit="1" customWidth="1"/>
    <col min="9477" max="9718" width="9.08984375" style="1"/>
    <col min="9719" max="9719" width="7.6328125" style="1" bestFit="1" customWidth="1"/>
    <col min="9720" max="9720" width="88.36328125" style="1" customWidth="1"/>
    <col min="9721" max="9721" width="13" style="1" customWidth="1"/>
    <col min="9722" max="9722" width="18" style="1" customWidth="1"/>
    <col min="9723" max="9723" width="17" style="1" customWidth="1"/>
    <col min="9724" max="9724" width="17.90625" style="1" customWidth="1"/>
    <col min="9725" max="9725" width="20.453125" style="1" customWidth="1"/>
    <col min="9726" max="9726" width="14.90625" style="1" customWidth="1"/>
    <col min="9727" max="9729" width="18.08984375" style="1" customWidth="1"/>
    <col min="9730" max="9730" width="20.453125" style="1" customWidth="1"/>
    <col min="9731" max="9731" width="14.08984375" style="1" bestFit="1" customWidth="1"/>
    <col min="9732" max="9732" width="10" style="1" bestFit="1" customWidth="1"/>
    <col min="9733" max="9974" width="9.08984375" style="1"/>
    <col min="9975" max="9975" width="7.6328125" style="1" bestFit="1" customWidth="1"/>
    <col min="9976" max="9976" width="88.36328125" style="1" customWidth="1"/>
    <col min="9977" max="9977" width="13" style="1" customWidth="1"/>
    <col min="9978" max="9978" width="18" style="1" customWidth="1"/>
    <col min="9979" max="9979" width="17" style="1" customWidth="1"/>
    <col min="9980" max="9980" width="17.90625" style="1" customWidth="1"/>
    <col min="9981" max="9981" width="20.453125" style="1" customWidth="1"/>
    <col min="9982" max="9982" width="14.90625" style="1" customWidth="1"/>
    <col min="9983" max="9985" width="18.08984375" style="1" customWidth="1"/>
    <col min="9986" max="9986" width="20.453125" style="1" customWidth="1"/>
    <col min="9987" max="9987" width="14.08984375" style="1" bestFit="1" customWidth="1"/>
    <col min="9988" max="9988" width="10" style="1" bestFit="1" customWidth="1"/>
    <col min="9989" max="10230" width="9.08984375" style="1"/>
    <col min="10231" max="10231" width="7.6328125" style="1" bestFit="1" customWidth="1"/>
    <col min="10232" max="10232" width="88.36328125" style="1" customWidth="1"/>
    <col min="10233" max="10233" width="13" style="1" customWidth="1"/>
    <col min="10234" max="10234" width="18" style="1" customWidth="1"/>
    <col min="10235" max="10235" width="17" style="1" customWidth="1"/>
    <col min="10236" max="10236" width="17.90625" style="1" customWidth="1"/>
    <col min="10237" max="10237" width="20.453125" style="1" customWidth="1"/>
    <col min="10238" max="10238" width="14.90625" style="1" customWidth="1"/>
    <col min="10239" max="10241" width="18.08984375" style="1" customWidth="1"/>
    <col min="10242" max="10242" width="20.453125" style="1" customWidth="1"/>
    <col min="10243" max="10243" width="14.08984375" style="1" bestFit="1" customWidth="1"/>
    <col min="10244" max="10244" width="10" style="1" bestFit="1" customWidth="1"/>
    <col min="10245" max="10486" width="9.08984375" style="1"/>
    <col min="10487" max="10487" width="7.6328125" style="1" bestFit="1" customWidth="1"/>
    <col min="10488" max="10488" width="88.36328125" style="1" customWidth="1"/>
    <col min="10489" max="10489" width="13" style="1" customWidth="1"/>
    <col min="10490" max="10490" width="18" style="1" customWidth="1"/>
    <col min="10491" max="10491" width="17" style="1" customWidth="1"/>
    <col min="10492" max="10492" width="17.90625" style="1" customWidth="1"/>
    <col min="10493" max="10493" width="20.453125" style="1" customWidth="1"/>
    <col min="10494" max="10494" width="14.90625" style="1" customWidth="1"/>
    <col min="10495" max="10497" width="18.08984375" style="1" customWidth="1"/>
    <col min="10498" max="10498" width="20.453125" style="1" customWidth="1"/>
    <col min="10499" max="10499" width="14.08984375" style="1" bestFit="1" customWidth="1"/>
    <col min="10500" max="10500" width="10" style="1" bestFit="1" customWidth="1"/>
    <col min="10501" max="10742" width="9.08984375" style="1"/>
    <col min="10743" max="10743" width="7.6328125" style="1" bestFit="1" customWidth="1"/>
    <col min="10744" max="10744" width="88.36328125" style="1" customWidth="1"/>
    <col min="10745" max="10745" width="13" style="1" customWidth="1"/>
    <col min="10746" max="10746" width="18" style="1" customWidth="1"/>
    <col min="10747" max="10747" width="17" style="1" customWidth="1"/>
    <col min="10748" max="10748" width="17.90625" style="1" customWidth="1"/>
    <col min="10749" max="10749" width="20.453125" style="1" customWidth="1"/>
    <col min="10750" max="10750" width="14.90625" style="1" customWidth="1"/>
    <col min="10751" max="10753" width="18.08984375" style="1" customWidth="1"/>
    <col min="10754" max="10754" width="20.453125" style="1" customWidth="1"/>
    <col min="10755" max="10755" width="14.08984375" style="1" bestFit="1" customWidth="1"/>
    <col min="10756" max="10756" width="10" style="1" bestFit="1" customWidth="1"/>
    <col min="10757" max="10998" width="9.08984375" style="1"/>
    <col min="10999" max="10999" width="7.6328125" style="1" bestFit="1" customWidth="1"/>
    <col min="11000" max="11000" width="88.36328125" style="1" customWidth="1"/>
    <col min="11001" max="11001" width="13" style="1" customWidth="1"/>
    <col min="11002" max="11002" width="18" style="1" customWidth="1"/>
    <col min="11003" max="11003" width="17" style="1" customWidth="1"/>
    <col min="11004" max="11004" width="17.90625" style="1" customWidth="1"/>
    <col min="11005" max="11005" width="20.453125" style="1" customWidth="1"/>
    <col min="11006" max="11006" width="14.90625" style="1" customWidth="1"/>
    <col min="11007" max="11009" width="18.08984375" style="1" customWidth="1"/>
    <col min="11010" max="11010" width="20.453125" style="1" customWidth="1"/>
    <col min="11011" max="11011" width="14.08984375" style="1" bestFit="1" customWidth="1"/>
    <col min="11012" max="11012" width="10" style="1" bestFit="1" customWidth="1"/>
    <col min="11013" max="11254" width="9.08984375" style="1"/>
    <col min="11255" max="11255" width="7.6328125" style="1" bestFit="1" customWidth="1"/>
    <col min="11256" max="11256" width="88.36328125" style="1" customWidth="1"/>
    <col min="11257" max="11257" width="13" style="1" customWidth="1"/>
    <col min="11258" max="11258" width="18" style="1" customWidth="1"/>
    <col min="11259" max="11259" width="17" style="1" customWidth="1"/>
    <col min="11260" max="11260" width="17.90625" style="1" customWidth="1"/>
    <col min="11261" max="11261" width="20.453125" style="1" customWidth="1"/>
    <col min="11262" max="11262" width="14.90625" style="1" customWidth="1"/>
    <col min="11263" max="11265" width="18.08984375" style="1" customWidth="1"/>
    <col min="11266" max="11266" width="20.453125" style="1" customWidth="1"/>
    <col min="11267" max="11267" width="14.08984375" style="1" bestFit="1" customWidth="1"/>
    <col min="11268" max="11268" width="10" style="1" bestFit="1" customWidth="1"/>
    <col min="11269" max="11510" width="9.08984375" style="1"/>
    <col min="11511" max="11511" width="7.6328125" style="1" bestFit="1" customWidth="1"/>
    <col min="11512" max="11512" width="88.36328125" style="1" customWidth="1"/>
    <col min="11513" max="11513" width="13" style="1" customWidth="1"/>
    <col min="11514" max="11514" width="18" style="1" customWidth="1"/>
    <col min="11515" max="11515" width="17" style="1" customWidth="1"/>
    <col min="11516" max="11516" width="17.90625" style="1" customWidth="1"/>
    <col min="11517" max="11517" width="20.453125" style="1" customWidth="1"/>
    <col min="11518" max="11518" width="14.90625" style="1" customWidth="1"/>
    <col min="11519" max="11521" width="18.08984375" style="1" customWidth="1"/>
    <col min="11522" max="11522" width="20.453125" style="1" customWidth="1"/>
    <col min="11523" max="11523" width="14.08984375" style="1" bestFit="1" customWidth="1"/>
    <col min="11524" max="11524" width="10" style="1" bestFit="1" customWidth="1"/>
    <col min="11525" max="11766" width="9.08984375" style="1"/>
    <col min="11767" max="11767" width="7.6328125" style="1" bestFit="1" customWidth="1"/>
    <col min="11768" max="11768" width="88.36328125" style="1" customWidth="1"/>
    <col min="11769" max="11769" width="13" style="1" customWidth="1"/>
    <col min="11770" max="11770" width="18" style="1" customWidth="1"/>
    <col min="11771" max="11771" width="17" style="1" customWidth="1"/>
    <col min="11772" max="11772" width="17.90625" style="1" customWidth="1"/>
    <col min="11773" max="11773" width="20.453125" style="1" customWidth="1"/>
    <col min="11774" max="11774" width="14.90625" style="1" customWidth="1"/>
    <col min="11775" max="11777" width="18.08984375" style="1" customWidth="1"/>
    <col min="11778" max="11778" width="20.453125" style="1" customWidth="1"/>
    <col min="11779" max="11779" width="14.08984375" style="1" bestFit="1" customWidth="1"/>
    <col min="11780" max="11780" width="10" style="1" bestFit="1" customWidth="1"/>
    <col min="11781" max="12022" width="9.08984375" style="1"/>
    <col min="12023" max="12023" width="7.6328125" style="1" bestFit="1" customWidth="1"/>
    <col min="12024" max="12024" width="88.36328125" style="1" customWidth="1"/>
    <col min="12025" max="12025" width="13" style="1" customWidth="1"/>
    <col min="12026" max="12026" width="18" style="1" customWidth="1"/>
    <col min="12027" max="12027" width="17" style="1" customWidth="1"/>
    <col min="12028" max="12028" width="17.90625" style="1" customWidth="1"/>
    <col min="12029" max="12029" width="20.453125" style="1" customWidth="1"/>
    <col min="12030" max="12030" width="14.90625" style="1" customWidth="1"/>
    <col min="12031" max="12033" width="18.08984375" style="1" customWidth="1"/>
    <col min="12034" max="12034" width="20.453125" style="1" customWidth="1"/>
    <col min="12035" max="12035" width="14.08984375" style="1" bestFit="1" customWidth="1"/>
    <col min="12036" max="12036" width="10" style="1" bestFit="1" customWidth="1"/>
    <col min="12037" max="12278" width="9.08984375" style="1"/>
    <col min="12279" max="12279" width="7.6328125" style="1" bestFit="1" customWidth="1"/>
    <col min="12280" max="12280" width="88.36328125" style="1" customWidth="1"/>
    <col min="12281" max="12281" width="13" style="1" customWidth="1"/>
    <col min="12282" max="12282" width="18" style="1" customWidth="1"/>
    <col min="12283" max="12283" width="17" style="1" customWidth="1"/>
    <col min="12284" max="12284" width="17.90625" style="1" customWidth="1"/>
    <col min="12285" max="12285" width="20.453125" style="1" customWidth="1"/>
    <col min="12286" max="12286" width="14.90625" style="1" customWidth="1"/>
    <col min="12287" max="12289" width="18.08984375" style="1" customWidth="1"/>
    <col min="12290" max="12290" width="20.453125" style="1" customWidth="1"/>
    <col min="12291" max="12291" width="14.08984375" style="1" bestFit="1" customWidth="1"/>
    <col min="12292" max="12292" width="10" style="1" bestFit="1" customWidth="1"/>
    <col min="12293" max="12534" width="9.08984375" style="1"/>
    <col min="12535" max="12535" width="7.6328125" style="1" bestFit="1" customWidth="1"/>
    <col min="12536" max="12536" width="88.36328125" style="1" customWidth="1"/>
    <col min="12537" max="12537" width="13" style="1" customWidth="1"/>
    <col min="12538" max="12538" width="18" style="1" customWidth="1"/>
    <col min="12539" max="12539" width="17" style="1" customWidth="1"/>
    <col min="12540" max="12540" width="17.90625" style="1" customWidth="1"/>
    <col min="12541" max="12541" width="20.453125" style="1" customWidth="1"/>
    <col min="12542" max="12542" width="14.90625" style="1" customWidth="1"/>
    <col min="12543" max="12545" width="18.08984375" style="1" customWidth="1"/>
    <col min="12546" max="12546" width="20.453125" style="1" customWidth="1"/>
    <col min="12547" max="12547" width="14.08984375" style="1" bestFit="1" customWidth="1"/>
    <col min="12548" max="12548" width="10" style="1" bestFit="1" customWidth="1"/>
    <col min="12549" max="12790" width="9.08984375" style="1"/>
    <col min="12791" max="12791" width="7.6328125" style="1" bestFit="1" customWidth="1"/>
    <col min="12792" max="12792" width="88.36328125" style="1" customWidth="1"/>
    <col min="12793" max="12793" width="13" style="1" customWidth="1"/>
    <col min="12794" max="12794" width="18" style="1" customWidth="1"/>
    <col min="12795" max="12795" width="17" style="1" customWidth="1"/>
    <col min="12796" max="12796" width="17.90625" style="1" customWidth="1"/>
    <col min="12797" max="12797" width="20.453125" style="1" customWidth="1"/>
    <col min="12798" max="12798" width="14.90625" style="1" customWidth="1"/>
    <col min="12799" max="12801" width="18.08984375" style="1" customWidth="1"/>
    <col min="12802" max="12802" width="20.453125" style="1" customWidth="1"/>
    <col min="12803" max="12803" width="14.08984375" style="1" bestFit="1" customWidth="1"/>
    <col min="12804" max="12804" width="10" style="1" bestFit="1" customWidth="1"/>
    <col min="12805" max="13046" width="9.08984375" style="1"/>
    <col min="13047" max="13047" width="7.6328125" style="1" bestFit="1" customWidth="1"/>
    <col min="13048" max="13048" width="88.36328125" style="1" customWidth="1"/>
    <col min="13049" max="13049" width="13" style="1" customWidth="1"/>
    <col min="13050" max="13050" width="18" style="1" customWidth="1"/>
    <col min="13051" max="13051" width="17" style="1" customWidth="1"/>
    <col min="13052" max="13052" width="17.90625" style="1" customWidth="1"/>
    <col min="13053" max="13053" width="20.453125" style="1" customWidth="1"/>
    <col min="13054" max="13054" width="14.90625" style="1" customWidth="1"/>
    <col min="13055" max="13057" width="18.08984375" style="1" customWidth="1"/>
    <col min="13058" max="13058" width="20.453125" style="1" customWidth="1"/>
    <col min="13059" max="13059" width="14.08984375" style="1" bestFit="1" customWidth="1"/>
    <col min="13060" max="13060" width="10" style="1" bestFit="1" customWidth="1"/>
    <col min="13061" max="13302" width="9.08984375" style="1"/>
    <col min="13303" max="13303" width="7.6328125" style="1" bestFit="1" customWidth="1"/>
    <col min="13304" max="13304" width="88.36328125" style="1" customWidth="1"/>
    <col min="13305" max="13305" width="13" style="1" customWidth="1"/>
    <col min="13306" max="13306" width="18" style="1" customWidth="1"/>
    <col min="13307" max="13307" width="17" style="1" customWidth="1"/>
    <col min="13308" max="13308" width="17.90625" style="1" customWidth="1"/>
    <col min="13309" max="13309" width="20.453125" style="1" customWidth="1"/>
    <col min="13310" max="13310" width="14.90625" style="1" customWidth="1"/>
    <col min="13311" max="13313" width="18.08984375" style="1" customWidth="1"/>
    <col min="13314" max="13314" width="20.453125" style="1" customWidth="1"/>
    <col min="13315" max="13315" width="14.08984375" style="1" bestFit="1" customWidth="1"/>
    <col min="13316" max="13316" width="10" style="1" bestFit="1" customWidth="1"/>
    <col min="13317" max="13558" width="9.08984375" style="1"/>
    <col min="13559" max="13559" width="7.6328125" style="1" bestFit="1" customWidth="1"/>
    <col min="13560" max="13560" width="88.36328125" style="1" customWidth="1"/>
    <col min="13561" max="13561" width="13" style="1" customWidth="1"/>
    <col min="13562" max="13562" width="18" style="1" customWidth="1"/>
    <col min="13563" max="13563" width="17" style="1" customWidth="1"/>
    <col min="13564" max="13564" width="17.90625" style="1" customWidth="1"/>
    <col min="13565" max="13565" width="20.453125" style="1" customWidth="1"/>
    <col min="13566" max="13566" width="14.90625" style="1" customWidth="1"/>
    <col min="13567" max="13569" width="18.08984375" style="1" customWidth="1"/>
    <col min="13570" max="13570" width="20.453125" style="1" customWidth="1"/>
    <col min="13571" max="13571" width="14.08984375" style="1" bestFit="1" customWidth="1"/>
    <col min="13572" max="13572" width="10" style="1" bestFit="1" customWidth="1"/>
    <col min="13573" max="13814" width="9.08984375" style="1"/>
    <col min="13815" max="13815" width="7.6328125" style="1" bestFit="1" customWidth="1"/>
    <col min="13816" max="13816" width="88.36328125" style="1" customWidth="1"/>
    <col min="13817" max="13817" width="13" style="1" customWidth="1"/>
    <col min="13818" max="13818" width="18" style="1" customWidth="1"/>
    <col min="13819" max="13819" width="17" style="1" customWidth="1"/>
    <col min="13820" max="13820" width="17.90625" style="1" customWidth="1"/>
    <col min="13821" max="13821" width="20.453125" style="1" customWidth="1"/>
    <col min="13822" max="13822" width="14.90625" style="1" customWidth="1"/>
    <col min="13823" max="13825" width="18.08984375" style="1" customWidth="1"/>
    <col min="13826" max="13826" width="20.453125" style="1" customWidth="1"/>
    <col min="13827" max="13827" width="14.08984375" style="1" bestFit="1" customWidth="1"/>
    <col min="13828" max="13828" width="10" style="1" bestFit="1" customWidth="1"/>
    <col min="13829" max="14070" width="9.08984375" style="1"/>
    <col min="14071" max="14071" width="7.6328125" style="1" bestFit="1" customWidth="1"/>
    <col min="14072" max="14072" width="88.36328125" style="1" customWidth="1"/>
    <col min="14073" max="14073" width="13" style="1" customWidth="1"/>
    <col min="14074" max="14074" width="18" style="1" customWidth="1"/>
    <col min="14075" max="14075" width="17" style="1" customWidth="1"/>
    <col min="14076" max="14076" width="17.90625" style="1" customWidth="1"/>
    <col min="14077" max="14077" width="20.453125" style="1" customWidth="1"/>
    <col min="14078" max="14078" width="14.90625" style="1" customWidth="1"/>
    <col min="14079" max="14081" width="18.08984375" style="1" customWidth="1"/>
    <col min="14082" max="14082" width="20.453125" style="1" customWidth="1"/>
    <col min="14083" max="14083" width="14.08984375" style="1" bestFit="1" customWidth="1"/>
    <col min="14084" max="14084" width="10" style="1" bestFit="1" customWidth="1"/>
    <col min="14085" max="14326" width="9.08984375" style="1"/>
    <col min="14327" max="14327" width="7.6328125" style="1" bestFit="1" customWidth="1"/>
    <col min="14328" max="14328" width="88.36328125" style="1" customWidth="1"/>
    <col min="14329" max="14329" width="13" style="1" customWidth="1"/>
    <col min="14330" max="14330" width="18" style="1" customWidth="1"/>
    <col min="14331" max="14331" width="17" style="1" customWidth="1"/>
    <col min="14332" max="14332" width="17.90625" style="1" customWidth="1"/>
    <col min="14333" max="14333" width="20.453125" style="1" customWidth="1"/>
    <col min="14334" max="14334" width="14.90625" style="1" customWidth="1"/>
    <col min="14335" max="14337" width="18.08984375" style="1" customWidth="1"/>
    <col min="14338" max="14338" width="20.453125" style="1" customWidth="1"/>
    <col min="14339" max="14339" width="14.08984375" style="1" bestFit="1" customWidth="1"/>
    <col min="14340" max="14340" width="10" style="1" bestFit="1" customWidth="1"/>
    <col min="14341" max="14582" width="9.08984375" style="1"/>
    <col min="14583" max="14583" width="7.6328125" style="1" bestFit="1" customWidth="1"/>
    <col min="14584" max="14584" width="88.36328125" style="1" customWidth="1"/>
    <col min="14585" max="14585" width="13" style="1" customWidth="1"/>
    <col min="14586" max="14586" width="18" style="1" customWidth="1"/>
    <col min="14587" max="14587" width="17" style="1" customWidth="1"/>
    <col min="14588" max="14588" width="17.90625" style="1" customWidth="1"/>
    <col min="14589" max="14589" width="20.453125" style="1" customWidth="1"/>
    <col min="14590" max="14590" width="14.90625" style="1" customWidth="1"/>
    <col min="14591" max="14593" width="18.08984375" style="1" customWidth="1"/>
    <col min="14594" max="14594" width="20.453125" style="1" customWidth="1"/>
    <col min="14595" max="14595" width="14.08984375" style="1" bestFit="1" customWidth="1"/>
    <col min="14596" max="14596" width="10" style="1" bestFit="1" customWidth="1"/>
    <col min="14597" max="14838" width="9.08984375" style="1"/>
    <col min="14839" max="14839" width="7.6328125" style="1" bestFit="1" customWidth="1"/>
    <col min="14840" max="14840" width="88.36328125" style="1" customWidth="1"/>
    <col min="14841" max="14841" width="13" style="1" customWidth="1"/>
    <col min="14842" max="14842" width="18" style="1" customWidth="1"/>
    <col min="14843" max="14843" width="17" style="1" customWidth="1"/>
    <col min="14844" max="14844" width="17.90625" style="1" customWidth="1"/>
    <col min="14845" max="14845" width="20.453125" style="1" customWidth="1"/>
    <col min="14846" max="14846" width="14.90625" style="1" customWidth="1"/>
    <col min="14847" max="14849" width="18.08984375" style="1" customWidth="1"/>
    <col min="14850" max="14850" width="20.453125" style="1" customWidth="1"/>
    <col min="14851" max="14851" width="14.08984375" style="1" bestFit="1" customWidth="1"/>
    <col min="14852" max="14852" width="10" style="1" bestFit="1" customWidth="1"/>
    <col min="14853" max="15094" width="9.08984375" style="1"/>
    <col min="15095" max="15095" width="7.6328125" style="1" bestFit="1" customWidth="1"/>
    <col min="15096" max="15096" width="88.36328125" style="1" customWidth="1"/>
    <col min="15097" max="15097" width="13" style="1" customWidth="1"/>
    <col min="15098" max="15098" width="18" style="1" customWidth="1"/>
    <col min="15099" max="15099" width="17" style="1" customWidth="1"/>
    <col min="15100" max="15100" width="17.90625" style="1" customWidth="1"/>
    <col min="15101" max="15101" width="20.453125" style="1" customWidth="1"/>
    <col min="15102" max="15102" width="14.90625" style="1" customWidth="1"/>
    <col min="15103" max="15105" width="18.08984375" style="1" customWidth="1"/>
    <col min="15106" max="15106" width="20.453125" style="1" customWidth="1"/>
    <col min="15107" max="15107" width="14.08984375" style="1" bestFit="1" customWidth="1"/>
    <col min="15108" max="15108" width="10" style="1" bestFit="1" customWidth="1"/>
    <col min="15109" max="15350" width="9.08984375" style="1"/>
    <col min="15351" max="15351" width="7.6328125" style="1" bestFit="1" customWidth="1"/>
    <col min="15352" max="15352" width="88.36328125" style="1" customWidth="1"/>
    <col min="15353" max="15353" width="13" style="1" customWidth="1"/>
    <col min="15354" max="15354" width="18" style="1" customWidth="1"/>
    <col min="15355" max="15355" width="17" style="1" customWidth="1"/>
    <col min="15356" max="15356" width="17.90625" style="1" customWidth="1"/>
    <col min="15357" max="15357" width="20.453125" style="1" customWidth="1"/>
    <col min="15358" max="15358" width="14.90625" style="1" customWidth="1"/>
    <col min="15359" max="15361" width="18.08984375" style="1" customWidth="1"/>
    <col min="15362" max="15362" width="20.453125" style="1" customWidth="1"/>
    <col min="15363" max="15363" width="14.08984375" style="1" bestFit="1" customWidth="1"/>
    <col min="15364" max="15364" width="10" style="1" bestFit="1" customWidth="1"/>
    <col min="15365" max="15606" width="9.08984375" style="1"/>
    <col min="15607" max="15607" width="7.6328125" style="1" bestFit="1" customWidth="1"/>
    <col min="15608" max="15608" width="88.36328125" style="1" customWidth="1"/>
    <col min="15609" max="15609" width="13" style="1" customWidth="1"/>
    <col min="15610" max="15610" width="18" style="1" customWidth="1"/>
    <col min="15611" max="15611" width="17" style="1" customWidth="1"/>
    <col min="15612" max="15612" width="17.90625" style="1" customWidth="1"/>
    <col min="15613" max="15613" width="20.453125" style="1" customWidth="1"/>
    <col min="15614" max="15614" width="14.90625" style="1" customWidth="1"/>
    <col min="15615" max="15617" width="18.08984375" style="1" customWidth="1"/>
    <col min="15618" max="15618" width="20.453125" style="1" customWidth="1"/>
    <col min="15619" max="15619" width="14.08984375" style="1" bestFit="1" customWidth="1"/>
    <col min="15620" max="15620" width="10" style="1" bestFit="1" customWidth="1"/>
    <col min="15621" max="15862" width="9.08984375" style="1"/>
    <col min="15863" max="15863" width="7.6328125" style="1" bestFit="1" customWidth="1"/>
    <col min="15864" max="15864" width="88.36328125" style="1" customWidth="1"/>
    <col min="15865" max="15865" width="13" style="1" customWidth="1"/>
    <col min="15866" max="15866" width="18" style="1" customWidth="1"/>
    <col min="15867" max="15867" width="17" style="1" customWidth="1"/>
    <col min="15868" max="15868" width="17.90625" style="1" customWidth="1"/>
    <col min="15869" max="15869" width="20.453125" style="1" customWidth="1"/>
    <col min="15870" max="15870" width="14.90625" style="1" customWidth="1"/>
    <col min="15871" max="15873" width="18.08984375" style="1" customWidth="1"/>
    <col min="15874" max="15874" width="20.453125" style="1" customWidth="1"/>
    <col min="15875" max="15875" width="14.08984375" style="1" bestFit="1" customWidth="1"/>
    <col min="15876" max="15876" width="10" style="1" bestFit="1" customWidth="1"/>
    <col min="15877" max="16118" width="9.08984375" style="1"/>
    <col min="16119" max="16119" width="7.6328125" style="1" bestFit="1" customWidth="1"/>
    <col min="16120" max="16120" width="88.36328125" style="1" customWidth="1"/>
    <col min="16121" max="16121" width="13" style="1" customWidth="1"/>
    <col min="16122" max="16122" width="18" style="1" customWidth="1"/>
    <col min="16123" max="16123" width="17" style="1" customWidth="1"/>
    <col min="16124" max="16124" width="17.90625" style="1" customWidth="1"/>
    <col min="16125" max="16125" width="20.453125" style="1" customWidth="1"/>
    <col min="16126" max="16126" width="14.90625" style="1" customWidth="1"/>
    <col min="16127" max="16129" width="18.08984375" style="1" customWidth="1"/>
    <col min="16130" max="16130" width="20.453125" style="1" customWidth="1"/>
    <col min="16131" max="16131" width="14.08984375" style="1" bestFit="1" customWidth="1"/>
    <col min="16132" max="16132" width="10" style="1" bestFit="1" customWidth="1"/>
    <col min="16133" max="16374" width="9.08984375" style="1"/>
    <col min="16375" max="16384" width="9.08984375" style="1" customWidth="1"/>
  </cols>
  <sheetData>
    <row r="1" spans="1:9" s="29" customFormat="1" x14ac:dyDescent="0.25">
      <c r="A1" s="26" t="s">
        <v>7</v>
      </c>
      <c r="B1" s="27"/>
      <c r="C1" s="27"/>
      <c r="D1" s="79"/>
      <c r="E1" s="27"/>
      <c r="F1" s="27"/>
      <c r="G1" s="27"/>
      <c r="H1" s="27"/>
      <c r="I1" s="28"/>
    </row>
    <row r="2" spans="1:9" s="29" customFormat="1" x14ac:dyDescent="0.25">
      <c r="A2" s="26" t="str">
        <f>'Items 1,2,3-Construction Works'!A2</f>
        <v>TENDER NO. :   D-111808</v>
      </c>
      <c r="B2" s="27"/>
      <c r="C2" s="27"/>
      <c r="D2" s="79"/>
      <c r="E2" s="27"/>
      <c r="F2" s="27"/>
      <c r="G2" s="27"/>
      <c r="H2" s="27"/>
      <c r="I2" s="28"/>
    </row>
    <row r="3" spans="1:9" s="29" customFormat="1" x14ac:dyDescent="0.25">
      <c r="A3" s="26" t="str">
        <f>'Items 1,2,3-Construction Works'!A3</f>
        <v>CONSTRUCTION WORKS FOR REPLACEMENT OF SHBPRY, SMHPRY AND DRPRY SUBSTATION IN EASTERN REGION</v>
      </c>
      <c r="C3" s="28"/>
      <c r="D3" s="80"/>
      <c r="E3" s="26"/>
      <c r="F3" s="26"/>
      <c r="G3" s="26"/>
      <c r="H3" s="26"/>
      <c r="I3" s="26"/>
    </row>
    <row r="4" spans="1:9" s="29" customFormat="1" ht="26.25" customHeight="1" x14ac:dyDescent="0.25">
      <c r="A4" s="30" t="str">
        <f>'Items 1,2,3-Construction Works'!A4</f>
        <v>LOT 1: SHOBAISI PRY (SHBPRY)</v>
      </c>
      <c r="C4" s="27"/>
      <c r="D4" s="79"/>
      <c r="E4" s="191"/>
      <c r="F4" s="191"/>
      <c r="G4" s="191"/>
      <c r="H4" s="191"/>
      <c r="I4" s="191"/>
    </row>
    <row r="5" spans="1:9" s="29" customFormat="1" ht="42" customHeight="1" x14ac:dyDescent="0.25">
      <c r="A5" s="199" t="s">
        <v>8</v>
      </c>
      <c r="B5" s="192" t="s">
        <v>0</v>
      </c>
      <c r="C5" s="192" t="s">
        <v>1</v>
      </c>
      <c r="D5" s="240" t="s">
        <v>9</v>
      </c>
      <c r="E5" s="192" t="s">
        <v>10</v>
      </c>
      <c r="F5" s="192"/>
      <c r="G5" s="192" t="s">
        <v>11</v>
      </c>
      <c r="H5" s="192"/>
      <c r="I5" s="126" t="s">
        <v>12</v>
      </c>
    </row>
    <row r="6" spans="1:9" s="29" customFormat="1" ht="10.5" customHeight="1" x14ac:dyDescent="0.25">
      <c r="A6" s="200"/>
      <c r="B6" s="192"/>
      <c r="C6" s="192"/>
      <c r="D6" s="240"/>
      <c r="E6" s="192" t="s">
        <v>13</v>
      </c>
      <c r="F6" s="192" t="s">
        <v>14</v>
      </c>
      <c r="G6" s="192" t="s">
        <v>15</v>
      </c>
      <c r="H6" s="192" t="s">
        <v>16</v>
      </c>
      <c r="I6" s="126"/>
    </row>
    <row r="7" spans="1:9" s="29" customFormat="1" ht="21.75" customHeight="1" x14ac:dyDescent="0.25">
      <c r="A7" s="201"/>
      <c r="B7" s="192"/>
      <c r="C7" s="192"/>
      <c r="D7" s="240"/>
      <c r="E7" s="192"/>
      <c r="F7" s="192"/>
      <c r="G7" s="192"/>
      <c r="H7" s="192"/>
      <c r="I7" s="126" t="s">
        <v>17</v>
      </c>
    </row>
    <row r="8" spans="1:9" s="29" customFormat="1" ht="144.75" customHeight="1" x14ac:dyDescent="0.25">
      <c r="A8" s="31"/>
      <c r="B8" s="32" t="s">
        <v>18</v>
      </c>
      <c r="C8" s="33"/>
      <c r="D8" s="81"/>
      <c r="E8" s="34"/>
      <c r="F8" s="34"/>
      <c r="G8" s="34"/>
      <c r="H8" s="34"/>
      <c r="I8" s="33"/>
    </row>
    <row r="9" spans="1:9" ht="50" x14ac:dyDescent="0.25">
      <c r="A9" s="64">
        <v>5</v>
      </c>
      <c r="B9" s="65" t="s">
        <v>745</v>
      </c>
      <c r="C9" s="64"/>
      <c r="D9" s="88"/>
      <c r="E9" s="133"/>
      <c r="F9" s="65"/>
      <c r="G9" s="133"/>
      <c r="H9" s="65"/>
      <c r="I9" s="64"/>
    </row>
    <row r="10" spans="1:9" ht="54" x14ac:dyDescent="0.25">
      <c r="A10" s="127">
        <v>5.0999999999999996</v>
      </c>
      <c r="B10" s="21" t="s">
        <v>289</v>
      </c>
      <c r="C10" s="59" t="s">
        <v>2</v>
      </c>
      <c r="D10" s="86">
        <v>1</v>
      </c>
      <c r="E10" s="152">
        <v>0</v>
      </c>
      <c r="F10" s="153">
        <f>D10*E10</f>
        <v>0</v>
      </c>
      <c r="G10" s="152">
        <v>1771310</v>
      </c>
      <c r="H10" s="153">
        <f t="shared" ref="H10" si="0">D10*G10</f>
        <v>1771310</v>
      </c>
      <c r="I10" s="154">
        <f t="shared" ref="I10" si="1">F10+H10</f>
        <v>1771310</v>
      </c>
    </row>
    <row r="11" spans="1:9" ht="60" customHeight="1" x14ac:dyDescent="0.25">
      <c r="A11" s="64">
        <v>6</v>
      </c>
      <c r="B11" s="65" t="s">
        <v>142</v>
      </c>
      <c r="C11" s="64"/>
      <c r="D11" s="88"/>
      <c r="E11" s="174"/>
      <c r="F11" s="175"/>
      <c r="G11" s="174"/>
      <c r="H11" s="175"/>
      <c r="I11" s="175"/>
    </row>
    <row r="12" spans="1:9" ht="72" x14ac:dyDescent="0.25">
      <c r="A12" s="127">
        <v>6.1</v>
      </c>
      <c r="B12" s="21" t="s">
        <v>143</v>
      </c>
      <c r="C12" s="59" t="s">
        <v>2</v>
      </c>
      <c r="D12" s="86">
        <v>1</v>
      </c>
      <c r="E12" s="152">
        <v>0</v>
      </c>
      <c r="F12" s="153">
        <f t="shared" ref="F12" si="2">D12*E12</f>
        <v>0</v>
      </c>
      <c r="G12" s="152">
        <v>1119330</v>
      </c>
      <c r="H12" s="153">
        <f t="shared" ref="H12" si="3">D12*G12</f>
        <v>1119330</v>
      </c>
      <c r="I12" s="154">
        <f t="shared" ref="I12" si="4">F12+H12</f>
        <v>1119330</v>
      </c>
    </row>
    <row r="13" spans="1:9" ht="47.25" customHeight="1" x14ac:dyDescent="0.25">
      <c r="A13" s="64">
        <v>7</v>
      </c>
      <c r="B13" s="65" t="s">
        <v>147</v>
      </c>
      <c r="C13" s="64"/>
      <c r="D13" s="88"/>
      <c r="E13" s="174"/>
      <c r="F13" s="175"/>
      <c r="G13" s="174"/>
      <c r="H13" s="175"/>
      <c r="I13" s="175"/>
    </row>
    <row r="14" spans="1:9" ht="72" x14ac:dyDescent="0.25">
      <c r="A14" s="127"/>
      <c r="B14" s="21" t="s">
        <v>148</v>
      </c>
      <c r="C14" s="59"/>
      <c r="D14" s="86"/>
      <c r="E14" s="152"/>
      <c r="F14" s="153"/>
      <c r="G14" s="152"/>
      <c r="H14" s="153"/>
      <c r="I14" s="154"/>
    </row>
    <row r="15" spans="1:9" ht="90" x14ac:dyDescent="0.25">
      <c r="A15" s="127">
        <v>7.1</v>
      </c>
      <c r="B15" s="21" t="s">
        <v>159</v>
      </c>
      <c r="C15" s="59" t="s">
        <v>2</v>
      </c>
      <c r="D15" s="86">
        <v>1</v>
      </c>
      <c r="E15" s="152">
        <v>173090</v>
      </c>
      <c r="F15" s="153">
        <f t="shared" ref="F15:F16" si="5">D15*E15</f>
        <v>173090</v>
      </c>
      <c r="G15" s="152">
        <v>57700</v>
      </c>
      <c r="H15" s="153">
        <f t="shared" ref="H15:H16" si="6">D15*G15</f>
        <v>57700</v>
      </c>
      <c r="I15" s="154">
        <f t="shared" ref="I15:I16" si="7">F15+H15</f>
        <v>230790</v>
      </c>
    </row>
    <row r="16" spans="1:9" ht="54" x14ac:dyDescent="0.25">
      <c r="A16" s="127">
        <v>7.2</v>
      </c>
      <c r="B16" s="21" t="s">
        <v>288</v>
      </c>
      <c r="C16" s="59" t="s">
        <v>287</v>
      </c>
      <c r="D16" s="86">
        <v>1000</v>
      </c>
      <c r="E16" s="152">
        <v>0</v>
      </c>
      <c r="F16" s="153">
        <f t="shared" si="5"/>
        <v>0</v>
      </c>
      <c r="G16" s="152">
        <v>460</v>
      </c>
      <c r="H16" s="153">
        <f t="shared" si="6"/>
        <v>460000</v>
      </c>
      <c r="I16" s="154">
        <f t="shared" si="7"/>
        <v>460000</v>
      </c>
    </row>
    <row r="17" spans="1:9" ht="42.75" customHeight="1" x14ac:dyDescent="0.25">
      <c r="A17" s="195" t="s">
        <v>152</v>
      </c>
      <c r="B17" s="196"/>
      <c r="C17" s="67"/>
      <c r="D17" s="87"/>
      <c r="E17" s="176"/>
      <c r="F17" s="166">
        <f>SUM(F15:F16)</f>
        <v>173090</v>
      </c>
      <c r="G17" s="165"/>
      <c r="H17" s="166">
        <f>SUM(H15:H16)</f>
        <v>517700</v>
      </c>
      <c r="I17" s="166">
        <f>SUM(I15:I16)</f>
        <v>690790</v>
      </c>
    </row>
    <row r="18" spans="1:9" ht="75" x14ac:dyDescent="0.25">
      <c r="A18" s="64">
        <v>8</v>
      </c>
      <c r="B18" s="65" t="s">
        <v>149</v>
      </c>
      <c r="C18" s="64"/>
      <c r="D18" s="88"/>
      <c r="E18" s="174"/>
      <c r="F18" s="175"/>
      <c r="G18" s="174"/>
      <c r="H18" s="175"/>
      <c r="I18" s="175"/>
    </row>
    <row r="19" spans="1:9" ht="54" x14ac:dyDescent="0.25">
      <c r="A19" s="127">
        <v>8.1</v>
      </c>
      <c r="B19" s="21" t="s">
        <v>151</v>
      </c>
      <c r="C19" s="59" t="s">
        <v>2</v>
      </c>
      <c r="D19" s="86">
        <v>1</v>
      </c>
      <c r="E19" s="152">
        <v>0</v>
      </c>
      <c r="F19" s="153">
        <f t="shared" ref="F19" si="8">D19*E19</f>
        <v>0</v>
      </c>
      <c r="G19" s="152">
        <v>295410</v>
      </c>
      <c r="H19" s="153">
        <f t="shared" ref="H19" si="9">D19*G19</f>
        <v>295410</v>
      </c>
      <c r="I19" s="154">
        <f t="shared" ref="I19" si="10">F19+H19</f>
        <v>295410</v>
      </c>
    </row>
    <row r="20" spans="1:9" ht="25.5" customHeight="1" x14ac:dyDescent="0.25">
      <c r="A20" s="42"/>
      <c r="B20" s="42"/>
      <c r="C20" s="42"/>
      <c r="D20" s="89"/>
      <c r="E20" s="177"/>
      <c r="F20" s="167"/>
      <c r="G20" s="167"/>
      <c r="H20" s="167"/>
      <c r="I20" s="167"/>
    </row>
    <row r="21" spans="1:9" ht="45.15" customHeight="1" x14ac:dyDescent="0.25">
      <c r="A21" s="70" t="s">
        <v>144</v>
      </c>
      <c r="B21" s="77" t="str">
        <f>B9</f>
        <v>Dismantling, Decommissioning &amp; Demolition Works of existing old 33/11kV primary substation (SHBPRY)</v>
      </c>
      <c r="C21" s="40"/>
      <c r="D21" s="83"/>
      <c r="E21" s="154"/>
      <c r="F21" s="154">
        <f>F10</f>
        <v>0</v>
      </c>
      <c r="G21" s="154"/>
      <c r="H21" s="154">
        <f>H10</f>
        <v>1771310</v>
      </c>
      <c r="I21" s="154">
        <f>I10</f>
        <v>1771310</v>
      </c>
    </row>
    <row r="22" spans="1:9" ht="45.15" customHeight="1" x14ac:dyDescent="0.25">
      <c r="A22" s="70" t="s">
        <v>145</v>
      </c>
      <c r="B22" s="77" t="str">
        <f>B11</f>
        <v>Dismantling &amp; Decommissioning Works of old 2 nos. Package Units  (SHBPRY2 &amp; SHBPRY3)</v>
      </c>
      <c r="C22" s="40"/>
      <c r="D22" s="83"/>
      <c r="E22" s="154"/>
      <c r="F22" s="154">
        <f>F12</f>
        <v>0</v>
      </c>
      <c r="G22" s="154"/>
      <c r="H22" s="154">
        <f>H12</f>
        <v>1119330</v>
      </c>
      <c r="I22" s="154">
        <f>I12</f>
        <v>1119330</v>
      </c>
    </row>
    <row r="23" spans="1:9" ht="45.15" customHeight="1" x14ac:dyDescent="0.25">
      <c r="A23" s="70" t="s">
        <v>146</v>
      </c>
      <c r="B23" s="77" t="str">
        <f>B13</f>
        <v>33kV OHL Modification works for SHBPRY</v>
      </c>
      <c r="C23" s="40"/>
      <c r="D23" s="83"/>
      <c r="E23" s="154"/>
      <c r="F23" s="154">
        <f>F17</f>
        <v>173090</v>
      </c>
      <c r="G23" s="154"/>
      <c r="H23" s="154">
        <f>H17</f>
        <v>517700</v>
      </c>
      <c r="I23" s="154">
        <f>I17</f>
        <v>690790</v>
      </c>
    </row>
    <row r="24" spans="1:9" ht="72" customHeight="1" x14ac:dyDescent="0.25">
      <c r="A24" s="70" t="s">
        <v>150</v>
      </c>
      <c r="B24" s="77" t="str">
        <f>B18</f>
        <v>Shifting of existing 11kV TRM (GIS name: OKH12) to a location near existing TRM (DHS08) to connect Radial Transformer (SHB02) into a ring feeder</v>
      </c>
      <c r="C24" s="40"/>
      <c r="D24" s="83"/>
      <c r="E24" s="154"/>
      <c r="F24" s="154">
        <f>F19</f>
        <v>0</v>
      </c>
      <c r="G24" s="154"/>
      <c r="H24" s="154">
        <f>H19</f>
        <v>295410</v>
      </c>
      <c r="I24" s="154">
        <f>I19</f>
        <v>295410</v>
      </c>
    </row>
    <row r="25" spans="1:9" ht="50.25" customHeight="1" x14ac:dyDescent="0.25">
      <c r="A25" s="48"/>
      <c r="B25" s="12"/>
      <c r="C25" s="40"/>
      <c r="D25" s="83"/>
      <c r="E25" s="154"/>
      <c r="F25" s="154"/>
      <c r="G25" s="154"/>
      <c r="H25" s="154"/>
      <c r="I25" s="154"/>
    </row>
    <row r="26" spans="1:9" ht="51.9" customHeight="1" x14ac:dyDescent="0.25">
      <c r="A26" s="239" t="s">
        <v>296</v>
      </c>
      <c r="B26" s="239"/>
      <c r="C26" s="78"/>
      <c r="D26" s="90"/>
      <c r="E26" s="169"/>
      <c r="F26" s="170">
        <f>SUM(F21:F24)</f>
        <v>173090</v>
      </c>
      <c r="G26" s="170"/>
      <c r="H26" s="170">
        <f>SUM(H21:H24)</f>
        <v>3703750</v>
      </c>
      <c r="I26" s="170">
        <f>SUM(I21:I24)</f>
        <v>3876840</v>
      </c>
    </row>
  </sheetData>
  <mergeCells count="13">
    <mergeCell ref="A17:B17"/>
    <mergeCell ref="A26:B26"/>
    <mergeCell ref="H6:H7"/>
    <mergeCell ref="E4:I4"/>
    <mergeCell ref="A5:A7"/>
    <mergeCell ref="B5:B7"/>
    <mergeCell ref="C5:C7"/>
    <mergeCell ref="D5:D7"/>
    <mergeCell ref="E5:F5"/>
    <mergeCell ref="G5:H5"/>
    <mergeCell ref="E6:E7"/>
    <mergeCell ref="F6:F7"/>
    <mergeCell ref="G6:G7"/>
  </mergeCells>
  <printOptions horizontalCentered="1"/>
  <pageMargins left="0.70866141732283505" right="0.70866141732283505" top="1.5748031496063" bottom="1.1023622047244099" header="0.59055118110236204" footer="0.59055118110236204"/>
  <pageSetup paperSize="9" scale="50" fitToHeight="0" orientation="landscape" r:id="rId1"/>
  <headerFooter>
    <oddHeader>&amp;L&amp;18CONSTRUCTION WORKS FOR REPLACEMENT OF SHBPRY, SMHPRY AND DRPRY SUBSTATION IN EASTERN REGION&amp;R&amp;G</oddHeader>
    <oddFooter>&amp;C&amp;18Page &amp;P of &amp;N&amp;R&amp;18May 2023</oddFooter>
  </headerFooter>
  <rowBreaks count="1" manualBreakCount="1">
    <brk id="16" max="8"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58"/>
  <sheetViews>
    <sheetView tabSelected="1" view="pageBreakPreview" zoomScale="60" zoomScaleNormal="70" zoomScalePageLayoutView="70" workbookViewId="0">
      <selection activeCell="C166" sqref="C166"/>
    </sheetView>
  </sheetViews>
  <sheetFormatPr defaultRowHeight="18" x14ac:dyDescent="0.25"/>
  <cols>
    <col min="1" max="1" width="15" style="93" customWidth="1"/>
    <col min="2" max="2" width="95" style="97" customWidth="1"/>
    <col min="3" max="3" width="13" style="94" customWidth="1"/>
    <col min="4" max="4" width="21" style="95" customWidth="1"/>
    <col min="5" max="5" width="22.453125" style="11" customWidth="1"/>
    <col min="6" max="6" width="30.08984375" style="11" customWidth="1"/>
    <col min="7" max="7" width="12.08984375" style="11" customWidth="1"/>
    <col min="8" max="244" width="9.08984375" style="11"/>
    <col min="245" max="245" width="7.6328125" style="11" bestFit="1" customWidth="1"/>
    <col min="246" max="246" width="88.36328125" style="11" customWidth="1"/>
    <col min="247" max="247" width="13" style="11" customWidth="1"/>
    <col min="248" max="248" width="18" style="11" customWidth="1"/>
    <col min="249" max="249" width="17" style="11" customWidth="1"/>
    <col min="250" max="250" width="17.90625" style="11" customWidth="1"/>
    <col min="251" max="251" width="20.453125" style="11" customWidth="1"/>
    <col min="252" max="252" width="14.90625" style="11" customWidth="1"/>
    <col min="253" max="255" width="18.08984375" style="11" customWidth="1"/>
    <col min="256" max="256" width="20.453125" style="11" customWidth="1"/>
    <col min="257" max="257" width="14.08984375" style="11" bestFit="1" customWidth="1"/>
    <col min="258" max="258" width="10" style="11" bestFit="1" customWidth="1"/>
    <col min="259" max="500" width="9.08984375" style="11"/>
    <col min="501" max="501" width="7.6328125" style="11" bestFit="1" customWidth="1"/>
    <col min="502" max="502" width="88.36328125" style="11" customWidth="1"/>
    <col min="503" max="503" width="13" style="11" customWidth="1"/>
    <col min="504" max="504" width="18" style="11" customWidth="1"/>
    <col min="505" max="505" width="17" style="11" customWidth="1"/>
    <col min="506" max="506" width="17.90625" style="11" customWidth="1"/>
    <col min="507" max="507" width="20.453125" style="11" customWidth="1"/>
    <col min="508" max="508" width="14.90625" style="11" customWidth="1"/>
    <col min="509" max="511" width="18.08984375" style="11" customWidth="1"/>
    <col min="512" max="512" width="20.453125" style="11" customWidth="1"/>
    <col min="513" max="513" width="14.08984375" style="11" bestFit="1" customWidth="1"/>
    <col min="514" max="514" width="10" style="11" bestFit="1" customWidth="1"/>
    <col min="515" max="756" width="9.08984375" style="11"/>
    <col min="757" max="757" width="7.6328125" style="11" bestFit="1" customWidth="1"/>
    <col min="758" max="758" width="88.36328125" style="11" customWidth="1"/>
    <col min="759" max="759" width="13" style="11" customWidth="1"/>
    <col min="760" max="760" width="18" style="11" customWidth="1"/>
    <col min="761" max="761" width="17" style="11" customWidth="1"/>
    <col min="762" max="762" width="17.90625" style="11" customWidth="1"/>
    <col min="763" max="763" width="20.453125" style="11" customWidth="1"/>
    <col min="764" max="764" width="14.90625" style="11" customWidth="1"/>
    <col min="765" max="767" width="18.08984375" style="11" customWidth="1"/>
    <col min="768" max="768" width="20.453125" style="11" customWidth="1"/>
    <col min="769" max="769" width="14.08984375" style="11" bestFit="1" customWidth="1"/>
    <col min="770" max="770" width="10" style="11" bestFit="1" customWidth="1"/>
    <col min="771" max="1012" width="9.08984375" style="11"/>
    <col min="1013" max="1013" width="7.6328125" style="11" bestFit="1" customWidth="1"/>
    <col min="1014" max="1014" width="88.36328125" style="11" customWidth="1"/>
    <col min="1015" max="1015" width="13" style="11" customWidth="1"/>
    <col min="1016" max="1016" width="18" style="11" customWidth="1"/>
    <col min="1017" max="1017" width="17" style="11" customWidth="1"/>
    <col min="1018" max="1018" width="17.90625" style="11" customWidth="1"/>
    <col min="1019" max="1019" width="20.453125" style="11" customWidth="1"/>
    <col min="1020" max="1020" width="14.90625" style="11" customWidth="1"/>
    <col min="1021" max="1023" width="18.08984375" style="11" customWidth="1"/>
    <col min="1024" max="1024" width="20.453125" style="11" customWidth="1"/>
    <col min="1025" max="1025" width="14.08984375" style="11" bestFit="1" customWidth="1"/>
    <col min="1026" max="1026" width="10" style="11" bestFit="1" customWidth="1"/>
    <col min="1027" max="1268" width="9.08984375" style="11"/>
    <col min="1269" max="1269" width="7.6328125" style="11" bestFit="1" customWidth="1"/>
    <col min="1270" max="1270" width="88.36328125" style="11" customWidth="1"/>
    <col min="1271" max="1271" width="13" style="11" customWidth="1"/>
    <col min="1272" max="1272" width="18" style="11" customWidth="1"/>
    <col min="1273" max="1273" width="17" style="11" customWidth="1"/>
    <col min="1274" max="1274" width="17.90625" style="11" customWidth="1"/>
    <col min="1275" max="1275" width="20.453125" style="11" customWidth="1"/>
    <col min="1276" max="1276" width="14.90625" style="11" customWidth="1"/>
    <col min="1277" max="1279" width="18.08984375" style="11" customWidth="1"/>
    <col min="1280" max="1280" width="20.453125" style="11" customWidth="1"/>
    <col min="1281" max="1281" width="14.08984375" style="11" bestFit="1" customWidth="1"/>
    <col min="1282" max="1282" width="10" style="11" bestFit="1" customWidth="1"/>
    <col min="1283" max="1524" width="9.08984375" style="11"/>
    <col min="1525" max="1525" width="7.6328125" style="11" bestFit="1" customWidth="1"/>
    <col min="1526" max="1526" width="88.36328125" style="11" customWidth="1"/>
    <col min="1527" max="1527" width="13" style="11" customWidth="1"/>
    <col min="1528" max="1528" width="18" style="11" customWidth="1"/>
    <col min="1529" max="1529" width="17" style="11" customWidth="1"/>
    <col min="1530" max="1530" width="17.90625" style="11" customWidth="1"/>
    <col min="1531" max="1531" width="20.453125" style="11" customWidth="1"/>
    <col min="1532" max="1532" width="14.90625" style="11" customWidth="1"/>
    <col min="1533" max="1535" width="18.08984375" style="11" customWidth="1"/>
    <col min="1536" max="1536" width="20.453125" style="11" customWidth="1"/>
    <col min="1537" max="1537" width="14.08984375" style="11" bestFit="1" customWidth="1"/>
    <col min="1538" max="1538" width="10" style="11" bestFit="1" customWidth="1"/>
    <col min="1539" max="1780" width="9.08984375" style="11"/>
    <col min="1781" max="1781" width="7.6328125" style="11" bestFit="1" customWidth="1"/>
    <col min="1782" max="1782" width="88.36328125" style="11" customWidth="1"/>
    <col min="1783" max="1783" width="13" style="11" customWidth="1"/>
    <col min="1784" max="1784" width="18" style="11" customWidth="1"/>
    <col min="1785" max="1785" width="17" style="11" customWidth="1"/>
    <col min="1786" max="1786" width="17.90625" style="11" customWidth="1"/>
    <col min="1787" max="1787" width="20.453125" style="11" customWidth="1"/>
    <col min="1788" max="1788" width="14.90625" style="11" customWidth="1"/>
    <col min="1789" max="1791" width="18.08984375" style="11" customWidth="1"/>
    <col min="1792" max="1792" width="20.453125" style="11" customWidth="1"/>
    <col min="1793" max="1793" width="14.08984375" style="11" bestFit="1" customWidth="1"/>
    <col min="1794" max="1794" width="10" style="11" bestFit="1" customWidth="1"/>
    <col min="1795" max="2036" width="9.08984375" style="11"/>
    <col min="2037" max="2037" width="7.6328125" style="11" bestFit="1" customWidth="1"/>
    <col min="2038" max="2038" width="88.36328125" style="11" customWidth="1"/>
    <col min="2039" max="2039" width="13" style="11" customWidth="1"/>
    <col min="2040" max="2040" width="18" style="11" customWidth="1"/>
    <col min="2041" max="2041" width="17" style="11" customWidth="1"/>
    <col min="2042" max="2042" width="17.90625" style="11" customWidth="1"/>
    <col min="2043" max="2043" width="20.453125" style="11" customWidth="1"/>
    <col min="2044" max="2044" width="14.90625" style="11" customWidth="1"/>
    <col min="2045" max="2047" width="18.08984375" style="11" customWidth="1"/>
    <col min="2048" max="2048" width="20.453125" style="11" customWidth="1"/>
    <col min="2049" max="2049" width="14.08984375" style="11" bestFit="1" customWidth="1"/>
    <col min="2050" max="2050" width="10" style="11" bestFit="1" customWidth="1"/>
    <col min="2051" max="2292" width="9.08984375" style="11"/>
    <col min="2293" max="2293" width="7.6328125" style="11" bestFit="1" customWidth="1"/>
    <col min="2294" max="2294" width="88.36328125" style="11" customWidth="1"/>
    <col min="2295" max="2295" width="13" style="11" customWidth="1"/>
    <col min="2296" max="2296" width="18" style="11" customWidth="1"/>
    <col min="2297" max="2297" width="17" style="11" customWidth="1"/>
    <col min="2298" max="2298" width="17.90625" style="11" customWidth="1"/>
    <col min="2299" max="2299" width="20.453125" style="11" customWidth="1"/>
    <col min="2300" max="2300" width="14.90625" style="11" customWidth="1"/>
    <col min="2301" max="2303" width="18.08984375" style="11" customWidth="1"/>
    <col min="2304" max="2304" width="20.453125" style="11" customWidth="1"/>
    <col min="2305" max="2305" width="14.08984375" style="11" bestFit="1" customWidth="1"/>
    <col min="2306" max="2306" width="10" style="11" bestFit="1" customWidth="1"/>
    <col min="2307" max="2548" width="9.08984375" style="11"/>
    <col min="2549" max="2549" width="7.6328125" style="11" bestFit="1" customWidth="1"/>
    <col min="2550" max="2550" width="88.36328125" style="11" customWidth="1"/>
    <col min="2551" max="2551" width="13" style="11" customWidth="1"/>
    <col min="2552" max="2552" width="18" style="11" customWidth="1"/>
    <col min="2553" max="2553" width="17" style="11" customWidth="1"/>
    <col min="2554" max="2554" width="17.90625" style="11" customWidth="1"/>
    <col min="2555" max="2555" width="20.453125" style="11" customWidth="1"/>
    <col min="2556" max="2556" width="14.90625" style="11" customWidth="1"/>
    <col min="2557" max="2559" width="18.08984375" style="11" customWidth="1"/>
    <col min="2560" max="2560" width="20.453125" style="11" customWidth="1"/>
    <col min="2561" max="2561" width="14.08984375" style="11" bestFit="1" customWidth="1"/>
    <col min="2562" max="2562" width="10" style="11" bestFit="1" customWidth="1"/>
    <col min="2563" max="2804" width="9.08984375" style="11"/>
    <col min="2805" max="2805" width="7.6328125" style="11" bestFit="1" customWidth="1"/>
    <col min="2806" max="2806" width="88.36328125" style="11" customWidth="1"/>
    <col min="2807" max="2807" width="13" style="11" customWidth="1"/>
    <col min="2808" max="2808" width="18" style="11" customWidth="1"/>
    <col min="2809" max="2809" width="17" style="11" customWidth="1"/>
    <col min="2810" max="2810" width="17.90625" style="11" customWidth="1"/>
    <col min="2811" max="2811" width="20.453125" style="11" customWidth="1"/>
    <col min="2812" max="2812" width="14.90625" style="11" customWidth="1"/>
    <col min="2813" max="2815" width="18.08984375" style="11" customWidth="1"/>
    <col min="2816" max="2816" width="20.453125" style="11" customWidth="1"/>
    <col min="2817" max="2817" width="14.08984375" style="11" bestFit="1" customWidth="1"/>
    <col min="2818" max="2818" width="10" style="11" bestFit="1" customWidth="1"/>
    <col min="2819" max="3060" width="9.08984375" style="11"/>
    <col min="3061" max="3061" width="7.6328125" style="11" bestFit="1" customWidth="1"/>
    <col min="3062" max="3062" width="88.36328125" style="11" customWidth="1"/>
    <col min="3063" max="3063" width="13" style="11" customWidth="1"/>
    <col min="3064" max="3064" width="18" style="11" customWidth="1"/>
    <col min="3065" max="3065" width="17" style="11" customWidth="1"/>
    <col min="3066" max="3066" width="17.90625" style="11" customWidth="1"/>
    <col min="3067" max="3067" width="20.453125" style="11" customWidth="1"/>
    <col min="3068" max="3068" width="14.90625" style="11" customWidth="1"/>
    <col min="3069" max="3071" width="18.08984375" style="11" customWidth="1"/>
    <col min="3072" max="3072" width="20.453125" style="11" customWidth="1"/>
    <col min="3073" max="3073" width="14.08984375" style="11" bestFit="1" customWidth="1"/>
    <col min="3074" max="3074" width="10" style="11" bestFit="1" customWidth="1"/>
    <col min="3075" max="3316" width="9.08984375" style="11"/>
    <col min="3317" max="3317" width="7.6328125" style="11" bestFit="1" customWidth="1"/>
    <col min="3318" max="3318" width="88.36328125" style="11" customWidth="1"/>
    <col min="3319" max="3319" width="13" style="11" customWidth="1"/>
    <col min="3320" max="3320" width="18" style="11" customWidth="1"/>
    <col min="3321" max="3321" width="17" style="11" customWidth="1"/>
    <col min="3322" max="3322" width="17.90625" style="11" customWidth="1"/>
    <col min="3323" max="3323" width="20.453125" style="11" customWidth="1"/>
    <col min="3324" max="3324" width="14.90625" style="11" customWidth="1"/>
    <col min="3325" max="3327" width="18.08984375" style="11" customWidth="1"/>
    <col min="3328" max="3328" width="20.453125" style="11" customWidth="1"/>
    <col min="3329" max="3329" width="14.08984375" style="11" bestFit="1" customWidth="1"/>
    <col min="3330" max="3330" width="10" style="11" bestFit="1" customWidth="1"/>
    <col min="3331" max="3572" width="9.08984375" style="11"/>
    <col min="3573" max="3573" width="7.6328125" style="11" bestFit="1" customWidth="1"/>
    <col min="3574" max="3574" width="88.36328125" style="11" customWidth="1"/>
    <col min="3575" max="3575" width="13" style="11" customWidth="1"/>
    <col min="3576" max="3576" width="18" style="11" customWidth="1"/>
    <col min="3577" max="3577" width="17" style="11" customWidth="1"/>
    <col min="3578" max="3578" width="17.90625" style="11" customWidth="1"/>
    <col min="3579" max="3579" width="20.453125" style="11" customWidth="1"/>
    <col min="3580" max="3580" width="14.90625" style="11" customWidth="1"/>
    <col min="3581" max="3583" width="18.08984375" style="11" customWidth="1"/>
    <col min="3584" max="3584" width="20.453125" style="11" customWidth="1"/>
    <col min="3585" max="3585" width="14.08984375" style="11" bestFit="1" customWidth="1"/>
    <col min="3586" max="3586" width="10" style="11" bestFit="1" customWidth="1"/>
    <col min="3587" max="3828" width="9.08984375" style="11"/>
    <col min="3829" max="3829" width="7.6328125" style="11" bestFit="1" customWidth="1"/>
    <col min="3830" max="3830" width="88.36328125" style="11" customWidth="1"/>
    <col min="3831" max="3831" width="13" style="11" customWidth="1"/>
    <col min="3832" max="3832" width="18" style="11" customWidth="1"/>
    <col min="3833" max="3833" width="17" style="11" customWidth="1"/>
    <col min="3834" max="3834" width="17.90625" style="11" customWidth="1"/>
    <col min="3835" max="3835" width="20.453125" style="11" customWidth="1"/>
    <col min="3836" max="3836" width="14.90625" style="11" customWidth="1"/>
    <col min="3837" max="3839" width="18.08984375" style="11" customWidth="1"/>
    <col min="3840" max="3840" width="20.453125" style="11" customWidth="1"/>
    <col min="3841" max="3841" width="14.08984375" style="11" bestFit="1" customWidth="1"/>
    <col min="3842" max="3842" width="10" style="11" bestFit="1" customWidth="1"/>
    <col min="3843" max="4084" width="9.08984375" style="11"/>
    <col min="4085" max="4085" width="7.6328125" style="11" bestFit="1" customWidth="1"/>
    <col min="4086" max="4086" width="88.36328125" style="11" customWidth="1"/>
    <col min="4087" max="4087" width="13" style="11" customWidth="1"/>
    <col min="4088" max="4088" width="18" style="11" customWidth="1"/>
    <col min="4089" max="4089" width="17" style="11" customWidth="1"/>
    <col min="4090" max="4090" width="17.90625" style="11" customWidth="1"/>
    <col min="4091" max="4091" width="20.453125" style="11" customWidth="1"/>
    <col min="4092" max="4092" width="14.90625" style="11" customWidth="1"/>
    <col min="4093" max="4095" width="18.08984375" style="11" customWidth="1"/>
    <col min="4096" max="4096" width="20.453125" style="11" customWidth="1"/>
    <col min="4097" max="4097" width="14.08984375" style="11" bestFit="1" customWidth="1"/>
    <col min="4098" max="4098" width="10" style="11" bestFit="1" customWidth="1"/>
    <col min="4099" max="4340" width="9.08984375" style="11"/>
    <col min="4341" max="4341" width="7.6328125" style="11" bestFit="1" customWidth="1"/>
    <col min="4342" max="4342" width="88.36328125" style="11" customWidth="1"/>
    <col min="4343" max="4343" width="13" style="11" customWidth="1"/>
    <col min="4344" max="4344" width="18" style="11" customWidth="1"/>
    <col min="4345" max="4345" width="17" style="11" customWidth="1"/>
    <col min="4346" max="4346" width="17.90625" style="11" customWidth="1"/>
    <col min="4347" max="4347" width="20.453125" style="11" customWidth="1"/>
    <col min="4348" max="4348" width="14.90625" style="11" customWidth="1"/>
    <col min="4349" max="4351" width="18.08984375" style="11" customWidth="1"/>
    <col min="4352" max="4352" width="20.453125" style="11" customWidth="1"/>
    <col min="4353" max="4353" width="14.08984375" style="11" bestFit="1" customWidth="1"/>
    <col min="4354" max="4354" width="10" style="11" bestFit="1" customWidth="1"/>
    <col min="4355" max="4596" width="9.08984375" style="11"/>
    <col min="4597" max="4597" width="7.6328125" style="11" bestFit="1" customWidth="1"/>
    <col min="4598" max="4598" width="88.36328125" style="11" customWidth="1"/>
    <col min="4599" max="4599" width="13" style="11" customWidth="1"/>
    <col min="4600" max="4600" width="18" style="11" customWidth="1"/>
    <col min="4601" max="4601" width="17" style="11" customWidth="1"/>
    <col min="4602" max="4602" width="17.90625" style="11" customWidth="1"/>
    <col min="4603" max="4603" width="20.453125" style="11" customWidth="1"/>
    <col min="4604" max="4604" width="14.90625" style="11" customWidth="1"/>
    <col min="4605" max="4607" width="18.08984375" style="11" customWidth="1"/>
    <col min="4608" max="4608" width="20.453125" style="11" customWidth="1"/>
    <col min="4609" max="4609" width="14.08984375" style="11" bestFit="1" customWidth="1"/>
    <col min="4610" max="4610" width="10" style="11" bestFit="1" customWidth="1"/>
    <col min="4611" max="4852" width="9.08984375" style="11"/>
    <col min="4853" max="4853" width="7.6328125" style="11" bestFit="1" customWidth="1"/>
    <col min="4854" max="4854" width="88.36328125" style="11" customWidth="1"/>
    <col min="4855" max="4855" width="13" style="11" customWidth="1"/>
    <col min="4856" max="4856" width="18" style="11" customWidth="1"/>
    <col min="4857" max="4857" width="17" style="11" customWidth="1"/>
    <col min="4858" max="4858" width="17.90625" style="11" customWidth="1"/>
    <col min="4859" max="4859" width="20.453125" style="11" customWidth="1"/>
    <col min="4860" max="4860" width="14.90625" style="11" customWidth="1"/>
    <col min="4861" max="4863" width="18.08984375" style="11" customWidth="1"/>
    <col min="4864" max="4864" width="20.453125" style="11" customWidth="1"/>
    <col min="4865" max="4865" width="14.08984375" style="11" bestFit="1" customWidth="1"/>
    <col min="4866" max="4866" width="10" style="11" bestFit="1" customWidth="1"/>
    <col min="4867" max="5108" width="9.08984375" style="11"/>
    <col min="5109" max="5109" width="7.6328125" style="11" bestFit="1" customWidth="1"/>
    <col min="5110" max="5110" width="88.36328125" style="11" customWidth="1"/>
    <col min="5111" max="5111" width="13" style="11" customWidth="1"/>
    <col min="5112" max="5112" width="18" style="11" customWidth="1"/>
    <col min="5113" max="5113" width="17" style="11" customWidth="1"/>
    <col min="5114" max="5114" width="17.90625" style="11" customWidth="1"/>
    <col min="5115" max="5115" width="20.453125" style="11" customWidth="1"/>
    <col min="5116" max="5116" width="14.90625" style="11" customWidth="1"/>
    <col min="5117" max="5119" width="18.08984375" style="11" customWidth="1"/>
    <col min="5120" max="5120" width="20.453125" style="11" customWidth="1"/>
    <col min="5121" max="5121" width="14.08984375" style="11" bestFit="1" customWidth="1"/>
    <col min="5122" max="5122" width="10" style="11" bestFit="1" customWidth="1"/>
    <col min="5123" max="5364" width="9.08984375" style="11"/>
    <col min="5365" max="5365" width="7.6328125" style="11" bestFit="1" customWidth="1"/>
    <col min="5366" max="5366" width="88.36328125" style="11" customWidth="1"/>
    <col min="5367" max="5367" width="13" style="11" customWidth="1"/>
    <col min="5368" max="5368" width="18" style="11" customWidth="1"/>
    <col min="5369" max="5369" width="17" style="11" customWidth="1"/>
    <col min="5370" max="5370" width="17.90625" style="11" customWidth="1"/>
    <col min="5371" max="5371" width="20.453125" style="11" customWidth="1"/>
    <col min="5372" max="5372" width="14.90625" style="11" customWidth="1"/>
    <col min="5373" max="5375" width="18.08984375" style="11" customWidth="1"/>
    <col min="5376" max="5376" width="20.453125" style="11" customWidth="1"/>
    <col min="5377" max="5377" width="14.08984375" style="11" bestFit="1" customWidth="1"/>
    <col min="5378" max="5378" width="10" style="11" bestFit="1" customWidth="1"/>
    <col min="5379" max="5620" width="9.08984375" style="11"/>
    <col min="5621" max="5621" width="7.6328125" style="11" bestFit="1" customWidth="1"/>
    <col min="5622" max="5622" width="88.36328125" style="11" customWidth="1"/>
    <col min="5623" max="5623" width="13" style="11" customWidth="1"/>
    <col min="5624" max="5624" width="18" style="11" customWidth="1"/>
    <col min="5625" max="5625" width="17" style="11" customWidth="1"/>
    <col min="5626" max="5626" width="17.90625" style="11" customWidth="1"/>
    <col min="5627" max="5627" width="20.453125" style="11" customWidth="1"/>
    <col min="5628" max="5628" width="14.90625" style="11" customWidth="1"/>
    <col min="5629" max="5631" width="18.08984375" style="11" customWidth="1"/>
    <col min="5632" max="5632" width="20.453125" style="11" customWidth="1"/>
    <col min="5633" max="5633" width="14.08984375" style="11" bestFit="1" customWidth="1"/>
    <col min="5634" max="5634" width="10" style="11" bestFit="1" customWidth="1"/>
    <col min="5635" max="5876" width="9.08984375" style="11"/>
    <col min="5877" max="5877" width="7.6328125" style="11" bestFit="1" customWidth="1"/>
    <col min="5878" max="5878" width="88.36328125" style="11" customWidth="1"/>
    <col min="5879" max="5879" width="13" style="11" customWidth="1"/>
    <col min="5880" max="5880" width="18" style="11" customWidth="1"/>
    <col min="5881" max="5881" width="17" style="11" customWidth="1"/>
    <col min="5882" max="5882" width="17.90625" style="11" customWidth="1"/>
    <col min="5883" max="5883" width="20.453125" style="11" customWidth="1"/>
    <col min="5884" max="5884" width="14.90625" style="11" customWidth="1"/>
    <col min="5885" max="5887" width="18.08984375" style="11" customWidth="1"/>
    <col min="5888" max="5888" width="20.453125" style="11" customWidth="1"/>
    <col min="5889" max="5889" width="14.08984375" style="11" bestFit="1" customWidth="1"/>
    <col min="5890" max="5890" width="10" style="11" bestFit="1" customWidth="1"/>
    <col min="5891" max="6132" width="9.08984375" style="11"/>
    <col min="6133" max="6133" width="7.6328125" style="11" bestFit="1" customWidth="1"/>
    <col min="6134" max="6134" width="88.36328125" style="11" customWidth="1"/>
    <col min="6135" max="6135" width="13" style="11" customWidth="1"/>
    <col min="6136" max="6136" width="18" style="11" customWidth="1"/>
    <col min="6137" max="6137" width="17" style="11" customWidth="1"/>
    <col min="6138" max="6138" width="17.90625" style="11" customWidth="1"/>
    <col min="6139" max="6139" width="20.453125" style="11" customWidth="1"/>
    <col min="6140" max="6140" width="14.90625" style="11" customWidth="1"/>
    <col min="6141" max="6143" width="18.08984375" style="11" customWidth="1"/>
    <col min="6144" max="6144" width="20.453125" style="11" customWidth="1"/>
    <col min="6145" max="6145" width="14.08984375" style="11" bestFit="1" customWidth="1"/>
    <col min="6146" max="6146" width="10" style="11" bestFit="1" customWidth="1"/>
    <col min="6147" max="6388" width="9.08984375" style="11"/>
    <col min="6389" max="6389" width="7.6328125" style="11" bestFit="1" customWidth="1"/>
    <col min="6390" max="6390" width="88.36328125" style="11" customWidth="1"/>
    <col min="6391" max="6391" width="13" style="11" customWidth="1"/>
    <col min="6392" max="6392" width="18" style="11" customWidth="1"/>
    <col min="6393" max="6393" width="17" style="11" customWidth="1"/>
    <col min="6394" max="6394" width="17.90625" style="11" customWidth="1"/>
    <col min="6395" max="6395" width="20.453125" style="11" customWidth="1"/>
    <col min="6396" max="6396" width="14.90625" style="11" customWidth="1"/>
    <col min="6397" max="6399" width="18.08984375" style="11" customWidth="1"/>
    <col min="6400" max="6400" width="20.453125" style="11" customWidth="1"/>
    <col min="6401" max="6401" width="14.08984375" style="11" bestFit="1" customWidth="1"/>
    <col min="6402" max="6402" width="10" style="11" bestFit="1" customWidth="1"/>
    <col min="6403" max="6644" width="9.08984375" style="11"/>
    <col min="6645" max="6645" width="7.6328125" style="11" bestFit="1" customWidth="1"/>
    <col min="6646" max="6646" width="88.36328125" style="11" customWidth="1"/>
    <col min="6647" max="6647" width="13" style="11" customWidth="1"/>
    <col min="6648" max="6648" width="18" style="11" customWidth="1"/>
    <col min="6649" max="6649" width="17" style="11" customWidth="1"/>
    <col min="6650" max="6650" width="17.90625" style="11" customWidth="1"/>
    <col min="6651" max="6651" width="20.453125" style="11" customWidth="1"/>
    <col min="6652" max="6652" width="14.90625" style="11" customWidth="1"/>
    <col min="6653" max="6655" width="18.08984375" style="11" customWidth="1"/>
    <col min="6656" max="6656" width="20.453125" style="11" customWidth="1"/>
    <col min="6657" max="6657" width="14.08984375" style="11" bestFit="1" customWidth="1"/>
    <col min="6658" max="6658" width="10" style="11" bestFit="1" customWidth="1"/>
    <col min="6659" max="6900" width="9.08984375" style="11"/>
    <col min="6901" max="6901" width="7.6328125" style="11" bestFit="1" customWidth="1"/>
    <col min="6902" max="6902" width="88.36328125" style="11" customWidth="1"/>
    <col min="6903" max="6903" width="13" style="11" customWidth="1"/>
    <col min="6904" max="6904" width="18" style="11" customWidth="1"/>
    <col min="6905" max="6905" width="17" style="11" customWidth="1"/>
    <col min="6906" max="6906" width="17.90625" style="11" customWidth="1"/>
    <col min="6907" max="6907" width="20.453125" style="11" customWidth="1"/>
    <col min="6908" max="6908" width="14.90625" style="11" customWidth="1"/>
    <col min="6909" max="6911" width="18.08984375" style="11" customWidth="1"/>
    <col min="6912" max="6912" width="20.453125" style="11" customWidth="1"/>
    <col min="6913" max="6913" width="14.08984375" style="11" bestFit="1" customWidth="1"/>
    <col min="6914" max="6914" width="10" style="11" bestFit="1" customWidth="1"/>
    <col min="6915" max="7156" width="9.08984375" style="11"/>
    <col min="7157" max="7157" width="7.6328125" style="11" bestFit="1" customWidth="1"/>
    <col min="7158" max="7158" width="88.36328125" style="11" customWidth="1"/>
    <col min="7159" max="7159" width="13" style="11" customWidth="1"/>
    <col min="7160" max="7160" width="18" style="11" customWidth="1"/>
    <col min="7161" max="7161" width="17" style="11" customWidth="1"/>
    <col min="7162" max="7162" width="17.90625" style="11" customWidth="1"/>
    <col min="7163" max="7163" width="20.453125" style="11" customWidth="1"/>
    <col min="7164" max="7164" width="14.90625" style="11" customWidth="1"/>
    <col min="7165" max="7167" width="18.08984375" style="11" customWidth="1"/>
    <col min="7168" max="7168" width="20.453125" style="11" customWidth="1"/>
    <col min="7169" max="7169" width="14.08984375" style="11" bestFit="1" customWidth="1"/>
    <col min="7170" max="7170" width="10" style="11" bestFit="1" customWidth="1"/>
    <col min="7171" max="7412" width="9.08984375" style="11"/>
    <col min="7413" max="7413" width="7.6328125" style="11" bestFit="1" customWidth="1"/>
    <col min="7414" max="7414" width="88.36328125" style="11" customWidth="1"/>
    <col min="7415" max="7415" width="13" style="11" customWidth="1"/>
    <col min="7416" max="7416" width="18" style="11" customWidth="1"/>
    <col min="7417" max="7417" width="17" style="11" customWidth="1"/>
    <col min="7418" max="7418" width="17.90625" style="11" customWidth="1"/>
    <col min="7419" max="7419" width="20.453125" style="11" customWidth="1"/>
    <col min="7420" max="7420" width="14.90625" style="11" customWidth="1"/>
    <col min="7421" max="7423" width="18.08984375" style="11" customWidth="1"/>
    <col min="7424" max="7424" width="20.453125" style="11" customWidth="1"/>
    <col min="7425" max="7425" width="14.08984375" style="11" bestFit="1" customWidth="1"/>
    <col min="7426" max="7426" width="10" style="11" bestFit="1" customWidth="1"/>
    <col min="7427" max="7668" width="9.08984375" style="11"/>
    <col min="7669" max="7669" width="7.6328125" style="11" bestFit="1" customWidth="1"/>
    <col min="7670" max="7670" width="88.36328125" style="11" customWidth="1"/>
    <col min="7671" max="7671" width="13" style="11" customWidth="1"/>
    <col min="7672" max="7672" width="18" style="11" customWidth="1"/>
    <col min="7673" max="7673" width="17" style="11" customWidth="1"/>
    <col min="7674" max="7674" width="17.90625" style="11" customWidth="1"/>
    <col min="7675" max="7675" width="20.453125" style="11" customWidth="1"/>
    <col min="7676" max="7676" width="14.90625" style="11" customWidth="1"/>
    <col min="7677" max="7679" width="18.08984375" style="11" customWidth="1"/>
    <col min="7680" max="7680" width="20.453125" style="11" customWidth="1"/>
    <col min="7681" max="7681" width="14.08984375" style="11" bestFit="1" customWidth="1"/>
    <col min="7682" max="7682" width="10" style="11" bestFit="1" customWidth="1"/>
    <col min="7683" max="7924" width="9.08984375" style="11"/>
    <col min="7925" max="7925" width="7.6328125" style="11" bestFit="1" customWidth="1"/>
    <col min="7926" max="7926" width="88.36328125" style="11" customWidth="1"/>
    <col min="7927" max="7927" width="13" style="11" customWidth="1"/>
    <col min="7928" max="7928" width="18" style="11" customWidth="1"/>
    <col min="7929" max="7929" width="17" style="11" customWidth="1"/>
    <col min="7930" max="7930" width="17.90625" style="11" customWidth="1"/>
    <col min="7931" max="7931" width="20.453125" style="11" customWidth="1"/>
    <col min="7932" max="7932" width="14.90625" style="11" customWidth="1"/>
    <col min="7933" max="7935" width="18.08984375" style="11" customWidth="1"/>
    <col min="7936" max="7936" width="20.453125" style="11" customWidth="1"/>
    <col min="7937" max="7937" width="14.08984375" style="11" bestFit="1" customWidth="1"/>
    <col min="7938" max="7938" width="10" style="11" bestFit="1" customWidth="1"/>
    <col min="7939" max="8180" width="9.08984375" style="11"/>
    <col min="8181" max="8181" width="7.6328125" style="11" bestFit="1" customWidth="1"/>
    <col min="8182" max="8182" width="88.36328125" style="11" customWidth="1"/>
    <col min="8183" max="8183" width="13" style="11" customWidth="1"/>
    <col min="8184" max="8184" width="18" style="11" customWidth="1"/>
    <col min="8185" max="8185" width="17" style="11" customWidth="1"/>
    <col min="8186" max="8186" width="17.90625" style="11" customWidth="1"/>
    <col min="8187" max="8187" width="20.453125" style="11" customWidth="1"/>
    <col min="8188" max="8188" width="14.90625" style="11" customWidth="1"/>
    <col min="8189" max="8191" width="18.08984375" style="11" customWidth="1"/>
    <col min="8192" max="8192" width="20.453125" style="11" customWidth="1"/>
    <col min="8193" max="8193" width="14.08984375" style="11" bestFit="1" customWidth="1"/>
    <col min="8194" max="8194" width="10" style="11" bestFit="1" customWidth="1"/>
    <col min="8195" max="8436" width="9.08984375" style="11"/>
    <col min="8437" max="8437" width="7.6328125" style="11" bestFit="1" customWidth="1"/>
    <col min="8438" max="8438" width="88.36328125" style="11" customWidth="1"/>
    <col min="8439" max="8439" width="13" style="11" customWidth="1"/>
    <col min="8440" max="8440" width="18" style="11" customWidth="1"/>
    <col min="8441" max="8441" width="17" style="11" customWidth="1"/>
    <col min="8442" max="8442" width="17.90625" style="11" customWidth="1"/>
    <col min="8443" max="8443" width="20.453125" style="11" customWidth="1"/>
    <col min="8444" max="8444" width="14.90625" style="11" customWidth="1"/>
    <col min="8445" max="8447" width="18.08984375" style="11" customWidth="1"/>
    <col min="8448" max="8448" width="20.453125" style="11" customWidth="1"/>
    <col min="8449" max="8449" width="14.08984375" style="11" bestFit="1" customWidth="1"/>
    <col min="8450" max="8450" width="10" style="11" bestFit="1" customWidth="1"/>
    <col min="8451" max="8692" width="9.08984375" style="11"/>
    <col min="8693" max="8693" width="7.6328125" style="11" bestFit="1" customWidth="1"/>
    <col min="8694" max="8694" width="88.36328125" style="11" customWidth="1"/>
    <col min="8695" max="8695" width="13" style="11" customWidth="1"/>
    <col min="8696" max="8696" width="18" style="11" customWidth="1"/>
    <col min="8697" max="8697" width="17" style="11" customWidth="1"/>
    <col min="8698" max="8698" width="17.90625" style="11" customWidth="1"/>
    <col min="8699" max="8699" width="20.453125" style="11" customWidth="1"/>
    <col min="8700" max="8700" width="14.90625" style="11" customWidth="1"/>
    <col min="8701" max="8703" width="18.08984375" style="11" customWidth="1"/>
    <col min="8704" max="8704" width="20.453125" style="11" customWidth="1"/>
    <col min="8705" max="8705" width="14.08984375" style="11" bestFit="1" customWidth="1"/>
    <col min="8706" max="8706" width="10" style="11" bestFit="1" customWidth="1"/>
    <col min="8707" max="8948" width="9.08984375" style="11"/>
    <col min="8949" max="8949" width="7.6328125" style="11" bestFit="1" customWidth="1"/>
    <col min="8950" max="8950" width="88.36328125" style="11" customWidth="1"/>
    <col min="8951" max="8951" width="13" style="11" customWidth="1"/>
    <col min="8952" max="8952" width="18" style="11" customWidth="1"/>
    <col min="8953" max="8953" width="17" style="11" customWidth="1"/>
    <col min="8954" max="8954" width="17.90625" style="11" customWidth="1"/>
    <col min="8955" max="8955" width="20.453125" style="11" customWidth="1"/>
    <col min="8956" max="8956" width="14.90625" style="11" customWidth="1"/>
    <col min="8957" max="8959" width="18.08984375" style="11" customWidth="1"/>
    <col min="8960" max="8960" width="20.453125" style="11" customWidth="1"/>
    <col min="8961" max="8961" width="14.08984375" style="11" bestFit="1" customWidth="1"/>
    <col min="8962" max="8962" width="10" style="11" bestFit="1" customWidth="1"/>
    <col min="8963" max="9204" width="9.08984375" style="11"/>
    <col min="9205" max="9205" width="7.6328125" style="11" bestFit="1" customWidth="1"/>
    <col min="9206" max="9206" width="88.36328125" style="11" customWidth="1"/>
    <col min="9207" max="9207" width="13" style="11" customWidth="1"/>
    <col min="9208" max="9208" width="18" style="11" customWidth="1"/>
    <col min="9209" max="9209" width="17" style="11" customWidth="1"/>
    <col min="9210" max="9210" width="17.90625" style="11" customWidth="1"/>
    <col min="9211" max="9211" width="20.453125" style="11" customWidth="1"/>
    <col min="9212" max="9212" width="14.90625" style="11" customWidth="1"/>
    <col min="9213" max="9215" width="18.08984375" style="11" customWidth="1"/>
    <col min="9216" max="9216" width="20.453125" style="11" customWidth="1"/>
    <col min="9217" max="9217" width="14.08984375" style="11" bestFit="1" customWidth="1"/>
    <col min="9218" max="9218" width="10" style="11" bestFit="1" customWidth="1"/>
    <col min="9219" max="9460" width="9.08984375" style="11"/>
    <col min="9461" max="9461" width="7.6328125" style="11" bestFit="1" customWidth="1"/>
    <col min="9462" max="9462" width="88.36328125" style="11" customWidth="1"/>
    <col min="9463" max="9463" width="13" style="11" customWidth="1"/>
    <col min="9464" max="9464" width="18" style="11" customWidth="1"/>
    <col min="9465" max="9465" width="17" style="11" customWidth="1"/>
    <col min="9466" max="9466" width="17.90625" style="11" customWidth="1"/>
    <col min="9467" max="9467" width="20.453125" style="11" customWidth="1"/>
    <col min="9468" max="9468" width="14.90625" style="11" customWidth="1"/>
    <col min="9469" max="9471" width="18.08984375" style="11" customWidth="1"/>
    <col min="9472" max="9472" width="20.453125" style="11" customWidth="1"/>
    <col min="9473" max="9473" width="14.08984375" style="11" bestFit="1" customWidth="1"/>
    <col min="9474" max="9474" width="10" style="11" bestFit="1" customWidth="1"/>
    <col min="9475" max="9716" width="9.08984375" style="11"/>
    <col min="9717" max="9717" width="7.6328125" style="11" bestFit="1" customWidth="1"/>
    <col min="9718" max="9718" width="88.36328125" style="11" customWidth="1"/>
    <col min="9719" max="9719" width="13" style="11" customWidth="1"/>
    <col min="9720" max="9720" width="18" style="11" customWidth="1"/>
    <col min="9721" max="9721" width="17" style="11" customWidth="1"/>
    <col min="9722" max="9722" width="17.90625" style="11" customWidth="1"/>
    <col min="9723" max="9723" width="20.453125" style="11" customWidth="1"/>
    <col min="9724" max="9724" width="14.90625" style="11" customWidth="1"/>
    <col min="9725" max="9727" width="18.08984375" style="11" customWidth="1"/>
    <col min="9728" max="9728" width="20.453125" style="11" customWidth="1"/>
    <col min="9729" max="9729" width="14.08984375" style="11" bestFit="1" customWidth="1"/>
    <col min="9730" max="9730" width="10" style="11" bestFit="1" customWidth="1"/>
    <col min="9731" max="9972" width="9.08984375" style="11"/>
    <col min="9973" max="9973" width="7.6328125" style="11" bestFit="1" customWidth="1"/>
    <col min="9974" max="9974" width="88.36328125" style="11" customWidth="1"/>
    <col min="9975" max="9975" width="13" style="11" customWidth="1"/>
    <col min="9976" max="9976" width="18" style="11" customWidth="1"/>
    <col min="9977" max="9977" width="17" style="11" customWidth="1"/>
    <col min="9978" max="9978" width="17.90625" style="11" customWidth="1"/>
    <col min="9979" max="9979" width="20.453125" style="11" customWidth="1"/>
    <col min="9980" max="9980" width="14.90625" style="11" customWidth="1"/>
    <col min="9981" max="9983" width="18.08984375" style="11" customWidth="1"/>
    <col min="9984" max="9984" width="20.453125" style="11" customWidth="1"/>
    <col min="9985" max="9985" width="14.08984375" style="11" bestFit="1" customWidth="1"/>
    <col min="9986" max="9986" width="10" style="11" bestFit="1" customWidth="1"/>
    <col min="9987" max="10228" width="9.08984375" style="11"/>
    <col min="10229" max="10229" width="7.6328125" style="11" bestFit="1" customWidth="1"/>
    <col min="10230" max="10230" width="88.36328125" style="11" customWidth="1"/>
    <col min="10231" max="10231" width="13" style="11" customWidth="1"/>
    <col min="10232" max="10232" width="18" style="11" customWidth="1"/>
    <col min="10233" max="10233" width="17" style="11" customWidth="1"/>
    <col min="10234" max="10234" width="17.90625" style="11" customWidth="1"/>
    <col min="10235" max="10235" width="20.453125" style="11" customWidth="1"/>
    <col min="10236" max="10236" width="14.90625" style="11" customWidth="1"/>
    <col min="10237" max="10239" width="18.08984375" style="11" customWidth="1"/>
    <col min="10240" max="10240" width="20.453125" style="11" customWidth="1"/>
    <col min="10241" max="10241" width="14.08984375" style="11" bestFit="1" customWidth="1"/>
    <col min="10242" max="10242" width="10" style="11" bestFit="1" customWidth="1"/>
    <col min="10243" max="10484" width="9.08984375" style="11"/>
    <col min="10485" max="10485" width="7.6328125" style="11" bestFit="1" customWidth="1"/>
    <col min="10486" max="10486" width="88.36328125" style="11" customWidth="1"/>
    <col min="10487" max="10487" width="13" style="11" customWidth="1"/>
    <col min="10488" max="10488" width="18" style="11" customWidth="1"/>
    <col min="10489" max="10489" width="17" style="11" customWidth="1"/>
    <col min="10490" max="10490" width="17.90625" style="11" customWidth="1"/>
    <col min="10491" max="10491" width="20.453125" style="11" customWidth="1"/>
    <col min="10492" max="10492" width="14.90625" style="11" customWidth="1"/>
    <col min="10493" max="10495" width="18.08984375" style="11" customWidth="1"/>
    <col min="10496" max="10496" width="20.453125" style="11" customWidth="1"/>
    <col min="10497" max="10497" width="14.08984375" style="11" bestFit="1" customWidth="1"/>
    <col min="10498" max="10498" width="10" style="11" bestFit="1" customWidth="1"/>
    <col min="10499" max="10740" width="9.08984375" style="11"/>
    <col min="10741" max="10741" width="7.6328125" style="11" bestFit="1" customWidth="1"/>
    <col min="10742" max="10742" width="88.36328125" style="11" customWidth="1"/>
    <col min="10743" max="10743" width="13" style="11" customWidth="1"/>
    <col min="10744" max="10744" width="18" style="11" customWidth="1"/>
    <col min="10745" max="10745" width="17" style="11" customWidth="1"/>
    <col min="10746" max="10746" width="17.90625" style="11" customWidth="1"/>
    <col min="10747" max="10747" width="20.453125" style="11" customWidth="1"/>
    <col min="10748" max="10748" width="14.90625" style="11" customWidth="1"/>
    <col min="10749" max="10751" width="18.08984375" style="11" customWidth="1"/>
    <col min="10752" max="10752" width="20.453125" style="11" customWidth="1"/>
    <col min="10753" max="10753" width="14.08984375" style="11" bestFit="1" customWidth="1"/>
    <col min="10754" max="10754" width="10" style="11" bestFit="1" customWidth="1"/>
    <col min="10755" max="10996" width="9.08984375" style="11"/>
    <col min="10997" max="10997" width="7.6328125" style="11" bestFit="1" customWidth="1"/>
    <col min="10998" max="10998" width="88.36328125" style="11" customWidth="1"/>
    <col min="10999" max="10999" width="13" style="11" customWidth="1"/>
    <col min="11000" max="11000" width="18" style="11" customWidth="1"/>
    <col min="11001" max="11001" width="17" style="11" customWidth="1"/>
    <col min="11002" max="11002" width="17.90625" style="11" customWidth="1"/>
    <col min="11003" max="11003" width="20.453125" style="11" customWidth="1"/>
    <col min="11004" max="11004" width="14.90625" style="11" customWidth="1"/>
    <col min="11005" max="11007" width="18.08984375" style="11" customWidth="1"/>
    <col min="11008" max="11008" width="20.453125" style="11" customWidth="1"/>
    <col min="11009" max="11009" width="14.08984375" style="11" bestFit="1" customWidth="1"/>
    <col min="11010" max="11010" width="10" style="11" bestFit="1" customWidth="1"/>
    <col min="11011" max="11252" width="9.08984375" style="11"/>
    <col min="11253" max="11253" width="7.6328125" style="11" bestFit="1" customWidth="1"/>
    <col min="11254" max="11254" width="88.36328125" style="11" customWidth="1"/>
    <col min="11255" max="11255" width="13" style="11" customWidth="1"/>
    <col min="11256" max="11256" width="18" style="11" customWidth="1"/>
    <col min="11257" max="11257" width="17" style="11" customWidth="1"/>
    <col min="11258" max="11258" width="17.90625" style="11" customWidth="1"/>
    <col min="11259" max="11259" width="20.453125" style="11" customWidth="1"/>
    <col min="11260" max="11260" width="14.90625" style="11" customWidth="1"/>
    <col min="11261" max="11263" width="18.08984375" style="11" customWidth="1"/>
    <col min="11264" max="11264" width="20.453125" style="11" customWidth="1"/>
    <col min="11265" max="11265" width="14.08984375" style="11" bestFit="1" customWidth="1"/>
    <col min="11266" max="11266" width="10" style="11" bestFit="1" customWidth="1"/>
    <col min="11267" max="11508" width="9.08984375" style="11"/>
    <col min="11509" max="11509" width="7.6328125" style="11" bestFit="1" customWidth="1"/>
    <col min="11510" max="11510" width="88.36328125" style="11" customWidth="1"/>
    <col min="11511" max="11511" width="13" style="11" customWidth="1"/>
    <col min="11512" max="11512" width="18" style="11" customWidth="1"/>
    <col min="11513" max="11513" width="17" style="11" customWidth="1"/>
    <col min="11514" max="11514" width="17.90625" style="11" customWidth="1"/>
    <col min="11515" max="11515" width="20.453125" style="11" customWidth="1"/>
    <col min="11516" max="11516" width="14.90625" style="11" customWidth="1"/>
    <col min="11517" max="11519" width="18.08984375" style="11" customWidth="1"/>
    <col min="11520" max="11520" width="20.453125" style="11" customWidth="1"/>
    <col min="11521" max="11521" width="14.08984375" style="11" bestFit="1" customWidth="1"/>
    <col min="11522" max="11522" width="10" style="11" bestFit="1" customWidth="1"/>
    <col min="11523" max="11764" width="9.08984375" style="11"/>
    <col min="11765" max="11765" width="7.6328125" style="11" bestFit="1" customWidth="1"/>
    <col min="11766" max="11766" width="88.36328125" style="11" customWidth="1"/>
    <col min="11767" max="11767" width="13" style="11" customWidth="1"/>
    <col min="11768" max="11768" width="18" style="11" customWidth="1"/>
    <col min="11769" max="11769" width="17" style="11" customWidth="1"/>
    <col min="11770" max="11770" width="17.90625" style="11" customWidth="1"/>
    <col min="11771" max="11771" width="20.453125" style="11" customWidth="1"/>
    <col min="11772" max="11772" width="14.90625" style="11" customWidth="1"/>
    <col min="11773" max="11775" width="18.08984375" style="11" customWidth="1"/>
    <col min="11776" max="11776" width="20.453125" style="11" customWidth="1"/>
    <col min="11777" max="11777" width="14.08984375" style="11" bestFit="1" customWidth="1"/>
    <col min="11778" max="11778" width="10" style="11" bestFit="1" customWidth="1"/>
    <col min="11779" max="12020" width="9.08984375" style="11"/>
    <col min="12021" max="12021" width="7.6328125" style="11" bestFit="1" customWidth="1"/>
    <col min="12022" max="12022" width="88.36328125" style="11" customWidth="1"/>
    <col min="12023" max="12023" width="13" style="11" customWidth="1"/>
    <col min="12024" max="12024" width="18" style="11" customWidth="1"/>
    <col min="12025" max="12025" width="17" style="11" customWidth="1"/>
    <col min="12026" max="12026" width="17.90625" style="11" customWidth="1"/>
    <col min="12027" max="12027" width="20.453125" style="11" customWidth="1"/>
    <col min="12028" max="12028" width="14.90625" style="11" customWidth="1"/>
    <col min="12029" max="12031" width="18.08984375" style="11" customWidth="1"/>
    <col min="12032" max="12032" width="20.453125" style="11" customWidth="1"/>
    <col min="12033" max="12033" width="14.08984375" style="11" bestFit="1" customWidth="1"/>
    <col min="12034" max="12034" width="10" style="11" bestFit="1" customWidth="1"/>
    <col min="12035" max="12276" width="9.08984375" style="11"/>
    <col min="12277" max="12277" width="7.6328125" style="11" bestFit="1" customWidth="1"/>
    <col min="12278" max="12278" width="88.36328125" style="11" customWidth="1"/>
    <col min="12279" max="12279" width="13" style="11" customWidth="1"/>
    <col min="12280" max="12280" width="18" style="11" customWidth="1"/>
    <col min="12281" max="12281" width="17" style="11" customWidth="1"/>
    <col min="12282" max="12282" width="17.90625" style="11" customWidth="1"/>
    <col min="12283" max="12283" width="20.453125" style="11" customWidth="1"/>
    <col min="12284" max="12284" width="14.90625" style="11" customWidth="1"/>
    <col min="12285" max="12287" width="18.08984375" style="11" customWidth="1"/>
    <col min="12288" max="12288" width="20.453125" style="11" customWidth="1"/>
    <col min="12289" max="12289" width="14.08984375" style="11" bestFit="1" customWidth="1"/>
    <col min="12290" max="12290" width="10" style="11" bestFit="1" customWidth="1"/>
    <col min="12291" max="12532" width="9.08984375" style="11"/>
    <col min="12533" max="12533" width="7.6328125" style="11" bestFit="1" customWidth="1"/>
    <col min="12534" max="12534" width="88.36328125" style="11" customWidth="1"/>
    <col min="12535" max="12535" width="13" style="11" customWidth="1"/>
    <col min="12536" max="12536" width="18" style="11" customWidth="1"/>
    <col min="12537" max="12537" width="17" style="11" customWidth="1"/>
    <col min="12538" max="12538" width="17.90625" style="11" customWidth="1"/>
    <col min="12539" max="12539" width="20.453125" style="11" customWidth="1"/>
    <col min="12540" max="12540" width="14.90625" style="11" customWidth="1"/>
    <col min="12541" max="12543" width="18.08984375" style="11" customWidth="1"/>
    <col min="12544" max="12544" width="20.453125" style="11" customWidth="1"/>
    <col min="12545" max="12545" width="14.08984375" style="11" bestFit="1" customWidth="1"/>
    <col min="12546" max="12546" width="10" style="11" bestFit="1" customWidth="1"/>
    <col min="12547" max="12788" width="9.08984375" style="11"/>
    <col min="12789" max="12789" width="7.6328125" style="11" bestFit="1" customWidth="1"/>
    <col min="12790" max="12790" width="88.36328125" style="11" customWidth="1"/>
    <col min="12791" max="12791" width="13" style="11" customWidth="1"/>
    <col min="12792" max="12792" width="18" style="11" customWidth="1"/>
    <col min="12793" max="12793" width="17" style="11" customWidth="1"/>
    <col min="12794" max="12794" width="17.90625" style="11" customWidth="1"/>
    <col min="12795" max="12795" width="20.453125" style="11" customWidth="1"/>
    <col min="12796" max="12796" width="14.90625" style="11" customWidth="1"/>
    <col min="12797" max="12799" width="18.08984375" style="11" customWidth="1"/>
    <col min="12800" max="12800" width="20.453125" style="11" customWidth="1"/>
    <col min="12801" max="12801" width="14.08984375" style="11" bestFit="1" customWidth="1"/>
    <col min="12802" max="12802" width="10" style="11" bestFit="1" customWidth="1"/>
    <col min="12803" max="13044" width="9.08984375" style="11"/>
    <col min="13045" max="13045" width="7.6328125" style="11" bestFit="1" customWidth="1"/>
    <col min="13046" max="13046" width="88.36328125" style="11" customWidth="1"/>
    <col min="13047" max="13047" width="13" style="11" customWidth="1"/>
    <col min="13048" max="13048" width="18" style="11" customWidth="1"/>
    <col min="13049" max="13049" width="17" style="11" customWidth="1"/>
    <col min="13050" max="13050" width="17.90625" style="11" customWidth="1"/>
    <col min="13051" max="13051" width="20.453125" style="11" customWidth="1"/>
    <col min="13052" max="13052" width="14.90625" style="11" customWidth="1"/>
    <col min="13053" max="13055" width="18.08984375" style="11" customWidth="1"/>
    <col min="13056" max="13056" width="20.453125" style="11" customWidth="1"/>
    <col min="13057" max="13057" width="14.08984375" style="11" bestFit="1" customWidth="1"/>
    <col min="13058" max="13058" width="10" style="11" bestFit="1" customWidth="1"/>
    <col min="13059" max="13300" width="9.08984375" style="11"/>
    <col min="13301" max="13301" width="7.6328125" style="11" bestFit="1" customWidth="1"/>
    <col min="13302" max="13302" width="88.36328125" style="11" customWidth="1"/>
    <col min="13303" max="13303" width="13" style="11" customWidth="1"/>
    <col min="13304" max="13304" width="18" style="11" customWidth="1"/>
    <col min="13305" max="13305" width="17" style="11" customWidth="1"/>
    <col min="13306" max="13306" width="17.90625" style="11" customWidth="1"/>
    <col min="13307" max="13307" width="20.453125" style="11" customWidth="1"/>
    <col min="13308" max="13308" width="14.90625" style="11" customWidth="1"/>
    <col min="13309" max="13311" width="18.08984375" style="11" customWidth="1"/>
    <col min="13312" max="13312" width="20.453125" style="11" customWidth="1"/>
    <col min="13313" max="13313" width="14.08984375" style="11" bestFit="1" customWidth="1"/>
    <col min="13314" max="13314" width="10" style="11" bestFit="1" customWidth="1"/>
    <col min="13315" max="13556" width="9.08984375" style="11"/>
    <col min="13557" max="13557" width="7.6328125" style="11" bestFit="1" customWidth="1"/>
    <col min="13558" max="13558" width="88.36328125" style="11" customWidth="1"/>
    <col min="13559" max="13559" width="13" style="11" customWidth="1"/>
    <col min="13560" max="13560" width="18" style="11" customWidth="1"/>
    <col min="13561" max="13561" width="17" style="11" customWidth="1"/>
    <col min="13562" max="13562" width="17.90625" style="11" customWidth="1"/>
    <col min="13563" max="13563" width="20.453125" style="11" customWidth="1"/>
    <col min="13564" max="13564" width="14.90625" style="11" customWidth="1"/>
    <col min="13565" max="13567" width="18.08984375" style="11" customWidth="1"/>
    <col min="13568" max="13568" width="20.453125" style="11" customWidth="1"/>
    <col min="13569" max="13569" width="14.08984375" style="11" bestFit="1" customWidth="1"/>
    <col min="13570" max="13570" width="10" style="11" bestFit="1" customWidth="1"/>
    <col min="13571" max="13812" width="9.08984375" style="11"/>
    <col min="13813" max="13813" width="7.6328125" style="11" bestFit="1" customWidth="1"/>
    <col min="13814" max="13814" width="88.36328125" style="11" customWidth="1"/>
    <col min="13815" max="13815" width="13" style="11" customWidth="1"/>
    <col min="13816" max="13816" width="18" style="11" customWidth="1"/>
    <col min="13817" max="13817" width="17" style="11" customWidth="1"/>
    <col min="13818" max="13818" width="17.90625" style="11" customWidth="1"/>
    <col min="13819" max="13819" width="20.453125" style="11" customWidth="1"/>
    <col min="13820" max="13820" width="14.90625" style="11" customWidth="1"/>
    <col min="13821" max="13823" width="18.08984375" style="11" customWidth="1"/>
    <col min="13824" max="13824" width="20.453125" style="11" customWidth="1"/>
    <col min="13825" max="13825" width="14.08984375" style="11" bestFit="1" customWidth="1"/>
    <col min="13826" max="13826" width="10" style="11" bestFit="1" customWidth="1"/>
    <col min="13827" max="14068" width="9.08984375" style="11"/>
    <col min="14069" max="14069" width="7.6328125" style="11" bestFit="1" customWidth="1"/>
    <col min="14070" max="14070" width="88.36328125" style="11" customWidth="1"/>
    <col min="14071" max="14071" width="13" style="11" customWidth="1"/>
    <col min="14072" max="14072" width="18" style="11" customWidth="1"/>
    <col min="14073" max="14073" width="17" style="11" customWidth="1"/>
    <col min="14074" max="14074" width="17.90625" style="11" customWidth="1"/>
    <col min="14075" max="14075" width="20.453125" style="11" customWidth="1"/>
    <col min="14076" max="14076" width="14.90625" style="11" customWidth="1"/>
    <col min="14077" max="14079" width="18.08984375" style="11" customWidth="1"/>
    <col min="14080" max="14080" width="20.453125" style="11" customWidth="1"/>
    <col min="14081" max="14081" width="14.08984375" style="11" bestFit="1" customWidth="1"/>
    <col min="14082" max="14082" width="10" style="11" bestFit="1" customWidth="1"/>
    <col min="14083" max="14324" width="9.08984375" style="11"/>
    <col min="14325" max="14325" width="7.6328125" style="11" bestFit="1" customWidth="1"/>
    <col min="14326" max="14326" width="88.36328125" style="11" customWidth="1"/>
    <col min="14327" max="14327" width="13" style="11" customWidth="1"/>
    <col min="14328" max="14328" width="18" style="11" customWidth="1"/>
    <col min="14329" max="14329" width="17" style="11" customWidth="1"/>
    <col min="14330" max="14330" width="17.90625" style="11" customWidth="1"/>
    <col min="14331" max="14331" width="20.453125" style="11" customWidth="1"/>
    <col min="14332" max="14332" width="14.90625" style="11" customWidth="1"/>
    <col min="14333" max="14335" width="18.08984375" style="11" customWidth="1"/>
    <col min="14336" max="14336" width="20.453125" style="11" customWidth="1"/>
    <col min="14337" max="14337" width="14.08984375" style="11" bestFit="1" customWidth="1"/>
    <col min="14338" max="14338" width="10" style="11" bestFit="1" customWidth="1"/>
    <col min="14339" max="14580" width="9.08984375" style="11"/>
    <col min="14581" max="14581" width="7.6328125" style="11" bestFit="1" customWidth="1"/>
    <col min="14582" max="14582" width="88.36328125" style="11" customWidth="1"/>
    <col min="14583" max="14583" width="13" style="11" customWidth="1"/>
    <col min="14584" max="14584" width="18" style="11" customWidth="1"/>
    <col min="14585" max="14585" width="17" style="11" customWidth="1"/>
    <col min="14586" max="14586" width="17.90625" style="11" customWidth="1"/>
    <col min="14587" max="14587" width="20.453125" style="11" customWidth="1"/>
    <col min="14588" max="14588" width="14.90625" style="11" customWidth="1"/>
    <col min="14589" max="14591" width="18.08984375" style="11" customWidth="1"/>
    <col min="14592" max="14592" width="20.453125" style="11" customWidth="1"/>
    <col min="14593" max="14593" width="14.08984375" style="11" bestFit="1" customWidth="1"/>
    <col min="14594" max="14594" width="10" style="11" bestFit="1" customWidth="1"/>
    <col min="14595" max="14836" width="9.08984375" style="11"/>
    <col min="14837" max="14837" width="7.6328125" style="11" bestFit="1" customWidth="1"/>
    <col min="14838" max="14838" width="88.36328125" style="11" customWidth="1"/>
    <col min="14839" max="14839" width="13" style="11" customWidth="1"/>
    <col min="14840" max="14840" width="18" style="11" customWidth="1"/>
    <col min="14841" max="14841" width="17" style="11" customWidth="1"/>
    <col min="14842" max="14842" width="17.90625" style="11" customWidth="1"/>
    <col min="14843" max="14843" width="20.453125" style="11" customWidth="1"/>
    <col min="14844" max="14844" width="14.90625" style="11" customWidth="1"/>
    <col min="14845" max="14847" width="18.08984375" style="11" customWidth="1"/>
    <col min="14848" max="14848" width="20.453125" style="11" customWidth="1"/>
    <col min="14849" max="14849" width="14.08984375" style="11" bestFit="1" customWidth="1"/>
    <col min="14850" max="14850" width="10" style="11" bestFit="1" customWidth="1"/>
    <col min="14851" max="15092" width="9.08984375" style="11"/>
    <col min="15093" max="15093" width="7.6328125" style="11" bestFit="1" customWidth="1"/>
    <col min="15094" max="15094" width="88.36328125" style="11" customWidth="1"/>
    <col min="15095" max="15095" width="13" style="11" customWidth="1"/>
    <col min="15096" max="15096" width="18" style="11" customWidth="1"/>
    <col min="15097" max="15097" width="17" style="11" customWidth="1"/>
    <col min="15098" max="15098" width="17.90625" style="11" customWidth="1"/>
    <col min="15099" max="15099" width="20.453125" style="11" customWidth="1"/>
    <col min="15100" max="15100" width="14.90625" style="11" customWidth="1"/>
    <col min="15101" max="15103" width="18.08984375" style="11" customWidth="1"/>
    <col min="15104" max="15104" width="20.453125" style="11" customWidth="1"/>
    <col min="15105" max="15105" width="14.08984375" style="11" bestFit="1" customWidth="1"/>
    <col min="15106" max="15106" width="10" style="11" bestFit="1" customWidth="1"/>
    <col min="15107" max="15348" width="9.08984375" style="11"/>
    <col min="15349" max="15349" width="7.6328125" style="11" bestFit="1" customWidth="1"/>
    <col min="15350" max="15350" width="88.36328125" style="11" customWidth="1"/>
    <col min="15351" max="15351" width="13" style="11" customWidth="1"/>
    <col min="15352" max="15352" width="18" style="11" customWidth="1"/>
    <col min="15353" max="15353" width="17" style="11" customWidth="1"/>
    <col min="15354" max="15354" width="17.90625" style="11" customWidth="1"/>
    <col min="15355" max="15355" width="20.453125" style="11" customWidth="1"/>
    <col min="15356" max="15356" width="14.90625" style="11" customWidth="1"/>
    <col min="15357" max="15359" width="18.08984375" style="11" customWidth="1"/>
    <col min="15360" max="15360" width="20.453125" style="11" customWidth="1"/>
    <col min="15361" max="15361" width="14.08984375" style="11" bestFit="1" customWidth="1"/>
    <col min="15362" max="15362" width="10" style="11" bestFit="1" customWidth="1"/>
    <col min="15363" max="15604" width="9.08984375" style="11"/>
    <col min="15605" max="15605" width="7.6328125" style="11" bestFit="1" customWidth="1"/>
    <col min="15606" max="15606" width="88.36328125" style="11" customWidth="1"/>
    <col min="15607" max="15607" width="13" style="11" customWidth="1"/>
    <col min="15608" max="15608" width="18" style="11" customWidth="1"/>
    <col min="15609" max="15609" width="17" style="11" customWidth="1"/>
    <col min="15610" max="15610" width="17.90625" style="11" customWidth="1"/>
    <col min="15611" max="15611" width="20.453125" style="11" customWidth="1"/>
    <col min="15612" max="15612" width="14.90625" style="11" customWidth="1"/>
    <col min="15613" max="15615" width="18.08984375" style="11" customWidth="1"/>
    <col min="15616" max="15616" width="20.453125" style="11" customWidth="1"/>
    <col min="15617" max="15617" width="14.08984375" style="11" bestFit="1" customWidth="1"/>
    <col min="15618" max="15618" width="10" style="11" bestFit="1" customWidth="1"/>
    <col min="15619" max="15860" width="9.08984375" style="11"/>
    <col min="15861" max="15861" width="7.6328125" style="11" bestFit="1" customWidth="1"/>
    <col min="15862" max="15862" width="88.36328125" style="11" customWidth="1"/>
    <col min="15863" max="15863" width="13" style="11" customWidth="1"/>
    <col min="15864" max="15864" width="18" style="11" customWidth="1"/>
    <col min="15865" max="15865" width="17" style="11" customWidth="1"/>
    <col min="15866" max="15866" width="17.90625" style="11" customWidth="1"/>
    <col min="15867" max="15867" width="20.453125" style="11" customWidth="1"/>
    <col min="15868" max="15868" width="14.90625" style="11" customWidth="1"/>
    <col min="15869" max="15871" width="18.08984375" style="11" customWidth="1"/>
    <col min="15872" max="15872" width="20.453125" style="11" customWidth="1"/>
    <col min="15873" max="15873" width="14.08984375" style="11" bestFit="1" customWidth="1"/>
    <col min="15874" max="15874" width="10" style="11" bestFit="1" customWidth="1"/>
    <col min="15875" max="16116" width="9.08984375" style="11"/>
    <col min="16117" max="16117" width="7.6328125" style="11" bestFit="1" customWidth="1"/>
    <col min="16118" max="16118" width="88.36328125" style="11" customWidth="1"/>
    <col min="16119" max="16119" width="13" style="11" customWidth="1"/>
    <col min="16120" max="16120" width="18" style="11" customWidth="1"/>
    <col min="16121" max="16121" width="17" style="11" customWidth="1"/>
    <col min="16122" max="16122" width="17.90625" style="11" customWidth="1"/>
    <col min="16123" max="16123" width="20.453125" style="11" customWidth="1"/>
    <col min="16124" max="16124" width="14.90625" style="11" customWidth="1"/>
    <col min="16125" max="16127" width="18.08984375" style="11" customWidth="1"/>
    <col min="16128" max="16128" width="20.453125" style="11" customWidth="1"/>
    <col min="16129" max="16129" width="14.08984375" style="11" bestFit="1" customWidth="1"/>
    <col min="16130" max="16130" width="10" style="11" bestFit="1" customWidth="1"/>
    <col min="16131" max="16378" width="9.08984375" style="11"/>
    <col min="16379" max="16384" width="9.08984375" style="11" customWidth="1"/>
  </cols>
  <sheetData>
    <row r="1" spans="1:7" s="97" customFormat="1" x14ac:dyDescent="0.25">
      <c r="A1" s="93" t="s">
        <v>7</v>
      </c>
      <c r="B1" s="94"/>
      <c r="C1" s="94"/>
      <c r="D1" s="95"/>
      <c r="E1" s="94"/>
      <c r="F1" s="94"/>
    </row>
    <row r="2" spans="1:7" s="97" customFormat="1" x14ac:dyDescent="0.25">
      <c r="A2" s="93" t="str">
        <f>'Items 1,2,3-Construction Works'!A2</f>
        <v>TENDER NO. :   D-111808</v>
      </c>
      <c r="B2" s="94"/>
      <c r="C2" s="94"/>
      <c r="D2" s="95"/>
      <c r="E2" s="94"/>
      <c r="F2" s="94"/>
    </row>
    <row r="3" spans="1:7" s="97" customFormat="1" ht="18.75" customHeight="1" x14ac:dyDescent="0.25">
      <c r="A3" s="141" t="str">
        <f>'Items 1,2,3-Construction Works'!A3</f>
        <v>CONSTRUCTION WORKS FOR REPLACEMENT OF SHBPRY, SMHPRY AND DRPRY SUBSTATION IN EASTERN REGION</v>
      </c>
      <c r="B3" s="141"/>
      <c r="C3" s="141"/>
      <c r="D3" s="141"/>
      <c r="E3" s="141"/>
      <c r="F3" s="141"/>
    </row>
    <row r="4" spans="1:7" s="97" customFormat="1" ht="24.75" customHeight="1" x14ac:dyDescent="0.25">
      <c r="A4" s="96" t="str">
        <f>'Items 1,2,3-Construction Works'!A4</f>
        <v>LOT 1: SHOBAISI PRY (SHBPRY)</v>
      </c>
      <c r="C4" s="94"/>
      <c r="D4" s="95"/>
      <c r="E4" s="241"/>
      <c r="F4" s="241"/>
      <c r="G4" s="94"/>
    </row>
    <row r="5" spans="1:7" s="97" customFormat="1" ht="42" customHeight="1" x14ac:dyDescent="0.25">
      <c r="A5" s="244" t="s">
        <v>8</v>
      </c>
      <c r="B5" s="242" t="s">
        <v>0</v>
      </c>
      <c r="C5" s="242" t="s">
        <v>1</v>
      </c>
      <c r="D5" s="247" t="s">
        <v>9</v>
      </c>
      <c r="E5" s="242" t="s">
        <v>10</v>
      </c>
      <c r="F5" s="242"/>
    </row>
    <row r="6" spans="1:7" s="97" customFormat="1" ht="10.5" customHeight="1" x14ac:dyDescent="0.25">
      <c r="A6" s="245"/>
      <c r="B6" s="242"/>
      <c r="C6" s="242"/>
      <c r="D6" s="247"/>
      <c r="E6" s="242" t="s">
        <v>13</v>
      </c>
      <c r="F6" s="242" t="s">
        <v>14</v>
      </c>
    </row>
    <row r="7" spans="1:7" s="97" customFormat="1" ht="21.75" customHeight="1" x14ac:dyDescent="0.25">
      <c r="A7" s="246"/>
      <c r="B7" s="242"/>
      <c r="C7" s="242"/>
      <c r="D7" s="247"/>
      <c r="E7" s="242"/>
      <c r="F7" s="242"/>
    </row>
    <row r="8" spans="1:7" s="97" customFormat="1" ht="139.5" customHeight="1" x14ac:dyDescent="0.25">
      <c r="A8" s="98"/>
      <c r="B8" s="99" t="s">
        <v>18</v>
      </c>
      <c r="C8" s="100"/>
      <c r="D8" s="101"/>
      <c r="E8" s="59"/>
      <c r="F8" s="59"/>
    </row>
    <row r="9" spans="1:7" s="97" customFormat="1" ht="77.400000000000006" customHeight="1" x14ac:dyDescent="0.25">
      <c r="A9" s="102">
        <v>9</v>
      </c>
      <c r="B9" s="103" t="s">
        <v>297</v>
      </c>
      <c r="C9" s="104"/>
      <c r="D9" s="105"/>
      <c r="E9" s="104"/>
      <c r="F9" s="104"/>
    </row>
    <row r="10" spans="1:7" x14ac:dyDescent="0.25">
      <c r="A10" s="106">
        <v>9.1</v>
      </c>
      <c r="B10" s="2" t="s">
        <v>298</v>
      </c>
      <c r="C10" s="52"/>
      <c r="D10" s="107"/>
      <c r="E10" s="116"/>
      <c r="F10" s="52"/>
    </row>
    <row r="11" spans="1:7" ht="36" x14ac:dyDescent="0.25">
      <c r="A11" s="108" t="s">
        <v>409</v>
      </c>
      <c r="B11" s="3" t="s">
        <v>646</v>
      </c>
      <c r="C11" s="41" t="s">
        <v>299</v>
      </c>
      <c r="D11" s="86">
        <v>1</v>
      </c>
      <c r="E11" s="155">
        <v>80020</v>
      </c>
      <c r="F11" s="156">
        <f t="shared" ref="F11:F25" si="0">D11*E11</f>
        <v>80020</v>
      </c>
    </row>
    <row r="12" spans="1:7" x14ac:dyDescent="0.25">
      <c r="A12" s="108" t="s">
        <v>410</v>
      </c>
      <c r="B12" s="3" t="s">
        <v>300</v>
      </c>
      <c r="C12" s="41" t="s">
        <v>301</v>
      </c>
      <c r="D12" s="86">
        <v>1</v>
      </c>
      <c r="E12" s="155">
        <v>570</v>
      </c>
      <c r="F12" s="156">
        <f t="shared" si="0"/>
        <v>570</v>
      </c>
    </row>
    <row r="13" spans="1:7" x14ac:dyDescent="0.25">
      <c r="A13" s="108" t="s">
        <v>411</v>
      </c>
      <c r="B13" s="3" t="s">
        <v>302</v>
      </c>
      <c r="C13" s="41" t="s">
        <v>301</v>
      </c>
      <c r="D13" s="86">
        <v>1</v>
      </c>
      <c r="E13" s="155">
        <v>5680</v>
      </c>
      <c r="F13" s="156">
        <f t="shared" si="0"/>
        <v>5680</v>
      </c>
    </row>
    <row r="14" spans="1:7" x14ac:dyDescent="0.25">
      <c r="A14" s="108" t="s">
        <v>412</v>
      </c>
      <c r="B14" s="3" t="s">
        <v>303</v>
      </c>
      <c r="C14" s="41" t="s">
        <v>64</v>
      </c>
      <c r="D14" s="86">
        <v>2</v>
      </c>
      <c r="E14" s="155">
        <v>2840</v>
      </c>
      <c r="F14" s="156">
        <f t="shared" si="0"/>
        <v>5680</v>
      </c>
    </row>
    <row r="15" spans="1:7" x14ac:dyDescent="0.25">
      <c r="A15" s="108" t="s">
        <v>413</v>
      </c>
      <c r="B15" s="3" t="s">
        <v>304</v>
      </c>
      <c r="C15" s="41" t="s">
        <v>301</v>
      </c>
      <c r="D15" s="86">
        <v>1</v>
      </c>
      <c r="E15" s="155">
        <v>7100</v>
      </c>
      <c r="F15" s="156">
        <f t="shared" si="0"/>
        <v>7100</v>
      </c>
    </row>
    <row r="16" spans="1:7" ht="36" x14ac:dyDescent="0.25">
      <c r="A16" s="108" t="s">
        <v>414</v>
      </c>
      <c r="B16" s="3" t="s">
        <v>305</v>
      </c>
      <c r="C16" s="41" t="s">
        <v>299</v>
      </c>
      <c r="D16" s="86">
        <v>1</v>
      </c>
      <c r="E16" s="155">
        <v>25550</v>
      </c>
      <c r="F16" s="156">
        <f t="shared" si="0"/>
        <v>25550</v>
      </c>
    </row>
    <row r="17" spans="1:6" x14ac:dyDescent="0.25">
      <c r="A17" s="108" t="s">
        <v>415</v>
      </c>
      <c r="B17" s="3" t="s">
        <v>306</v>
      </c>
      <c r="C17" s="41" t="s">
        <v>299</v>
      </c>
      <c r="D17" s="86">
        <v>1</v>
      </c>
      <c r="E17" s="155">
        <v>12780</v>
      </c>
      <c r="F17" s="156">
        <f t="shared" si="0"/>
        <v>12780</v>
      </c>
    </row>
    <row r="18" spans="1:6" x14ac:dyDescent="0.25">
      <c r="A18" s="108" t="s">
        <v>416</v>
      </c>
      <c r="B18" s="3" t="s">
        <v>307</v>
      </c>
      <c r="C18" s="41" t="s">
        <v>301</v>
      </c>
      <c r="D18" s="86">
        <v>1</v>
      </c>
      <c r="E18" s="155">
        <v>850</v>
      </c>
      <c r="F18" s="156">
        <f t="shared" si="0"/>
        <v>850</v>
      </c>
    </row>
    <row r="19" spans="1:6" x14ac:dyDescent="0.25">
      <c r="A19" s="108" t="s">
        <v>417</v>
      </c>
      <c r="B19" s="3" t="s">
        <v>308</v>
      </c>
      <c r="C19" s="41" t="s">
        <v>301</v>
      </c>
      <c r="D19" s="86">
        <v>1</v>
      </c>
      <c r="E19" s="155">
        <v>6250</v>
      </c>
      <c r="F19" s="156">
        <f t="shared" si="0"/>
        <v>6250</v>
      </c>
    </row>
    <row r="20" spans="1:6" x14ac:dyDescent="0.25">
      <c r="A20" s="108" t="s">
        <v>418</v>
      </c>
      <c r="B20" s="3" t="s">
        <v>309</v>
      </c>
      <c r="C20" s="41" t="s">
        <v>299</v>
      </c>
      <c r="D20" s="86">
        <v>1</v>
      </c>
      <c r="E20" s="155">
        <v>6810</v>
      </c>
      <c r="F20" s="156">
        <f t="shared" si="0"/>
        <v>6810</v>
      </c>
    </row>
    <row r="21" spans="1:6" x14ac:dyDescent="0.25">
      <c r="A21" s="108" t="s">
        <v>419</v>
      </c>
      <c r="B21" s="3" t="s">
        <v>310</v>
      </c>
      <c r="C21" s="41" t="s">
        <v>299</v>
      </c>
      <c r="D21" s="86">
        <v>1</v>
      </c>
      <c r="E21" s="155">
        <v>42590</v>
      </c>
      <c r="F21" s="156">
        <f t="shared" si="0"/>
        <v>42590</v>
      </c>
    </row>
    <row r="22" spans="1:6" x14ac:dyDescent="0.25">
      <c r="A22" s="108" t="s">
        <v>420</v>
      </c>
      <c r="B22" s="3" t="s">
        <v>311</v>
      </c>
      <c r="C22" s="41" t="s">
        <v>312</v>
      </c>
      <c r="D22" s="86">
        <v>1</v>
      </c>
      <c r="E22" s="155">
        <v>48270</v>
      </c>
      <c r="F22" s="156">
        <f t="shared" si="0"/>
        <v>48270</v>
      </c>
    </row>
    <row r="23" spans="1:6" x14ac:dyDescent="0.25">
      <c r="A23" s="108" t="s">
        <v>421</v>
      </c>
      <c r="B23" s="3" t="s">
        <v>313</v>
      </c>
      <c r="C23" s="16" t="s">
        <v>301</v>
      </c>
      <c r="D23" s="109">
        <v>1</v>
      </c>
      <c r="E23" s="155">
        <v>5390</v>
      </c>
      <c r="F23" s="156">
        <f t="shared" si="0"/>
        <v>5390</v>
      </c>
    </row>
    <row r="24" spans="1:6" x14ac:dyDescent="0.25">
      <c r="A24" s="108" t="s">
        <v>422</v>
      </c>
      <c r="B24" s="3" t="s">
        <v>314</v>
      </c>
      <c r="C24" s="16" t="s">
        <v>312</v>
      </c>
      <c r="D24" s="109">
        <v>1</v>
      </c>
      <c r="E24" s="155">
        <v>990</v>
      </c>
      <c r="F24" s="156">
        <f t="shared" si="0"/>
        <v>990</v>
      </c>
    </row>
    <row r="25" spans="1:6" x14ac:dyDescent="0.25">
      <c r="A25" s="108" t="s">
        <v>423</v>
      </c>
      <c r="B25" s="3" t="s">
        <v>315</v>
      </c>
      <c r="C25" s="59" t="s">
        <v>301</v>
      </c>
      <c r="D25" s="86">
        <v>1</v>
      </c>
      <c r="E25" s="155">
        <v>8520</v>
      </c>
      <c r="F25" s="156">
        <f t="shared" si="0"/>
        <v>8520</v>
      </c>
    </row>
    <row r="26" spans="1:6" x14ac:dyDescent="0.25">
      <c r="A26" s="108" t="s">
        <v>424</v>
      </c>
      <c r="B26" s="3" t="s">
        <v>316</v>
      </c>
      <c r="C26" s="59" t="s">
        <v>301</v>
      </c>
      <c r="D26" s="86">
        <v>1</v>
      </c>
      <c r="E26" s="155">
        <v>2840</v>
      </c>
      <c r="F26" s="156">
        <f t="shared" ref="F26" si="1">D26*E26</f>
        <v>2840</v>
      </c>
    </row>
    <row r="27" spans="1:6" ht="50.25" customHeight="1" x14ac:dyDescent="0.25">
      <c r="A27" s="108" t="s">
        <v>645</v>
      </c>
      <c r="B27" s="3" t="s">
        <v>318</v>
      </c>
      <c r="C27" s="59" t="s">
        <v>301</v>
      </c>
      <c r="D27" s="86">
        <v>1</v>
      </c>
      <c r="E27" s="155">
        <v>2400</v>
      </c>
      <c r="F27" s="156">
        <f t="shared" ref="F27" si="2">D27*E27</f>
        <v>2400</v>
      </c>
    </row>
    <row r="28" spans="1:6" ht="26.25" customHeight="1" x14ac:dyDescent="0.25">
      <c r="A28" s="142" t="s">
        <v>425</v>
      </c>
      <c r="B28" s="142"/>
      <c r="C28" s="110"/>
      <c r="D28" s="110"/>
      <c r="E28" s="178"/>
      <c r="F28" s="179">
        <f>SUM(F11:F27)</f>
        <v>262290</v>
      </c>
    </row>
    <row r="29" spans="1:6" x14ac:dyDescent="0.25">
      <c r="A29" s="106">
        <v>9.1999999999999993</v>
      </c>
      <c r="B29" s="2" t="s">
        <v>317</v>
      </c>
      <c r="C29" s="59"/>
      <c r="D29" s="86"/>
      <c r="E29" s="157"/>
      <c r="F29" s="158"/>
    </row>
    <row r="30" spans="1:6" x14ac:dyDescent="0.25">
      <c r="A30" s="127" t="s">
        <v>426</v>
      </c>
      <c r="B30" s="3" t="s">
        <v>318</v>
      </c>
      <c r="C30" s="59" t="s">
        <v>299</v>
      </c>
      <c r="D30" s="86">
        <v>1</v>
      </c>
      <c r="E30" s="155">
        <v>1160</v>
      </c>
      <c r="F30" s="158">
        <f t="shared" ref="F30:F37" si="3">D30*E30</f>
        <v>1160</v>
      </c>
    </row>
    <row r="31" spans="1:6" x14ac:dyDescent="0.25">
      <c r="A31" s="127" t="s">
        <v>427</v>
      </c>
      <c r="B31" s="3" t="s">
        <v>648</v>
      </c>
      <c r="C31" s="59" t="s">
        <v>299</v>
      </c>
      <c r="D31" s="86">
        <v>1</v>
      </c>
      <c r="E31" s="155">
        <v>62790</v>
      </c>
      <c r="F31" s="158">
        <f t="shared" si="3"/>
        <v>62790</v>
      </c>
    </row>
    <row r="32" spans="1:6" x14ac:dyDescent="0.25">
      <c r="A32" s="127" t="s">
        <v>428</v>
      </c>
      <c r="B32" s="3" t="s">
        <v>649</v>
      </c>
      <c r="C32" s="59" t="s">
        <v>299</v>
      </c>
      <c r="D32" s="86">
        <v>1</v>
      </c>
      <c r="E32" s="155">
        <v>7100</v>
      </c>
      <c r="F32" s="158">
        <f t="shared" ref="F32" si="4">D32*E32</f>
        <v>7100</v>
      </c>
    </row>
    <row r="33" spans="1:6" x14ac:dyDescent="0.25">
      <c r="A33" s="127" t="s">
        <v>429</v>
      </c>
      <c r="B33" s="3" t="s">
        <v>319</v>
      </c>
      <c r="C33" s="59" t="s">
        <v>299</v>
      </c>
      <c r="D33" s="86">
        <v>1</v>
      </c>
      <c r="E33" s="155">
        <v>30030</v>
      </c>
      <c r="F33" s="158">
        <f t="shared" si="3"/>
        <v>30030</v>
      </c>
    </row>
    <row r="34" spans="1:6" x14ac:dyDescent="0.25">
      <c r="A34" s="127" t="s">
        <v>430</v>
      </c>
      <c r="B34" s="3" t="s">
        <v>320</v>
      </c>
      <c r="C34" s="59" t="s">
        <v>299</v>
      </c>
      <c r="D34" s="86">
        <v>1</v>
      </c>
      <c r="E34" s="155">
        <v>33810</v>
      </c>
      <c r="F34" s="158">
        <f t="shared" si="3"/>
        <v>33810</v>
      </c>
    </row>
    <row r="35" spans="1:6" x14ac:dyDescent="0.25">
      <c r="A35" s="127" t="s">
        <v>431</v>
      </c>
      <c r="B35" s="3" t="s">
        <v>321</v>
      </c>
      <c r="C35" s="59" t="s">
        <v>299</v>
      </c>
      <c r="D35" s="86">
        <v>1</v>
      </c>
      <c r="E35" s="155">
        <v>2700</v>
      </c>
      <c r="F35" s="158">
        <f t="shared" si="3"/>
        <v>2700</v>
      </c>
    </row>
    <row r="36" spans="1:6" x14ac:dyDescent="0.25">
      <c r="A36" s="127" t="s">
        <v>432</v>
      </c>
      <c r="B36" s="3" t="s">
        <v>322</v>
      </c>
      <c r="C36" s="59" t="s">
        <v>299</v>
      </c>
      <c r="D36" s="86">
        <v>1</v>
      </c>
      <c r="E36" s="155">
        <v>950</v>
      </c>
      <c r="F36" s="158">
        <f t="shared" ref="F36" si="5">D36*E36</f>
        <v>950</v>
      </c>
    </row>
    <row r="37" spans="1:6" x14ac:dyDescent="0.25">
      <c r="A37" s="127" t="s">
        <v>647</v>
      </c>
      <c r="B37" s="3" t="s">
        <v>323</v>
      </c>
      <c r="C37" s="59" t="s">
        <v>299</v>
      </c>
      <c r="D37" s="86">
        <v>1</v>
      </c>
      <c r="E37" s="155">
        <v>1540</v>
      </c>
      <c r="F37" s="158">
        <f t="shared" si="3"/>
        <v>1540</v>
      </c>
    </row>
    <row r="38" spans="1:6" ht="27.75" customHeight="1" x14ac:dyDescent="0.25">
      <c r="A38" s="142" t="s">
        <v>433</v>
      </c>
      <c r="B38" s="142"/>
      <c r="C38" s="110"/>
      <c r="D38" s="110"/>
      <c r="E38" s="178"/>
      <c r="F38" s="179">
        <f>SUM(F30:F37)</f>
        <v>140080</v>
      </c>
    </row>
    <row r="39" spans="1:6" ht="40.5" customHeight="1" x14ac:dyDescent="0.25">
      <c r="A39" s="92">
        <v>9.3000000000000007</v>
      </c>
      <c r="B39" s="2" t="s">
        <v>324</v>
      </c>
      <c r="C39" s="59"/>
      <c r="D39" s="86"/>
      <c r="E39" s="157"/>
      <c r="F39" s="158"/>
    </row>
    <row r="40" spans="1:6" x14ac:dyDescent="0.25">
      <c r="A40" s="76" t="s">
        <v>434</v>
      </c>
      <c r="B40" s="21" t="s">
        <v>325</v>
      </c>
      <c r="C40" s="59" t="s">
        <v>299</v>
      </c>
      <c r="D40" s="86">
        <v>1</v>
      </c>
      <c r="E40" s="155">
        <v>7410</v>
      </c>
      <c r="F40" s="158">
        <f t="shared" ref="F40:F85" si="6">D40*E40</f>
        <v>7410</v>
      </c>
    </row>
    <row r="41" spans="1:6" x14ac:dyDescent="0.25">
      <c r="A41" s="76" t="s">
        <v>435</v>
      </c>
      <c r="B41" s="21" t="s">
        <v>326</v>
      </c>
      <c r="C41" s="59" t="s">
        <v>299</v>
      </c>
      <c r="D41" s="86">
        <v>1</v>
      </c>
      <c r="E41" s="155">
        <v>3290</v>
      </c>
      <c r="F41" s="158">
        <f t="shared" si="6"/>
        <v>3290</v>
      </c>
    </row>
    <row r="42" spans="1:6" x14ac:dyDescent="0.25">
      <c r="A42" s="76" t="s">
        <v>436</v>
      </c>
      <c r="B42" s="21" t="s">
        <v>327</v>
      </c>
      <c r="C42" s="59" t="s">
        <v>299</v>
      </c>
      <c r="D42" s="86">
        <v>1</v>
      </c>
      <c r="E42" s="155">
        <v>4940</v>
      </c>
      <c r="F42" s="158">
        <f t="shared" si="6"/>
        <v>4940</v>
      </c>
    </row>
    <row r="43" spans="1:6" x14ac:dyDescent="0.25">
      <c r="A43" s="76" t="s">
        <v>437</v>
      </c>
      <c r="B43" s="21" t="s">
        <v>328</v>
      </c>
      <c r="C43" s="59" t="s">
        <v>299</v>
      </c>
      <c r="D43" s="86">
        <v>1</v>
      </c>
      <c r="E43" s="155">
        <v>4940</v>
      </c>
      <c r="F43" s="158">
        <f t="shared" si="6"/>
        <v>4940</v>
      </c>
    </row>
    <row r="44" spans="1:6" x14ac:dyDescent="0.25">
      <c r="A44" s="76" t="s">
        <v>438</v>
      </c>
      <c r="B44" s="21" t="s">
        <v>329</v>
      </c>
      <c r="C44" s="59" t="s">
        <v>299</v>
      </c>
      <c r="D44" s="86">
        <v>1</v>
      </c>
      <c r="E44" s="155">
        <v>3290</v>
      </c>
      <c r="F44" s="158">
        <f t="shared" si="6"/>
        <v>3290</v>
      </c>
    </row>
    <row r="45" spans="1:6" x14ac:dyDescent="0.25">
      <c r="A45" s="76" t="s">
        <v>439</v>
      </c>
      <c r="B45" s="21" t="s">
        <v>330</v>
      </c>
      <c r="C45" s="59" t="s">
        <v>299</v>
      </c>
      <c r="D45" s="86">
        <v>1</v>
      </c>
      <c r="E45" s="155">
        <v>4120</v>
      </c>
      <c r="F45" s="158">
        <f t="shared" si="6"/>
        <v>4120</v>
      </c>
    </row>
    <row r="46" spans="1:6" x14ac:dyDescent="0.25">
      <c r="A46" s="76" t="s">
        <v>440</v>
      </c>
      <c r="B46" s="21" t="s">
        <v>331</v>
      </c>
      <c r="C46" s="59" t="s">
        <v>299</v>
      </c>
      <c r="D46" s="86">
        <v>1</v>
      </c>
      <c r="E46" s="155">
        <v>3290</v>
      </c>
      <c r="F46" s="158">
        <f t="shared" si="6"/>
        <v>3290</v>
      </c>
    </row>
    <row r="47" spans="1:6" x14ac:dyDescent="0.25">
      <c r="A47" s="76" t="s">
        <v>441</v>
      </c>
      <c r="B47" s="21" t="s">
        <v>332</v>
      </c>
      <c r="C47" s="59" t="s">
        <v>299</v>
      </c>
      <c r="D47" s="86">
        <v>1</v>
      </c>
      <c r="E47" s="155">
        <v>4120</v>
      </c>
      <c r="F47" s="158">
        <f t="shared" si="6"/>
        <v>4120</v>
      </c>
    </row>
    <row r="48" spans="1:6" x14ac:dyDescent="0.25">
      <c r="A48" s="76" t="s">
        <v>442</v>
      </c>
      <c r="B48" s="21" t="s">
        <v>333</v>
      </c>
      <c r="C48" s="59" t="s">
        <v>299</v>
      </c>
      <c r="D48" s="86">
        <v>1</v>
      </c>
      <c r="E48" s="155">
        <v>830</v>
      </c>
      <c r="F48" s="158">
        <f t="shared" si="6"/>
        <v>830</v>
      </c>
    </row>
    <row r="49" spans="1:6" x14ac:dyDescent="0.25">
      <c r="A49" s="76" t="s">
        <v>443</v>
      </c>
      <c r="B49" s="21" t="s">
        <v>334</v>
      </c>
      <c r="C49" s="59" t="s">
        <v>299</v>
      </c>
      <c r="D49" s="86">
        <v>1</v>
      </c>
      <c r="E49" s="155">
        <v>10290</v>
      </c>
      <c r="F49" s="158">
        <f t="shared" si="6"/>
        <v>10290</v>
      </c>
    </row>
    <row r="50" spans="1:6" x14ac:dyDescent="0.25">
      <c r="A50" s="76" t="s">
        <v>444</v>
      </c>
      <c r="B50" s="18" t="s">
        <v>335</v>
      </c>
      <c r="C50" s="59" t="s">
        <v>299</v>
      </c>
      <c r="D50" s="86">
        <v>1</v>
      </c>
      <c r="E50" s="155">
        <v>10290</v>
      </c>
      <c r="F50" s="158">
        <f t="shared" si="6"/>
        <v>10290</v>
      </c>
    </row>
    <row r="51" spans="1:6" x14ac:dyDescent="0.25">
      <c r="A51" s="76" t="s">
        <v>445</v>
      </c>
      <c r="B51" s="18" t="s">
        <v>336</v>
      </c>
      <c r="C51" s="59" t="s">
        <v>299</v>
      </c>
      <c r="D51" s="86">
        <v>1</v>
      </c>
      <c r="E51" s="155">
        <v>2880</v>
      </c>
      <c r="F51" s="158">
        <f t="shared" si="6"/>
        <v>2880</v>
      </c>
    </row>
    <row r="52" spans="1:6" x14ac:dyDescent="0.25">
      <c r="A52" s="76" t="s">
        <v>446</v>
      </c>
      <c r="B52" s="18" t="s">
        <v>337</v>
      </c>
      <c r="C52" s="59" t="s">
        <v>299</v>
      </c>
      <c r="D52" s="86">
        <v>1</v>
      </c>
      <c r="E52" s="155">
        <v>830</v>
      </c>
      <c r="F52" s="158">
        <f t="shared" si="6"/>
        <v>830</v>
      </c>
    </row>
    <row r="53" spans="1:6" ht="36" x14ac:dyDescent="0.25">
      <c r="A53" s="76" t="s">
        <v>447</v>
      </c>
      <c r="B53" s="18" t="s">
        <v>338</v>
      </c>
      <c r="C53" s="59" t="s">
        <v>299</v>
      </c>
      <c r="D53" s="86">
        <v>1</v>
      </c>
      <c r="E53" s="155">
        <v>8240</v>
      </c>
      <c r="F53" s="158">
        <f t="shared" si="6"/>
        <v>8240</v>
      </c>
    </row>
    <row r="54" spans="1:6" x14ac:dyDescent="0.25">
      <c r="A54" s="76" t="s">
        <v>448</v>
      </c>
      <c r="B54" s="111" t="s">
        <v>339</v>
      </c>
      <c r="C54" s="59" t="s">
        <v>299</v>
      </c>
      <c r="D54" s="86">
        <v>1</v>
      </c>
      <c r="E54" s="155" t="s">
        <v>521</v>
      </c>
      <c r="F54" s="158" t="s">
        <v>521</v>
      </c>
    </row>
    <row r="55" spans="1:6" x14ac:dyDescent="0.25">
      <c r="A55" s="76" t="s">
        <v>449</v>
      </c>
      <c r="B55" s="21" t="s">
        <v>340</v>
      </c>
      <c r="C55" s="59" t="s">
        <v>299</v>
      </c>
      <c r="D55" s="86">
        <v>1</v>
      </c>
      <c r="E55" s="155">
        <v>83920</v>
      </c>
      <c r="F55" s="158">
        <f t="shared" si="6"/>
        <v>83920</v>
      </c>
    </row>
    <row r="56" spans="1:6" x14ac:dyDescent="0.25">
      <c r="A56" s="76" t="s">
        <v>450</v>
      </c>
      <c r="B56" s="21" t="s">
        <v>341</v>
      </c>
      <c r="C56" s="59" t="s">
        <v>299</v>
      </c>
      <c r="D56" s="86">
        <v>1</v>
      </c>
      <c r="E56" s="155">
        <v>2880</v>
      </c>
      <c r="F56" s="158">
        <f t="shared" si="6"/>
        <v>2880</v>
      </c>
    </row>
    <row r="57" spans="1:6" x14ac:dyDescent="0.25">
      <c r="A57" s="76" t="s">
        <v>451</v>
      </c>
      <c r="B57" s="21" t="s">
        <v>342</v>
      </c>
      <c r="C57" s="59" t="s">
        <v>299</v>
      </c>
      <c r="D57" s="86">
        <v>1</v>
      </c>
      <c r="E57" s="155">
        <v>1240</v>
      </c>
      <c r="F57" s="158">
        <f t="shared" si="6"/>
        <v>1240</v>
      </c>
    </row>
    <row r="58" spans="1:6" x14ac:dyDescent="0.25">
      <c r="A58" s="76" t="s">
        <v>452</v>
      </c>
      <c r="B58" s="21" t="s">
        <v>343</v>
      </c>
      <c r="C58" s="59" t="s">
        <v>299</v>
      </c>
      <c r="D58" s="86">
        <v>1</v>
      </c>
      <c r="E58" s="155">
        <v>8240</v>
      </c>
      <c r="F58" s="158">
        <f t="shared" si="6"/>
        <v>8240</v>
      </c>
    </row>
    <row r="59" spans="1:6" x14ac:dyDescent="0.25">
      <c r="A59" s="76" t="s">
        <v>453</v>
      </c>
      <c r="B59" s="21" t="s">
        <v>344</v>
      </c>
      <c r="C59" s="59" t="s">
        <v>299</v>
      </c>
      <c r="D59" s="86">
        <v>1</v>
      </c>
      <c r="E59" s="155">
        <v>14830</v>
      </c>
      <c r="F59" s="158">
        <f t="shared" si="6"/>
        <v>14830</v>
      </c>
    </row>
    <row r="60" spans="1:6" x14ac:dyDescent="0.25">
      <c r="A60" s="76" t="s">
        <v>454</v>
      </c>
      <c r="B60" s="21" t="s">
        <v>345</v>
      </c>
      <c r="C60" s="59" t="s">
        <v>299</v>
      </c>
      <c r="D60" s="86">
        <v>1</v>
      </c>
      <c r="E60" s="155">
        <v>1650</v>
      </c>
      <c r="F60" s="158">
        <f t="shared" si="6"/>
        <v>1650</v>
      </c>
    </row>
    <row r="61" spans="1:6" x14ac:dyDescent="0.25">
      <c r="A61" s="76" t="s">
        <v>455</v>
      </c>
      <c r="B61" s="21" t="s">
        <v>346</v>
      </c>
      <c r="C61" s="59" t="s">
        <v>299</v>
      </c>
      <c r="D61" s="86">
        <v>1</v>
      </c>
      <c r="E61" s="155">
        <v>210</v>
      </c>
      <c r="F61" s="158">
        <f t="shared" si="6"/>
        <v>210</v>
      </c>
    </row>
    <row r="62" spans="1:6" ht="36" x14ac:dyDescent="0.25">
      <c r="A62" s="76" t="s">
        <v>456</v>
      </c>
      <c r="B62" s="21" t="s">
        <v>347</v>
      </c>
      <c r="C62" s="59" t="s">
        <v>299</v>
      </c>
      <c r="D62" s="86">
        <v>1</v>
      </c>
      <c r="E62" s="155">
        <v>28820</v>
      </c>
      <c r="F62" s="158">
        <f t="shared" si="6"/>
        <v>28820</v>
      </c>
    </row>
    <row r="63" spans="1:6" x14ac:dyDescent="0.25">
      <c r="A63" s="76" t="s">
        <v>457</v>
      </c>
      <c r="B63" s="21" t="s">
        <v>348</v>
      </c>
      <c r="C63" s="59" t="s">
        <v>299</v>
      </c>
      <c r="D63" s="86">
        <v>1</v>
      </c>
      <c r="E63" s="155">
        <v>109080</v>
      </c>
      <c r="F63" s="158">
        <f t="shared" si="6"/>
        <v>109080</v>
      </c>
    </row>
    <row r="64" spans="1:6" ht="36" x14ac:dyDescent="0.25">
      <c r="A64" s="76" t="s">
        <v>458</v>
      </c>
      <c r="B64" s="21" t="s">
        <v>349</v>
      </c>
      <c r="C64" s="59" t="s">
        <v>299</v>
      </c>
      <c r="D64" s="86">
        <v>1</v>
      </c>
      <c r="E64" s="155">
        <v>4120</v>
      </c>
      <c r="F64" s="158">
        <f t="shared" si="6"/>
        <v>4120</v>
      </c>
    </row>
    <row r="65" spans="1:6" ht="23" customHeight="1" x14ac:dyDescent="0.25">
      <c r="A65" s="142" t="s">
        <v>459</v>
      </c>
      <c r="B65" s="142"/>
      <c r="C65" s="110"/>
      <c r="D65" s="110"/>
      <c r="E65" s="178"/>
      <c r="F65" s="179">
        <f>SUM(F40:F64)</f>
        <v>323750</v>
      </c>
    </row>
    <row r="66" spans="1:6" ht="27.75" customHeight="1" x14ac:dyDescent="0.25">
      <c r="A66" s="92">
        <v>9.4</v>
      </c>
      <c r="B66" s="98" t="s">
        <v>350</v>
      </c>
      <c r="C66" s="59"/>
      <c r="D66" s="86"/>
      <c r="E66" s="157"/>
      <c r="F66" s="158"/>
    </row>
    <row r="67" spans="1:6" x14ac:dyDescent="0.25">
      <c r="A67" s="76" t="s">
        <v>460</v>
      </c>
      <c r="B67" s="18" t="s">
        <v>351</v>
      </c>
      <c r="C67" s="59" t="s">
        <v>299</v>
      </c>
      <c r="D67" s="86">
        <v>1</v>
      </c>
      <c r="E67" s="155">
        <v>16360</v>
      </c>
      <c r="F67" s="158">
        <f t="shared" si="6"/>
        <v>16360</v>
      </c>
    </row>
    <row r="68" spans="1:6" x14ac:dyDescent="0.25">
      <c r="A68" s="76" t="s">
        <v>461</v>
      </c>
      <c r="B68" s="18" t="s">
        <v>352</v>
      </c>
      <c r="C68" s="59" t="s">
        <v>301</v>
      </c>
      <c r="D68" s="86">
        <v>1</v>
      </c>
      <c r="E68" s="155">
        <v>11050</v>
      </c>
      <c r="F68" s="158">
        <f t="shared" si="6"/>
        <v>11050</v>
      </c>
    </row>
    <row r="69" spans="1:6" x14ac:dyDescent="0.25">
      <c r="A69" s="76" t="s">
        <v>462</v>
      </c>
      <c r="B69" s="18" t="s">
        <v>353</v>
      </c>
      <c r="C69" s="59" t="s">
        <v>299</v>
      </c>
      <c r="D69" s="86">
        <v>1</v>
      </c>
      <c r="E69" s="155">
        <v>1150</v>
      </c>
      <c r="F69" s="158">
        <f t="shared" si="6"/>
        <v>1150</v>
      </c>
    </row>
    <row r="70" spans="1:6" x14ac:dyDescent="0.25">
      <c r="A70" s="76" t="s">
        <v>463</v>
      </c>
      <c r="B70" s="18" t="s">
        <v>354</v>
      </c>
      <c r="C70" s="59" t="s">
        <v>299</v>
      </c>
      <c r="D70" s="86">
        <v>1</v>
      </c>
      <c r="E70" s="155">
        <v>8740</v>
      </c>
      <c r="F70" s="158">
        <f t="shared" si="6"/>
        <v>8740</v>
      </c>
    </row>
    <row r="71" spans="1:6" ht="23" customHeight="1" x14ac:dyDescent="0.25">
      <c r="A71" s="142" t="s">
        <v>464</v>
      </c>
      <c r="B71" s="142"/>
      <c r="C71" s="110"/>
      <c r="D71" s="110"/>
      <c r="E71" s="178"/>
      <c r="F71" s="179">
        <f>SUM(F67:F70)</f>
        <v>37300</v>
      </c>
    </row>
    <row r="72" spans="1:6" ht="29" customHeight="1" x14ac:dyDescent="0.25">
      <c r="A72" s="92">
        <v>9.5</v>
      </c>
      <c r="B72" s="98" t="s">
        <v>355</v>
      </c>
      <c r="C72" s="59"/>
      <c r="D72" s="86"/>
      <c r="E72" s="157"/>
      <c r="F72" s="158"/>
    </row>
    <row r="73" spans="1:6" x14ac:dyDescent="0.25">
      <c r="A73" s="76" t="s">
        <v>506</v>
      </c>
      <c r="B73" s="18" t="s">
        <v>356</v>
      </c>
      <c r="C73" s="59" t="s">
        <v>299</v>
      </c>
      <c r="D73" s="86">
        <v>1</v>
      </c>
      <c r="E73" s="155">
        <v>350</v>
      </c>
      <c r="F73" s="158">
        <f t="shared" ref="F73:F81" si="7">D73*E73</f>
        <v>350</v>
      </c>
    </row>
    <row r="74" spans="1:6" x14ac:dyDescent="0.25">
      <c r="A74" s="76" t="s">
        <v>507</v>
      </c>
      <c r="B74" s="18" t="s">
        <v>357</v>
      </c>
      <c r="C74" s="59" t="s">
        <v>299</v>
      </c>
      <c r="D74" s="86">
        <v>1</v>
      </c>
      <c r="E74" s="155">
        <v>4900</v>
      </c>
      <c r="F74" s="158">
        <f t="shared" si="7"/>
        <v>4900</v>
      </c>
    </row>
    <row r="75" spans="1:6" x14ac:dyDescent="0.25">
      <c r="A75" s="76" t="s">
        <v>508</v>
      </c>
      <c r="B75" s="18" t="s">
        <v>358</v>
      </c>
      <c r="C75" s="59" t="s">
        <v>299</v>
      </c>
      <c r="D75" s="86">
        <v>1</v>
      </c>
      <c r="E75" s="155">
        <v>1960</v>
      </c>
      <c r="F75" s="158">
        <f t="shared" si="7"/>
        <v>1960</v>
      </c>
    </row>
    <row r="76" spans="1:6" x14ac:dyDescent="0.25">
      <c r="A76" s="76" t="s">
        <v>509</v>
      </c>
      <c r="B76" s="18" t="s">
        <v>359</v>
      </c>
      <c r="C76" s="59" t="s">
        <v>299</v>
      </c>
      <c r="D76" s="86">
        <v>1</v>
      </c>
      <c r="E76" s="155">
        <v>9790</v>
      </c>
      <c r="F76" s="158">
        <f t="shared" si="7"/>
        <v>9790</v>
      </c>
    </row>
    <row r="77" spans="1:6" x14ac:dyDescent="0.25">
      <c r="A77" s="76" t="s">
        <v>510</v>
      </c>
      <c r="B77" s="18" t="s">
        <v>360</v>
      </c>
      <c r="C77" s="59" t="s">
        <v>299</v>
      </c>
      <c r="D77" s="86">
        <v>1</v>
      </c>
      <c r="E77" s="155">
        <v>2800</v>
      </c>
      <c r="F77" s="158">
        <f t="shared" si="7"/>
        <v>2800</v>
      </c>
    </row>
    <row r="78" spans="1:6" x14ac:dyDescent="0.25">
      <c r="A78" s="76" t="s">
        <v>511</v>
      </c>
      <c r="B78" s="18" t="s">
        <v>361</v>
      </c>
      <c r="C78" s="59" t="s">
        <v>299</v>
      </c>
      <c r="D78" s="86">
        <v>1</v>
      </c>
      <c r="E78" s="155">
        <v>14690</v>
      </c>
      <c r="F78" s="158">
        <f t="shared" si="7"/>
        <v>14690</v>
      </c>
    </row>
    <row r="79" spans="1:6" x14ac:dyDescent="0.25">
      <c r="A79" s="76" t="s">
        <v>512</v>
      </c>
      <c r="B79" s="18" t="s">
        <v>362</v>
      </c>
      <c r="C79" s="59" t="s">
        <v>299</v>
      </c>
      <c r="D79" s="86">
        <v>1</v>
      </c>
      <c r="E79" s="155">
        <v>7550</v>
      </c>
      <c r="F79" s="158">
        <f t="shared" si="7"/>
        <v>7550</v>
      </c>
    </row>
    <row r="80" spans="1:6" x14ac:dyDescent="0.25">
      <c r="A80" s="76" t="s">
        <v>513</v>
      </c>
      <c r="B80" s="18" t="s">
        <v>363</v>
      </c>
      <c r="C80" s="59" t="s">
        <v>2</v>
      </c>
      <c r="D80" s="86">
        <v>1</v>
      </c>
      <c r="E80" s="155">
        <v>65730</v>
      </c>
      <c r="F80" s="158">
        <f t="shared" si="7"/>
        <v>65730</v>
      </c>
    </row>
    <row r="81" spans="1:6" x14ac:dyDescent="0.25">
      <c r="A81" s="76" t="s">
        <v>514</v>
      </c>
      <c r="B81" s="15" t="s">
        <v>364</v>
      </c>
      <c r="C81" s="59" t="s">
        <v>299</v>
      </c>
      <c r="D81" s="86">
        <v>1</v>
      </c>
      <c r="E81" s="155">
        <v>6640</v>
      </c>
      <c r="F81" s="158">
        <f t="shared" si="7"/>
        <v>6640</v>
      </c>
    </row>
    <row r="82" spans="1:6" x14ac:dyDescent="0.25">
      <c r="A82" s="76" t="s">
        <v>515</v>
      </c>
      <c r="B82" s="18" t="s">
        <v>365</v>
      </c>
      <c r="C82" s="59" t="s">
        <v>299</v>
      </c>
      <c r="D82" s="86">
        <v>1</v>
      </c>
      <c r="E82" s="155">
        <v>13850</v>
      </c>
      <c r="F82" s="158">
        <f t="shared" si="6"/>
        <v>13850</v>
      </c>
    </row>
    <row r="83" spans="1:6" x14ac:dyDescent="0.25">
      <c r="A83" s="76" t="s">
        <v>516</v>
      </c>
      <c r="B83" s="18" t="s">
        <v>366</v>
      </c>
      <c r="C83" s="59" t="s">
        <v>299</v>
      </c>
      <c r="D83" s="86">
        <v>1</v>
      </c>
      <c r="E83" s="155">
        <v>2800</v>
      </c>
      <c r="F83" s="158">
        <f t="shared" si="6"/>
        <v>2800</v>
      </c>
    </row>
    <row r="84" spans="1:6" x14ac:dyDescent="0.25">
      <c r="A84" s="76" t="s">
        <v>517</v>
      </c>
      <c r="B84" s="18" t="s">
        <v>367</v>
      </c>
      <c r="C84" s="59" t="s">
        <v>299</v>
      </c>
      <c r="D84" s="86">
        <v>1</v>
      </c>
      <c r="E84" s="155">
        <v>3990</v>
      </c>
      <c r="F84" s="158">
        <f t="shared" si="6"/>
        <v>3990</v>
      </c>
    </row>
    <row r="85" spans="1:6" x14ac:dyDescent="0.25">
      <c r="A85" s="76" t="s">
        <v>518</v>
      </c>
      <c r="B85" s="18" t="s">
        <v>368</v>
      </c>
      <c r="C85" s="59" t="s">
        <v>299</v>
      </c>
      <c r="D85" s="86">
        <v>1</v>
      </c>
      <c r="E85" s="155">
        <v>5100</v>
      </c>
      <c r="F85" s="158">
        <f t="shared" si="6"/>
        <v>5100</v>
      </c>
    </row>
    <row r="86" spans="1:6" ht="24" customHeight="1" x14ac:dyDescent="0.25">
      <c r="A86" s="142" t="s">
        <v>478</v>
      </c>
      <c r="B86" s="142"/>
      <c r="C86" s="110"/>
      <c r="D86" s="110"/>
      <c r="E86" s="178"/>
      <c r="F86" s="179">
        <f>SUM(F73:F85)</f>
        <v>140150</v>
      </c>
    </row>
    <row r="87" spans="1:6" x14ac:dyDescent="0.25">
      <c r="A87" s="92">
        <v>9.6</v>
      </c>
      <c r="B87" s="98" t="s">
        <v>369</v>
      </c>
      <c r="C87" s="59"/>
      <c r="D87" s="86"/>
      <c r="E87" s="157"/>
      <c r="F87" s="158"/>
    </row>
    <row r="88" spans="1:6" ht="49.5" customHeight="1" x14ac:dyDescent="0.25">
      <c r="A88" s="76" t="s">
        <v>479</v>
      </c>
      <c r="B88" s="18" t="s">
        <v>370</v>
      </c>
      <c r="C88" s="59" t="s">
        <v>299</v>
      </c>
      <c r="D88" s="86">
        <v>1</v>
      </c>
      <c r="E88" s="155">
        <v>168360</v>
      </c>
      <c r="F88" s="158">
        <f t="shared" ref="F88:F100" si="8">D88*E88</f>
        <v>168360</v>
      </c>
    </row>
    <row r="89" spans="1:6" ht="29.25" customHeight="1" x14ac:dyDescent="0.25">
      <c r="A89" s="76" t="s">
        <v>480</v>
      </c>
      <c r="B89" s="18" t="s">
        <v>371</v>
      </c>
      <c r="C89" s="59" t="s">
        <v>301</v>
      </c>
      <c r="D89" s="86">
        <v>1</v>
      </c>
      <c r="E89" s="155" t="s">
        <v>754</v>
      </c>
      <c r="F89" s="158" t="s">
        <v>754</v>
      </c>
    </row>
    <row r="90" spans="1:6" ht="29.25" customHeight="1" x14ac:dyDescent="0.25">
      <c r="A90" s="76" t="s">
        <v>692</v>
      </c>
      <c r="B90" s="15" t="s">
        <v>693</v>
      </c>
      <c r="C90" s="59" t="s">
        <v>299</v>
      </c>
      <c r="D90" s="86">
        <v>1</v>
      </c>
      <c r="E90" s="155" t="s">
        <v>754</v>
      </c>
      <c r="F90" s="158" t="s">
        <v>754</v>
      </c>
    </row>
    <row r="91" spans="1:6" x14ac:dyDescent="0.25">
      <c r="A91" s="92">
        <v>9.6999999999999993</v>
      </c>
      <c r="B91" s="98" t="s">
        <v>372</v>
      </c>
      <c r="C91" s="59"/>
      <c r="D91" s="86"/>
      <c r="E91" s="155"/>
      <c r="F91" s="158"/>
    </row>
    <row r="92" spans="1:6" ht="45.15" customHeight="1" x14ac:dyDescent="0.25">
      <c r="A92" s="76" t="s">
        <v>481</v>
      </c>
      <c r="B92" s="18" t="s">
        <v>373</v>
      </c>
      <c r="C92" s="59" t="s">
        <v>299</v>
      </c>
      <c r="D92" s="86">
        <v>1</v>
      </c>
      <c r="E92" s="155">
        <v>69930</v>
      </c>
      <c r="F92" s="158">
        <f t="shared" si="8"/>
        <v>69930</v>
      </c>
    </row>
    <row r="93" spans="1:6" ht="39" customHeight="1" x14ac:dyDescent="0.25">
      <c r="A93" s="76" t="s">
        <v>482</v>
      </c>
      <c r="B93" s="18" t="s">
        <v>374</v>
      </c>
      <c r="C93" s="59" t="s">
        <v>299</v>
      </c>
      <c r="D93" s="86">
        <v>1</v>
      </c>
      <c r="E93" s="155">
        <v>115730</v>
      </c>
      <c r="F93" s="158">
        <f t="shared" si="8"/>
        <v>115730</v>
      </c>
    </row>
    <row r="94" spans="1:6" ht="24.75" customHeight="1" x14ac:dyDescent="0.25">
      <c r="A94" s="76" t="s">
        <v>483</v>
      </c>
      <c r="B94" s="18" t="s">
        <v>695</v>
      </c>
      <c r="C94" s="59" t="s">
        <v>299</v>
      </c>
      <c r="D94" s="86">
        <v>1</v>
      </c>
      <c r="E94" s="155" t="s">
        <v>754</v>
      </c>
      <c r="F94" s="158" t="s">
        <v>754</v>
      </c>
    </row>
    <row r="95" spans="1:6" ht="24.75" customHeight="1" x14ac:dyDescent="0.25">
      <c r="A95" s="76" t="s">
        <v>694</v>
      </c>
      <c r="B95" s="18" t="s">
        <v>696</v>
      </c>
      <c r="C95" s="59" t="s">
        <v>299</v>
      </c>
      <c r="D95" s="86">
        <v>1</v>
      </c>
      <c r="E95" s="155">
        <v>10390</v>
      </c>
      <c r="F95" s="158">
        <f t="shared" ref="F95" si="9">D95*E95</f>
        <v>10390</v>
      </c>
    </row>
    <row r="96" spans="1:6" x14ac:dyDescent="0.25">
      <c r="A96" s="92">
        <v>9.8000000000000007</v>
      </c>
      <c r="B96" s="98" t="s">
        <v>375</v>
      </c>
      <c r="C96" s="59"/>
      <c r="D96" s="86"/>
      <c r="E96" s="155"/>
      <c r="F96" s="158"/>
    </row>
    <row r="97" spans="1:6" ht="25.5" customHeight="1" x14ac:dyDescent="0.25">
      <c r="A97" s="76" t="s">
        <v>484</v>
      </c>
      <c r="B97" s="18" t="s">
        <v>376</v>
      </c>
      <c r="C97" s="59" t="s">
        <v>301</v>
      </c>
      <c r="D97" s="86">
        <v>1</v>
      </c>
      <c r="E97" s="155">
        <v>69930</v>
      </c>
      <c r="F97" s="158">
        <f t="shared" si="8"/>
        <v>69930</v>
      </c>
    </row>
    <row r="98" spans="1:6" ht="25.5" customHeight="1" x14ac:dyDescent="0.25">
      <c r="A98" s="76" t="s">
        <v>485</v>
      </c>
      <c r="B98" s="18" t="s">
        <v>377</v>
      </c>
      <c r="C98" s="59" t="s">
        <v>301</v>
      </c>
      <c r="D98" s="86">
        <v>2</v>
      </c>
      <c r="E98" s="155">
        <v>8740</v>
      </c>
      <c r="F98" s="158">
        <f t="shared" si="8"/>
        <v>17480</v>
      </c>
    </row>
    <row r="99" spans="1:6" ht="25.5" customHeight="1" x14ac:dyDescent="0.25">
      <c r="A99" s="76" t="s">
        <v>486</v>
      </c>
      <c r="B99" s="18" t="s">
        <v>314</v>
      </c>
      <c r="C99" s="59" t="s">
        <v>299</v>
      </c>
      <c r="D99" s="86">
        <v>1</v>
      </c>
      <c r="E99" s="155">
        <v>3500</v>
      </c>
      <c r="F99" s="158">
        <f t="shared" si="8"/>
        <v>3500</v>
      </c>
    </row>
    <row r="100" spans="1:6" ht="25.5" customHeight="1" x14ac:dyDescent="0.25">
      <c r="A100" s="76" t="s">
        <v>487</v>
      </c>
      <c r="B100" s="18" t="s">
        <v>378</v>
      </c>
      <c r="C100" s="59" t="s">
        <v>301</v>
      </c>
      <c r="D100" s="86">
        <v>1</v>
      </c>
      <c r="E100" s="155">
        <v>6990</v>
      </c>
      <c r="F100" s="158">
        <f t="shared" si="8"/>
        <v>6990</v>
      </c>
    </row>
    <row r="101" spans="1:6" ht="20.25" customHeight="1" x14ac:dyDescent="0.25">
      <c r="A101" s="142" t="s">
        <v>488</v>
      </c>
      <c r="B101" s="142"/>
      <c r="C101" s="110"/>
      <c r="D101" s="110"/>
      <c r="E101" s="178"/>
      <c r="F101" s="179">
        <f>SUM(F88:F100)</f>
        <v>462310</v>
      </c>
    </row>
    <row r="102" spans="1:6" ht="24" customHeight="1" x14ac:dyDescent="0.25">
      <c r="A102" s="92">
        <v>9.9</v>
      </c>
      <c r="B102" s="98" t="s">
        <v>379</v>
      </c>
      <c r="C102" s="59"/>
      <c r="D102" s="86"/>
      <c r="E102" s="157"/>
      <c r="F102" s="158"/>
    </row>
    <row r="103" spans="1:6" ht="21.75" customHeight="1" x14ac:dyDescent="0.25">
      <c r="A103" s="76" t="s">
        <v>465</v>
      </c>
      <c r="B103" s="18" t="s">
        <v>380</v>
      </c>
      <c r="C103" s="59" t="s">
        <v>301</v>
      </c>
      <c r="D103" s="86">
        <v>1</v>
      </c>
      <c r="E103" s="155">
        <v>92320</v>
      </c>
      <c r="F103" s="158">
        <f t="shared" ref="F103" si="10">D103*E103</f>
        <v>92320</v>
      </c>
    </row>
    <row r="104" spans="1:6" ht="21.75" customHeight="1" x14ac:dyDescent="0.25">
      <c r="A104" s="76" t="s">
        <v>466</v>
      </c>
      <c r="B104" s="18" t="s">
        <v>381</v>
      </c>
      <c r="C104" s="59" t="s">
        <v>299</v>
      </c>
      <c r="D104" s="86">
        <v>1</v>
      </c>
      <c r="E104" s="155" t="s">
        <v>754</v>
      </c>
      <c r="F104" s="158" t="s">
        <v>754</v>
      </c>
    </row>
    <row r="105" spans="1:6" ht="21.75" customHeight="1" x14ac:dyDescent="0.25">
      <c r="A105" s="76" t="s">
        <v>467</v>
      </c>
      <c r="B105" s="18" t="s">
        <v>652</v>
      </c>
      <c r="C105" s="59" t="s">
        <v>299</v>
      </c>
      <c r="D105" s="86">
        <v>1</v>
      </c>
      <c r="E105" s="155" t="s">
        <v>754</v>
      </c>
      <c r="F105" s="158" t="s">
        <v>754</v>
      </c>
    </row>
    <row r="106" spans="1:6" ht="21.75" customHeight="1" x14ac:dyDescent="0.25">
      <c r="A106" s="76" t="s">
        <v>468</v>
      </c>
      <c r="B106" s="18" t="s">
        <v>382</v>
      </c>
      <c r="C106" s="59" t="s">
        <v>299</v>
      </c>
      <c r="D106" s="86">
        <v>1</v>
      </c>
      <c r="E106" s="155" t="s">
        <v>754</v>
      </c>
      <c r="F106" s="158" t="s">
        <v>754</v>
      </c>
    </row>
    <row r="107" spans="1:6" ht="21.75" customHeight="1" x14ac:dyDescent="0.25">
      <c r="A107" s="76" t="s">
        <v>469</v>
      </c>
      <c r="B107" s="18" t="s">
        <v>383</v>
      </c>
      <c r="C107" s="59" t="s">
        <v>299</v>
      </c>
      <c r="D107" s="86">
        <v>1</v>
      </c>
      <c r="E107" s="155" t="s">
        <v>754</v>
      </c>
      <c r="F107" s="158" t="s">
        <v>754</v>
      </c>
    </row>
    <row r="108" spans="1:6" ht="21.75" customHeight="1" x14ac:dyDescent="0.25">
      <c r="A108" s="76" t="s">
        <v>470</v>
      </c>
      <c r="B108" s="18" t="s">
        <v>384</v>
      </c>
      <c r="C108" s="59" t="s">
        <v>299</v>
      </c>
      <c r="D108" s="86">
        <v>1</v>
      </c>
      <c r="E108" s="155" t="s">
        <v>754</v>
      </c>
      <c r="F108" s="158" t="s">
        <v>754</v>
      </c>
    </row>
    <row r="109" spans="1:6" ht="21.75" customHeight="1" x14ac:dyDescent="0.25">
      <c r="A109" s="76" t="s">
        <v>471</v>
      </c>
      <c r="B109" s="18" t="s">
        <v>385</v>
      </c>
      <c r="C109" s="59" t="s">
        <v>299</v>
      </c>
      <c r="D109" s="86">
        <v>1</v>
      </c>
      <c r="E109" s="155" t="s">
        <v>754</v>
      </c>
      <c r="F109" s="158" t="s">
        <v>754</v>
      </c>
    </row>
    <row r="110" spans="1:6" ht="21.75" customHeight="1" x14ac:dyDescent="0.25">
      <c r="A110" s="76" t="s">
        <v>472</v>
      </c>
      <c r="B110" s="18" t="s">
        <v>653</v>
      </c>
      <c r="C110" s="59" t="s">
        <v>654</v>
      </c>
      <c r="D110" s="86">
        <v>1</v>
      </c>
      <c r="E110" s="155" t="s">
        <v>754</v>
      </c>
      <c r="F110" s="158" t="s">
        <v>754</v>
      </c>
    </row>
    <row r="111" spans="1:6" ht="21.75" customHeight="1" x14ac:dyDescent="0.25">
      <c r="A111" s="76" t="s">
        <v>473</v>
      </c>
      <c r="B111" s="18" t="s">
        <v>386</v>
      </c>
      <c r="C111" s="59" t="s">
        <v>299</v>
      </c>
      <c r="D111" s="86">
        <v>1</v>
      </c>
      <c r="E111" s="155" t="s">
        <v>754</v>
      </c>
      <c r="F111" s="158" t="s">
        <v>754</v>
      </c>
    </row>
    <row r="112" spans="1:6" ht="21.75" customHeight="1" x14ac:dyDescent="0.25">
      <c r="A112" s="76" t="s">
        <v>474</v>
      </c>
      <c r="B112" s="18" t="s">
        <v>387</v>
      </c>
      <c r="C112" s="59" t="s">
        <v>299</v>
      </c>
      <c r="D112" s="86">
        <v>1</v>
      </c>
      <c r="E112" s="155" t="s">
        <v>754</v>
      </c>
      <c r="F112" s="158" t="s">
        <v>754</v>
      </c>
    </row>
    <row r="113" spans="1:6" ht="21.75" customHeight="1" x14ac:dyDescent="0.25">
      <c r="A113" s="76" t="s">
        <v>475</v>
      </c>
      <c r="B113" s="18" t="s">
        <v>388</v>
      </c>
      <c r="C113" s="59" t="s">
        <v>299</v>
      </c>
      <c r="D113" s="86">
        <v>1</v>
      </c>
      <c r="E113" s="155" t="s">
        <v>754</v>
      </c>
      <c r="F113" s="158" t="s">
        <v>754</v>
      </c>
    </row>
    <row r="114" spans="1:6" ht="21.75" customHeight="1" x14ac:dyDescent="0.25">
      <c r="A114" s="76" t="s">
        <v>476</v>
      </c>
      <c r="B114" s="18" t="s">
        <v>389</v>
      </c>
      <c r="C114" s="59" t="s">
        <v>301</v>
      </c>
      <c r="D114" s="86">
        <v>1</v>
      </c>
      <c r="E114" s="155" t="s">
        <v>754</v>
      </c>
      <c r="F114" s="158" t="s">
        <v>754</v>
      </c>
    </row>
    <row r="115" spans="1:6" ht="21.75" customHeight="1" x14ac:dyDescent="0.25">
      <c r="A115" s="76" t="s">
        <v>477</v>
      </c>
      <c r="B115" s="18" t="s">
        <v>655</v>
      </c>
      <c r="C115" s="59" t="s">
        <v>654</v>
      </c>
      <c r="D115" s="86">
        <v>1</v>
      </c>
      <c r="E115" s="155" t="s">
        <v>754</v>
      </c>
      <c r="F115" s="158" t="s">
        <v>754</v>
      </c>
    </row>
    <row r="116" spans="1:6" ht="21.75" customHeight="1" x14ac:dyDescent="0.25">
      <c r="A116" s="76" t="s">
        <v>489</v>
      </c>
      <c r="B116" s="18" t="s">
        <v>656</v>
      </c>
      <c r="C116" s="59" t="s">
        <v>654</v>
      </c>
      <c r="D116" s="86">
        <v>10</v>
      </c>
      <c r="E116" s="155" t="s">
        <v>754</v>
      </c>
      <c r="F116" s="158" t="s">
        <v>754</v>
      </c>
    </row>
    <row r="117" spans="1:6" ht="21.75" customHeight="1" x14ac:dyDescent="0.25">
      <c r="A117" s="76" t="s">
        <v>490</v>
      </c>
      <c r="B117" s="18" t="s">
        <v>657</v>
      </c>
      <c r="C117" s="59" t="s">
        <v>654</v>
      </c>
      <c r="D117" s="86">
        <v>1</v>
      </c>
      <c r="E117" s="155" t="s">
        <v>754</v>
      </c>
      <c r="F117" s="158" t="s">
        <v>754</v>
      </c>
    </row>
    <row r="118" spans="1:6" ht="21.75" customHeight="1" x14ac:dyDescent="0.25">
      <c r="A118" s="76" t="s">
        <v>672</v>
      </c>
      <c r="B118" s="18" t="s">
        <v>658</v>
      </c>
      <c r="C118" s="59" t="s">
        <v>654</v>
      </c>
      <c r="D118" s="86">
        <v>1</v>
      </c>
      <c r="E118" s="155" t="s">
        <v>754</v>
      </c>
      <c r="F118" s="158" t="s">
        <v>754</v>
      </c>
    </row>
    <row r="119" spans="1:6" ht="21.75" customHeight="1" x14ac:dyDescent="0.25">
      <c r="A119" s="76"/>
      <c r="B119" s="98" t="s">
        <v>659</v>
      </c>
      <c r="C119" s="59"/>
      <c r="D119" s="86"/>
      <c r="E119" s="157"/>
      <c r="F119" s="158"/>
    </row>
    <row r="120" spans="1:6" ht="21.75" customHeight="1" x14ac:dyDescent="0.25">
      <c r="A120" s="76" t="s">
        <v>673</v>
      </c>
      <c r="B120" s="18" t="s">
        <v>660</v>
      </c>
      <c r="C120" s="59" t="s">
        <v>654</v>
      </c>
      <c r="D120" s="86">
        <v>6</v>
      </c>
      <c r="E120" s="155" t="s">
        <v>754</v>
      </c>
      <c r="F120" s="158" t="s">
        <v>754</v>
      </c>
    </row>
    <row r="121" spans="1:6" ht="21.75" customHeight="1" x14ac:dyDescent="0.25">
      <c r="A121" s="76" t="s">
        <v>674</v>
      </c>
      <c r="B121" s="18" t="s">
        <v>661</v>
      </c>
      <c r="C121" s="59" t="s">
        <v>654</v>
      </c>
      <c r="D121" s="86">
        <v>2</v>
      </c>
      <c r="E121" s="155" t="s">
        <v>754</v>
      </c>
      <c r="F121" s="158" t="s">
        <v>754</v>
      </c>
    </row>
    <row r="122" spans="1:6" ht="21.75" customHeight="1" x14ac:dyDescent="0.25">
      <c r="A122" s="76" t="s">
        <v>675</v>
      </c>
      <c r="B122" s="18" t="s">
        <v>662</v>
      </c>
      <c r="C122" s="59" t="s">
        <v>654</v>
      </c>
      <c r="D122" s="86">
        <v>2</v>
      </c>
      <c r="E122" s="155" t="s">
        <v>754</v>
      </c>
      <c r="F122" s="158" t="s">
        <v>754</v>
      </c>
    </row>
    <row r="123" spans="1:6" ht="21.75" customHeight="1" x14ac:dyDescent="0.25">
      <c r="A123" s="76" t="s">
        <v>676</v>
      </c>
      <c r="B123" s="18" t="s">
        <v>663</v>
      </c>
      <c r="C123" s="59" t="s">
        <v>654</v>
      </c>
      <c r="D123" s="86">
        <v>2</v>
      </c>
      <c r="E123" s="155" t="s">
        <v>754</v>
      </c>
      <c r="F123" s="158" t="s">
        <v>754</v>
      </c>
    </row>
    <row r="124" spans="1:6" ht="21.75" customHeight="1" x14ac:dyDescent="0.25">
      <c r="A124" s="76"/>
      <c r="B124" s="98" t="s">
        <v>664</v>
      </c>
      <c r="C124" s="59"/>
      <c r="D124" s="86"/>
      <c r="E124" s="157"/>
      <c r="F124" s="158"/>
    </row>
    <row r="125" spans="1:6" ht="21.75" customHeight="1" x14ac:dyDescent="0.25">
      <c r="A125" s="76" t="s">
        <v>677</v>
      </c>
      <c r="B125" s="18" t="s">
        <v>390</v>
      </c>
      <c r="C125" s="59" t="s">
        <v>301</v>
      </c>
      <c r="D125" s="86">
        <v>1</v>
      </c>
      <c r="E125" s="155" t="s">
        <v>754</v>
      </c>
      <c r="F125" s="158" t="s">
        <v>754</v>
      </c>
    </row>
    <row r="126" spans="1:6" ht="21.75" customHeight="1" x14ac:dyDescent="0.25">
      <c r="A126" s="76" t="s">
        <v>678</v>
      </c>
      <c r="B126" s="18" t="s">
        <v>391</v>
      </c>
      <c r="C126" s="59" t="s">
        <v>301</v>
      </c>
      <c r="D126" s="86">
        <v>2</v>
      </c>
      <c r="E126" s="155" t="s">
        <v>754</v>
      </c>
      <c r="F126" s="158" t="s">
        <v>754</v>
      </c>
    </row>
    <row r="127" spans="1:6" ht="21.75" customHeight="1" x14ac:dyDescent="0.25">
      <c r="A127" s="76" t="s">
        <v>679</v>
      </c>
      <c r="B127" s="18" t="s">
        <v>392</v>
      </c>
      <c r="C127" s="59" t="s">
        <v>301</v>
      </c>
      <c r="D127" s="86">
        <v>2</v>
      </c>
      <c r="E127" s="155" t="s">
        <v>754</v>
      </c>
      <c r="F127" s="158" t="s">
        <v>754</v>
      </c>
    </row>
    <row r="128" spans="1:6" ht="21.75" customHeight="1" x14ac:dyDescent="0.25">
      <c r="A128" s="76" t="s">
        <v>680</v>
      </c>
      <c r="B128" s="18" t="s">
        <v>393</v>
      </c>
      <c r="C128" s="59" t="s">
        <v>301</v>
      </c>
      <c r="D128" s="86">
        <v>2</v>
      </c>
      <c r="E128" s="155" t="s">
        <v>754</v>
      </c>
      <c r="F128" s="158" t="s">
        <v>754</v>
      </c>
    </row>
    <row r="129" spans="1:6" ht="21.75" customHeight="1" x14ac:dyDescent="0.25">
      <c r="A129" s="76" t="s">
        <v>681</v>
      </c>
      <c r="B129" s="18" t="s">
        <v>665</v>
      </c>
      <c r="C129" s="59" t="s">
        <v>301</v>
      </c>
      <c r="D129" s="86">
        <v>2</v>
      </c>
      <c r="E129" s="155" t="s">
        <v>754</v>
      </c>
      <c r="F129" s="158" t="s">
        <v>754</v>
      </c>
    </row>
    <row r="130" spans="1:6" ht="21.75" customHeight="1" x14ac:dyDescent="0.25">
      <c r="A130" s="76" t="s">
        <v>682</v>
      </c>
      <c r="B130" s="18" t="s">
        <v>666</v>
      </c>
      <c r="C130" s="59" t="s">
        <v>301</v>
      </c>
      <c r="D130" s="86">
        <v>2</v>
      </c>
      <c r="E130" s="155" t="s">
        <v>754</v>
      </c>
      <c r="F130" s="158" t="s">
        <v>754</v>
      </c>
    </row>
    <row r="131" spans="1:6" ht="21.75" customHeight="1" x14ac:dyDescent="0.25">
      <c r="A131" s="76" t="s">
        <v>683</v>
      </c>
      <c r="B131" s="18" t="s">
        <v>394</v>
      </c>
      <c r="C131" s="59" t="s">
        <v>301</v>
      </c>
      <c r="D131" s="86">
        <v>2</v>
      </c>
      <c r="E131" s="155" t="s">
        <v>754</v>
      </c>
      <c r="F131" s="158" t="s">
        <v>754</v>
      </c>
    </row>
    <row r="132" spans="1:6" ht="21.75" customHeight="1" x14ac:dyDescent="0.25">
      <c r="A132" s="76" t="s">
        <v>684</v>
      </c>
      <c r="B132" s="18" t="s">
        <v>667</v>
      </c>
      <c r="C132" s="59" t="s">
        <v>301</v>
      </c>
      <c r="D132" s="86">
        <v>2</v>
      </c>
      <c r="E132" s="155" t="s">
        <v>754</v>
      </c>
      <c r="F132" s="158" t="s">
        <v>754</v>
      </c>
    </row>
    <row r="133" spans="1:6" ht="21.75" customHeight="1" x14ac:dyDescent="0.25">
      <c r="A133" s="76" t="s">
        <v>685</v>
      </c>
      <c r="B133" s="18" t="s">
        <v>668</v>
      </c>
      <c r="C133" s="59" t="s">
        <v>301</v>
      </c>
      <c r="D133" s="86">
        <v>6</v>
      </c>
      <c r="E133" s="155" t="s">
        <v>754</v>
      </c>
      <c r="F133" s="158" t="s">
        <v>754</v>
      </c>
    </row>
    <row r="134" spans="1:6" ht="21.75" customHeight="1" x14ac:dyDescent="0.25">
      <c r="A134" s="76" t="s">
        <v>686</v>
      </c>
      <c r="B134" s="18" t="s">
        <v>669</v>
      </c>
      <c r="C134" s="59" t="s">
        <v>301</v>
      </c>
      <c r="D134" s="86">
        <v>6</v>
      </c>
      <c r="E134" s="155" t="s">
        <v>754</v>
      </c>
      <c r="F134" s="158" t="s">
        <v>754</v>
      </c>
    </row>
    <row r="135" spans="1:6" ht="21.75" customHeight="1" x14ac:dyDescent="0.25">
      <c r="A135" s="76" t="s">
        <v>687</v>
      </c>
      <c r="B135" s="18" t="s">
        <v>670</v>
      </c>
      <c r="C135" s="59" t="s">
        <v>301</v>
      </c>
      <c r="D135" s="86">
        <v>2</v>
      </c>
      <c r="E135" s="155" t="s">
        <v>754</v>
      </c>
      <c r="F135" s="158" t="s">
        <v>754</v>
      </c>
    </row>
    <row r="136" spans="1:6" ht="21.75" customHeight="1" x14ac:dyDescent="0.25">
      <c r="A136" s="76" t="s">
        <v>688</v>
      </c>
      <c r="B136" s="18" t="s">
        <v>663</v>
      </c>
      <c r="C136" s="59" t="s">
        <v>301</v>
      </c>
      <c r="D136" s="86">
        <v>2</v>
      </c>
      <c r="E136" s="155" t="s">
        <v>754</v>
      </c>
      <c r="F136" s="158" t="s">
        <v>754</v>
      </c>
    </row>
    <row r="137" spans="1:6" ht="21.75" customHeight="1" x14ac:dyDescent="0.25">
      <c r="A137" s="76" t="s">
        <v>689</v>
      </c>
      <c r="B137" s="18" t="s">
        <v>671</v>
      </c>
      <c r="C137" s="59" t="s">
        <v>301</v>
      </c>
      <c r="D137" s="86">
        <v>2</v>
      </c>
      <c r="E137" s="155" t="s">
        <v>754</v>
      </c>
      <c r="F137" s="158" t="s">
        <v>754</v>
      </c>
    </row>
    <row r="138" spans="1:6" ht="20.25" customHeight="1" x14ac:dyDescent="0.25">
      <c r="A138" s="142" t="s">
        <v>491</v>
      </c>
      <c r="B138" s="142"/>
      <c r="C138" s="110"/>
      <c r="D138" s="110"/>
      <c r="E138" s="178"/>
      <c r="F138" s="179">
        <f>SUM(F103:F137)</f>
        <v>92320</v>
      </c>
    </row>
    <row r="139" spans="1:6" ht="36" customHeight="1" x14ac:dyDescent="0.25">
      <c r="A139" s="76">
        <v>9.1</v>
      </c>
      <c r="B139" s="98" t="s">
        <v>94</v>
      </c>
      <c r="C139" s="59"/>
      <c r="D139" s="86"/>
      <c r="E139" s="157"/>
      <c r="F139" s="158"/>
    </row>
    <row r="140" spans="1:6" x14ac:dyDescent="0.25">
      <c r="A140" s="76" t="s">
        <v>492</v>
      </c>
      <c r="B140" s="18" t="s">
        <v>395</v>
      </c>
      <c r="C140" s="59" t="s">
        <v>396</v>
      </c>
      <c r="D140" s="86">
        <v>1</v>
      </c>
      <c r="E140" s="155">
        <v>144240</v>
      </c>
      <c r="F140" s="158">
        <f t="shared" ref="F140" si="11">D140*E140</f>
        <v>144240</v>
      </c>
    </row>
    <row r="141" spans="1:6" x14ac:dyDescent="0.25">
      <c r="A141" s="76" t="s">
        <v>493</v>
      </c>
      <c r="B141" s="15" t="s">
        <v>397</v>
      </c>
      <c r="C141" s="59" t="s">
        <v>396</v>
      </c>
      <c r="D141" s="86">
        <v>1</v>
      </c>
      <c r="E141" s="155" t="s">
        <v>754</v>
      </c>
      <c r="F141" s="158" t="s">
        <v>754</v>
      </c>
    </row>
    <row r="142" spans="1:6" x14ac:dyDescent="0.25">
      <c r="A142" s="76" t="s">
        <v>494</v>
      </c>
      <c r="B142" s="18" t="s">
        <v>398</v>
      </c>
      <c r="C142" s="59" t="s">
        <v>396</v>
      </c>
      <c r="D142" s="86">
        <v>1</v>
      </c>
      <c r="E142" s="155" t="s">
        <v>754</v>
      </c>
      <c r="F142" s="158" t="s">
        <v>754</v>
      </c>
    </row>
    <row r="143" spans="1:6" x14ac:dyDescent="0.25">
      <c r="A143" s="76" t="s">
        <v>495</v>
      </c>
      <c r="B143" s="15" t="s">
        <v>399</v>
      </c>
      <c r="C143" s="59" t="s">
        <v>396</v>
      </c>
      <c r="D143" s="86">
        <v>1</v>
      </c>
      <c r="E143" s="155" t="s">
        <v>754</v>
      </c>
      <c r="F143" s="158" t="s">
        <v>754</v>
      </c>
    </row>
    <row r="144" spans="1:6" x14ac:dyDescent="0.25">
      <c r="A144" s="76" t="s">
        <v>496</v>
      </c>
      <c r="B144" s="18" t="s">
        <v>400</v>
      </c>
      <c r="C144" s="59" t="s">
        <v>396</v>
      </c>
      <c r="D144" s="86">
        <v>1</v>
      </c>
      <c r="E144" s="155" t="s">
        <v>754</v>
      </c>
      <c r="F144" s="158" t="s">
        <v>754</v>
      </c>
    </row>
    <row r="145" spans="1:6" x14ac:dyDescent="0.25">
      <c r="A145" s="76" t="s">
        <v>497</v>
      </c>
      <c r="B145" s="15" t="s">
        <v>401</v>
      </c>
      <c r="C145" s="59" t="s">
        <v>301</v>
      </c>
      <c r="D145" s="86">
        <v>1</v>
      </c>
      <c r="E145" s="155" t="s">
        <v>754</v>
      </c>
      <c r="F145" s="158" t="s">
        <v>754</v>
      </c>
    </row>
    <row r="146" spans="1:6" x14ac:dyDescent="0.25">
      <c r="A146" s="76" t="s">
        <v>498</v>
      </c>
      <c r="B146" s="18" t="s">
        <v>402</v>
      </c>
      <c r="C146" s="59" t="s">
        <v>396</v>
      </c>
      <c r="D146" s="86">
        <v>1</v>
      </c>
      <c r="E146" s="155" t="s">
        <v>754</v>
      </c>
      <c r="F146" s="158" t="s">
        <v>754</v>
      </c>
    </row>
    <row r="147" spans="1:6" x14ac:dyDescent="0.25">
      <c r="A147" s="76" t="s">
        <v>499</v>
      </c>
      <c r="B147" s="15" t="s">
        <v>403</v>
      </c>
      <c r="C147" s="59" t="s">
        <v>301</v>
      </c>
      <c r="D147" s="86">
        <v>1</v>
      </c>
      <c r="E147" s="155" t="s">
        <v>754</v>
      </c>
      <c r="F147" s="158" t="s">
        <v>754</v>
      </c>
    </row>
    <row r="148" spans="1:6" x14ac:dyDescent="0.25">
      <c r="A148" s="76" t="s">
        <v>500</v>
      </c>
      <c r="B148" s="18" t="s">
        <v>404</v>
      </c>
      <c r="C148" s="59" t="s">
        <v>396</v>
      </c>
      <c r="D148" s="86">
        <v>1</v>
      </c>
      <c r="E148" s="155" t="s">
        <v>754</v>
      </c>
      <c r="F148" s="158" t="s">
        <v>754</v>
      </c>
    </row>
    <row r="149" spans="1:6" x14ac:dyDescent="0.25">
      <c r="A149" s="76" t="s">
        <v>501</v>
      </c>
      <c r="B149" s="15" t="s">
        <v>405</v>
      </c>
      <c r="C149" s="59" t="s">
        <v>396</v>
      </c>
      <c r="D149" s="86">
        <v>1</v>
      </c>
      <c r="E149" s="155" t="s">
        <v>754</v>
      </c>
      <c r="F149" s="158" t="s">
        <v>754</v>
      </c>
    </row>
    <row r="150" spans="1:6" x14ac:dyDescent="0.25">
      <c r="A150" s="76" t="s">
        <v>502</v>
      </c>
      <c r="B150" s="18" t="s">
        <v>406</v>
      </c>
      <c r="C150" s="59" t="s">
        <v>396</v>
      </c>
      <c r="D150" s="86">
        <v>1</v>
      </c>
      <c r="E150" s="155" t="s">
        <v>754</v>
      </c>
      <c r="F150" s="158" t="s">
        <v>754</v>
      </c>
    </row>
    <row r="151" spans="1:6" x14ac:dyDescent="0.25">
      <c r="A151" s="76" t="s">
        <v>503</v>
      </c>
      <c r="B151" s="15" t="s">
        <v>407</v>
      </c>
      <c r="C151" s="59" t="s">
        <v>396</v>
      </c>
      <c r="D151" s="86">
        <v>1</v>
      </c>
      <c r="E151" s="155" t="s">
        <v>754</v>
      </c>
      <c r="F151" s="158" t="s">
        <v>754</v>
      </c>
    </row>
    <row r="152" spans="1:6" x14ac:dyDescent="0.25">
      <c r="A152" s="76" t="s">
        <v>504</v>
      </c>
      <c r="B152" s="18" t="s">
        <v>408</v>
      </c>
      <c r="C152" s="59" t="s">
        <v>396</v>
      </c>
      <c r="D152" s="86">
        <v>1</v>
      </c>
      <c r="E152" s="155" t="s">
        <v>754</v>
      </c>
      <c r="F152" s="158" t="s">
        <v>754</v>
      </c>
    </row>
    <row r="153" spans="1:6" x14ac:dyDescent="0.25">
      <c r="A153" s="76" t="s">
        <v>650</v>
      </c>
      <c r="B153" s="18" t="s">
        <v>651</v>
      </c>
      <c r="C153" s="59" t="s">
        <v>396</v>
      </c>
      <c r="D153" s="86">
        <v>1</v>
      </c>
      <c r="E153" s="155" t="s">
        <v>754</v>
      </c>
      <c r="F153" s="158" t="s">
        <v>754</v>
      </c>
    </row>
    <row r="154" spans="1:6" ht="36" customHeight="1" x14ac:dyDescent="0.25">
      <c r="A154" s="142" t="s">
        <v>505</v>
      </c>
      <c r="B154" s="143"/>
      <c r="C154" s="110"/>
      <c r="D154" s="110"/>
      <c r="E154" s="179"/>
      <c r="F154" s="179">
        <f>SUM(F140:F153)</f>
        <v>144240</v>
      </c>
    </row>
    <row r="155" spans="1:6" ht="25.5" customHeight="1" x14ac:dyDescent="0.25">
      <c r="A155" s="112"/>
      <c r="B155" s="112"/>
      <c r="C155" s="112"/>
      <c r="D155" s="113"/>
      <c r="E155" s="180"/>
      <c r="F155" s="180"/>
    </row>
    <row r="156" spans="1:6" ht="45.15" customHeight="1" x14ac:dyDescent="0.25">
      <c r="A156" s="114" t="s">
        <v>519</v>
      </c>
      <c r="B156" s="115" t="str">
        <f>B9</f>
        <v>Spare Parts &amp; Tools (Optional)</v>
      </c>
      <c r="C156" s="52"/>
      <c r="D156" s="107"/>
      <c r="E156" s="159"/>
      <c r="F156" s="159">
        <f>F28+F38+F65+F71+F86+F101+F138+F154</f>
        <v>1602440</v>
      </c>
    </row>
    <row r="157" spans="1:6" ht="27.5" customHeight="1" x14ac:dyDescent="0.25">
      <c r="A157" s="117"/>
      <c r="B157" s="118"/>
      <c r="C157" s="52"/>
      <c r="D157" s="107"/>
      <c r="E157" s="159"/>
      <c r="F157" s="159"/>
    </row>
    <row r="158" spans="1:6" ht="51.9" customHeight="1" x14ac:dyDescent="0.25">
      <c r="A158" s="243" t="s">
        <v>520</v>
      </c>
      <c r="B158" s="243"/>
      <c r="C158" s="119"/>
      <c r="D158" s="120"/>
      <c r="E158" s="181"/>
      <c r="F158" s="182">
        <f>F156</f>
        <v>1602440</v>
      </c>
    </row>
  </sheetData>
  <mergeCells count="9">
    <mergeCell ref="A158:B158"/>
    <mergeCell ref="E4:F4"/>
    <mergeCell ref="A5:A7"/>
    <mergeCell ref="B5:B7"/>
    <mergeCell ref="C5:C7"/>
    <mergeCell ref="D5:D7"/>
    <mergeCell ref="E5:F5"/>
    <mergeCell ref="E6:E7"/>
    <mergeCell ref="F6:F7"/>
  </mergeCells>
  <printOptions horizontalCentered="1"/>
  <pageMargins left="0.70866141732283505" right="0.70866141732283505" top="1.5748031496063" bottom="1.1023622047244099" header="0.59055118110236204" footer="0.59055118110236204"/>
  <pageSetup paperSize="9" scale="68" fitToHeight="0" orientation="landscape" r:id="rId1"/>
  <headerFooter>
    <oddHeader>&amp;L&amp;18CONSTRUCTION WORKS FOR REPLACEMENT OF SHBPRY, SMHPRY AND DRPRY SUBSTATION IN EASTERN REGION&amp;R&amp;G</oddHeader>
    <oddFooter>&amp;C&amp;18Page &amp;P of &amp;N&amp;R&amp;18May 2023</oddFooter>
  </headerFooter>
  <rowBreaks count="8" manualBreakCount="8">
    <brk id="19" max="8" man="1"/>
    <brk id="32" max="8" man="1"/>
    <brk id="52" max="5" man="1"/>
    <brk id="71" max="5" man="1"/>
    <brk id="90" max="5" man="1"/>
    <brk id="106" max="5" man="1"/>
    <brk id="125" max="5" man="1"/>
    <brk id="145" max="5"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13</vt:i4>
      </vt:variant>
    </vt:vector>
  </HeadingPairs>
  <TitlesOfParts>
    <vt:vector size="18" baseType="lpstr">
      <vt:lpstr>Final Summary</vt:lpstr>
      <vt:lpstr>Items 1,2,3-Construction Works</vt:lpstr>
      <vt:lpstr>Items 4-Load Diversion Works</vt:lpstr>
      <vt:lpstr>Items 5-8 Dismantl &amp; Modif work</vt:lpstr>
      <vt:lpstr>Items 9- Spare Parts (Optional)</vt:lpstr>
      <vt:lpstr>'Items 1,2,3-Construction Works'!_Toc28013863</vt:lpstr>
      <vt:lpstr>'Items 1,2,3-Construction Works'!_Toc295926806</vt:lpstr>
      <vt:lpstr>'Items 4-Load Diversion Works'!_Toc440980563</vt:lpstr>
      <vt:lpstr>'Items 9- Spare Parts (Optional)'!_Toc440980563</vt:lpstr>
      <vt:lpstr>'Final Summary'!Print_Area</vt:lpstr>
      <vt:lpstr>'Items 1,2,3-Construction Works'!Print_Area</vt:lpstr>
      <vt:lpstr>'Items 4-Load Diversion Works'!Print_Area</vt:lpstr>
      <vt:lpstr>'Items 5-8 Dismantl &amp; Modif work'!Print_Area</vt:lpstr>
      <vt:lpstr>'Items 9- Spare Parts (Optional)'!Print_Area</vt:lpstr>
      <vt:lpstr>'Items 1,2,3-Construction Works'!Print_Titles</vt:lpstr>
      <vt:lpstr>'Items 4-Load Diversion Works'!Print_Titles</vt:lpstr>
      <vt:lpstr>'Items 5-8 Dismantl &amp; Modif work'!Print_Titles</vt:lpstr>
      <vt:lpstr>'Items 9- Spare Parts (Optional)'!Print_Titles</vt:lpstr>
    </vt:vector>
  </TitlesOfParts>
  <Company>GCG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swaroop.kunik@gopa-intec.de</dc:creator>
  <cp:lastModifiedBy>syed ali shahul hameed</cp:lastModifiedBy>
  <cp:lastPrinted>2023-08-02T16:49:42Z</cp:lastPrinted>
  <dcterms:created xsi:type="dcterms:W3CDTF">2017-04-09T08:40:48Z</dcterms:created>
  <dcterms:modified xsi:type="dcterms:W3CDTF">2023-08-02T17:07:48Z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