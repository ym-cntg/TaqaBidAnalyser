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192.168.3.10\04SandMQuotes\01 Tender\02.Tender submission in Process\23-57. D-111808_3 Lot\9.Ray Offer\21. Commercial\"/>
    </mc:Choice>
  </mc:AlternateContent>
  <xr:revisionPtr revIDLastSave="0" documentId="13_ncr:1_{ED76919E-5BB7-4D3E-BFC2-BEA0F483269F}" xr6:coauthVersionLast="47" xr6:coauthVersionMax="47" xr10:uidLastSave="{00000000-0000-0000-0000-000000000000}"/>
  <bookViews>
    <workbookView xWindow="-120" yWindow="-120" windowWidth="20730" windowHeight="11160" xr2:uid="{00000000-000D-0000-FFFF-FFFF00000000}"/>
  </bookViews>
  <sheets>
    <sheet name="Final Summary" sheetId="1" r:id="rId1"/>
    <sheet name="Items 1,2,3-Construction Works" sheetId="2" r:id="rId2"/>
    <sheet name="Items 4-Load Diversion Works" sheetId="3" r:id="rId3"/>
    <sheet name="Items 5-8 Dismantl &amp; Modif work" sheetId="4" r:id="rId4"/>
    <sheet name="Items 9- Spare Parts (Optional)" sheetId="5" r:id="rId5"/>
  </sheets>
  <externalReferences>
    <externalReference r:id="rId6"/>
  </externalReferences>
  <definedNames>
    <definedName name="_xlnm.Print_Area" localSheetId="0">'Final Summary'!$A$1:$E$18</definedName>
    <definedName name="_xlnm.Print_Titles" localSheetId="1">'Items 1,2,3-Construction Works'!$1:$7</definedName>
    <definedName name="_xlnm.Print_Titles" localSheetId="2">'Items 4-Load Diversion Works'!$1:$7</definedName>
    <definedName name="_xlnm.Print_Titles" localSheetId="3">'Items 5-8 Dismantl &amp; Modif work'!$1:$7</definedName>
    <definedName name="_xlnm.Print_Titles" localSheetId="4">'Items 9- Spare Parts (Optional)'!$1:$7</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2" l="1"/>
  <c r="B156" i="5" l="1"/>
  <c r="F153" i="5"/>
  <c r="F152" i="5"/>
  <c r="F151" i="5"/>
  <c r="F150" i="5"/>
  <c r="F149" i="5"/>
  <c r="F148" i="5"/>
  <c r="F147" i="5"/>
  <c r="F146" i="5"/>
  <c r="F145" i="5"/>
  <c r="F144" i="5"/>
  <c r="F143" i="5"/>
  <c r="F142" i="5"/>
  <c r="F141" i="5"/>
  <c r="F140" i="5"/>
  <c r="F137" i="5"/>
  <c r="F136" i="5"/>
  <c r="F135" i="5"/>
  <c r="F134" i="5"/>
  <c r="F133" i="5"/>
  <c r="F132" i="5"/>
  <c r="F131" i="5"/>
  <c r="F130" i="5"/>
  <c r="F129" i="5"/>
  <c r="F128" i="5"/>
  <c r="F127" i="5"/>
  <c r="F126" i="5"/>
  <c r="F125" i="5"/>
  <c r="F123" i="5"/>
  <c r="F122" i="5"/>
  <c r="F121" i="5"/>
  <c r="F120" i="5"/>
  <c r="F118" i="5"/>
  <c r="F117" i="5"/>
  <c r="F116" i="5"/>
  <c r="F115" i="5"/>
  <c r="F114" i="5"/>
  <c r="F113" i="5"/>
  <c r="F112" i="5"/>
  <c r="F111" i="5"/>
  <c r="F110" i="5"/>
  <c r="F109" i="5"/>
  <c r="F108" i="5"/>
  <c r="F107" i="5"/>
  <c r="F106" i="5"/>
  <c r="F105" i="5"/>
  <c r="F104" i="5"/>
  <c r="F103" i="5"/>
  <c r="F100" i="5"/>
  <c r="F99" i="5"/>
  <c r="F98" i="5"/>
  <c r="F97" i="5"/>
  <c r="F95" i="5"/>
  <c r="F94" i="5"/>
  <c r="F93" i="5"/>
  <c r="F92" i="5"/>
  <c r="F90" i="5"/>
  <c r="F89" i="5"/>
  <c r="F88" i="5"/>
  <c r="F85" i="5"/>
  <c r="F84" i="5"/>
  <c r="F83" i="5"/>
  <c r="F82" i="5"/>
  <c r="F81" i="5"/>
  <c r="F80" i="5"/>
  <c r="F79" i="5"/>
  <c r="F78" i="5"/>
  <c r="F77" i="5"/>
  <c r="F76" i="5"/>
  <c r="F75" i="5"/>
  <c r="F74" i="5"/>
  <c r="F73" i="5"/>
  <c r="F70" i="5"/>
  <c r="F69" i="5"/>
  <c r="F68" i="5"/>
  <c r="F67" i="5"/>
  <c r="F37" i="5"/>
  <c r="F36" i="5"/>
  <c r="F35" i="5"/>
  <c r="F34" i="5"/>
  <c r="F33" i="5"/>
  <c r="F32" i="5"/>
  <c r="F31" i="5"/>
  <c r="F30" i="5"/>
  <c r="F27" i="5"/>
  <c r="F26" i="5"/>
  <c r="F25" i="5"/>
  <c r="F24" i="5"/>
  <c r="F23" i="5"/>
  <c r="F22" i="5"/>
  <c r="F21" i="5"/>
  <c r="F20" i="5"/>
  <c r="F19" i="5"/>
  <c r="F18" i="5"/>
  <c r="F17" i="5"/>
  <c r="F16" i="5"/>
  <c r="F15" i="5"/>
  <c r="F14" i="5"/>
  <c r="F13" i="5"/>
  <c r="F12" i="5"/>
  <c r="F11" i="5"/>
  <c r="A4" i="5"/>
  <c r="A3" i="5"/>
  <c r="A2" i="5"/>
  <c r="B24" i="4"/>
  <c r="B23" i="4"/>
  <c r="B22" i="4"/>
  <c r="B21" i="4"/>
  <c r="H19" i="4"/>
  <c r="H24" i="4" s="1"/>
  <c r="D13" i="1" s="1"/>
  <c r="F19" i="4"/>
  <c r="F24" i="4" s="1"/>
  <c r="C13" i="1" s="1"/>
  <c r="H16" i="4"/>
  <c r="F16" i="4"/>
  <c r="H15" i="4"/>
  <c r="F15" i="4"/>
  <c r="H12" i="4"/>
  <c r="H22" i="4" s="1"/>
  <c r="D11" i="1" s="1"/>
  <c r="F12" i="4"/>
  <c r="H10" i="4"/>
  <c r="H21" i="4" s="1"/>
  <c r="D10" i="1" s="1"/>
  <c r="F10" i="4"/>
  <c r="F21" i="4" s="1"/>
  <c r="C10" i="1" s="1"/>
  <c r="A4" i="4"/>
  <c r="A3" i="4"/>
  <c r="A2" i="4"/>
  <c r="B71" i="3"/>
  <c r="H64" i="3"/>
  <c r="F64" i="3"/>
  <c r="D63" i="3"/>
  <c r="F63" i="3" s="1"/>
  <c r="H62" i="3"/>
  <c r="F62" i="3"/>
  <c r="H61" i="3"/>
  <c r="F61" i="3"/>
  <c r="H60" i="3"/>
  <c r="F60" i="3"/>
  <c r="H58" i="3"/>
  <c r="F58" i="3"/>
  <c r="H57" i="3"/>
  <c r="F57" i="3"/>
  <c r="H55" i="3"/>
  <c r="F55" i="3"/>
  <c r="H54" i="3"/>
  <c r="F54" i="3"/>
  <c r="H53" i="3"/>
  <c r="F53" i="3"/>
  <c r="H52" i="3"/>
  <c r="F52" i="3"/>
  <c r="H51" i="3"/>
  <c r="F51" i="3"/>
  <c r="H49" i="3"/>
  <c r="F49" i="3"/>
  <c r="H48" i="3"/>
  <c r="F48" i="3"/>
  <c r="H47" i="3"/>
  <c r="F47" i="3"/>
  <c r="H46" i="3"/>
  <c r="F46" i="3"/>
  <c r="H45" i="3"/>
  <c r="F45" i="3"/>
  <c r="H43" i="3"/>
  <c r="F43" i="3"/>
  <c r="D42" i="3"/>
  <c r="H42" i="3" s="1"/>
  <c r="D40" i="3"/>
  <c r="F40" i="3" s="1"/>
  <c r="D39" i="3"/>
  <c r="H39" i="3" s="1"/>
  <c r="H38" i="3"/>
  <c r="F38" i="3"/>
  <c r="H37" i="3"/>
  <c r="F37" i="3"/>
  <c r="D36" i="3"/>
  <c r="F36" i="3" s="1"/>
  <c r="H33" i="3"/>
  <c r="F33" i="3"/>
  <c r="H32" i="3"/>
  <c r="F32" i="3"/>
  <c r="H30" i="3"/>
  <c r="F30" i="3"/>
  <c r="H29" i="3"/>
  <c r="F29" i="3"/>
  <c r="H28" i="3"/>
  <c r="F28" i="3"/>
  <c r="I28" i="3" s="1"/>
  <c r="H27" i="3"/>
  <c r="F27" i="3"/>
  <c r="H24" i="3"/>
  <c r="F24" i="3"/>
  <c r="H23" i="3"/>
  <c r="F23" i="3"/>
  <c r="H22" i="3"/>
  <c r="F22" i="3"/>
  <c r="H21" i="3"/>
  <c r="I21" i="3" s="1"/>
  <c r="H20" i="3"/>
  <c r="F20" i="3"/>
  <c r="H17" i="3"/>
  <c r="F17" i="3"/>
  <c r="H16" i="3"/>
  <c r="F16" i="3"/>
  <c r="H15" i="3"/>
  <c r="F15" i="3"/>
  <c r="H14" i="3"/>
  <c r="I14" i="3" s="1"/>
  <c r="H13" i="3"/>
  <c r="F13" i="3"/>
  <c r="A4" i="3"/>
  <c r="A3" i="3"/>
  <c r="A2" i="3"/>
  <c r="B215" i="2"/>
  <c r="B214" i="2"/>
  <c r="B213" i="2"/>
  <c r="H204" i="2"/>
  <c r="F204" i="2"/>
  <c r="H200" i="2"/>
  <c r="F200" i="2"/>
  <c r="H194" i="2"/>
  <c r="F194" i="2"/>
  <c r="H190" i="2"/>
  <c r="F190" i="2"/>
  <c r="H185" i="2"/>
  <c r="F185" i="2"/>
  <c r="H176" i="2"/>
  <c r="F176" i="2"/>
  <c r="H173" i="2"/>
  <c r="F173" i="2"/>
  <c r="H172" i="2"/>
  <c r="F172" i="2"/>
  <c r="H168" i="2"/>
  <c r="F168" i="2"/>
  <c r="H167" i="2"/>
  <c r="I167" i="2" s="1"/>
  <c r="F167" i="2"/>
  <c r="H166" i="2"/>
  <c r="F166" i="2"/>
  <c r="H161" i="2"/>
  <c r="F161" i="2"/>
  <c r="H157" i="2"/>
  <c r="F157" i="2"/>
  <c r="H153" i="2"/>
  <c r="I153" i="2" s="1"/>
  <c r="F153" i="2"/>
  <c r="H148" i="2"/>
  <c r="F148" i="2"/>
  <c r="H143" i="2"/>
  <c r="F143" i="2"/>
  <c r="H138" i="2"/>
  <c r="F138" i="2"/>
  <c r="H129" i="2"/>
  <c r="I129" i="2" s="1"/>
  <c r="F129" i="2"/>
  <c r="H127" i="2"/>
  <c r="F127" i="2"/>
  <c r="H126" i="2"/>
  <c r="F126" i="2"/>
  <c r="H125" i="2"/>
  <c r="F125" i="2"/>
  <c r="H123" i="2"/>
  <c r="I123" i="2" s="1"/>
  <c r="F123" i="2"/>
  <c r="H122" i="2"/>
  <c r="F122" i="2"/>
  <c r="H121" i="2"/>
  <c r="F121" i="2"/>
  <c r="H116" i="2"/>
  <c r="F116" i="2"/>
  <c r="H115" i="2"/>
  <c r="F115" i="2"/>
  <c r="H114" i="2"/>
  <c r="F114" i="2"/>
  <c r="H113" i="2"/>
  <c r="F113" i="2"/>
  <c r="H110" i="2"/>
  <c r="F110" i="2"/>
  <c r="H109" i="2"/>
  <c r="F109" i="2"/>
  <c r="H108" i="2"/>
  <c r="F108" i="2"/>
  <c r="H107" i="2"/>
  <c r="F107" i="2"/>
  <c r="H106" i="2"/>
  <c r="F106" i="2"/>
  <c r="H105" i="2"/>
  <c r="F105" i="2"/>
  <c r="H104" i="2"/>
  <c r="F104" i="2"/>
  <c r="H103" i="2"/>
  <c r="F103" i="2"/>
  <c r="H102" i="2"/>
  <c r="F102" i="2"/>
  <c r="H101" i="2"/>
  <c r="F101" i="2"/>
  <c r="H100" i="2"/>
  <c r="F100" i="2"/>
  <c r="H97" i="2"/>
  <c r="F97" i="2"/>
  <c r="H96" i="2"/>
  <c r="F96" i="2"/>
  <c r="H95" i="2"/>
  <c r="F95" i="2"/>
  <c r="H94" i="2"/>
  <c r="F94" i="2"/>
  <c r="H93" i="2"/>
  <c r="F93" i="2"/>
  <c r="H92" i="2"/>
  <c r="F92" i="2"/>
  <c r="H86" i="2"/>
  <c r="F86" i="2"/>
  <c r="H84" i="2"/>
  <c r="F84" i="2"/>
  <c r="H82" i="2"/>
  <c r="F82" i="2"/>
  <c r="H81" i="2"/>
  <c r="F81" i="2"/>
  <c r="H79" i="2"/>
  <c r="F79" i="2"/>
  <c r="H75" i="2"/>
  <c r="F75" i="2"/>
  <c r="H74" i="2"/>
  <c r="F74" i="2"/>
  <c r="H73" i="2"/>
  <c r="F73" i="2"/>
  <c r="H70" i="2"/>
  <c r="F70" i="2"/>
  <c r="H68" i="2"/>
  <c r="F68" i="2"/>
  <c r="H66" i="2"/>
  <c r="F66" i="2"/>
  <c r="H65" i="2"/>
  <c r="F65" i="2"/>
  <c r="H63" i="2"/>
  <c r="I63" i="2" s="1"/>
  <c r="H62" i="2"/>
  <c r="F62" i="2"/>
  <c r="H61" i="2"/>
  <c r="I61" i="2" s="1"/>
  <c r="H60" i="2"/>
  <c r="F60" i="2"/>
  <c r="H59" i="2"/>
  <c r="I59" i="2" s="1"/>
  <c r="H58" i="2"/>
  <c r="F58" i="2"/>
  <c r="H56" i="2"/>
  <c r="F56" i="2"/>
  <c r="H55" i="2"/>
  <c r="I55" i="2" s="1"/>
  <c r="H54" i="2"/>
  <c r="F54" i="2"/>
  <c r="H51" i="2"/>
  <c r="F51" i="2"/>
  <c r="H49" i="2"/>
  <c r="F49" i="2"/>
  <c r="H48" i="2"/>
  <c r="F48" i="2"/>
  <c r="H47" i="2"/>
  <c r="F47" i="2"/>
  <c r="H44" i="2"/>
  <c r="F44" i="2"/>
  <c r="H42" i="2"/>
  <c r="F42" i="2"/>
  <c r="H40" i="2"/>
  <c r="F40" i="2"/>
  <c r="H38" i="2"/>
  <c r="F38" i="2"/>
  <c r="H37" i="2"/>
  <c r="F37" i="2"/>
  <c r="H36" i="2"/>
  <c r="F36" i="2"/>
  <c r="H34" i="2"/>
  <c r="F34" i="2"/>
  <c r="H33" i="2"/>
  <c r="F33" i="2"/>
  <c r="H32" i="2"/>
  <c r="F32" i="2"/>
  <c r="H31" i="2"/>
  <c r="F31" i="2"/>
  <c r="H30" i="2"/>
  <c r="F30" i="2"/>
  <c r="H29" i="2"/>
  <c r="F29" i="2"/>
  <c r="H26" i="2"/>
  <c r="F26" i="2"/>
  <c r="H24" i="2"/>
  <c r="F24" i="2"/>
  <c r="H23" i="2"/>
  <c r="F23" i="2"/>
  <c r="H22" i="2"/>
  <c r="F22" i="2"/>
  <c r="H20" i="2"/>
  <c r="F20" i="2"/>
  <c r="F17" i="2"/>
  <c r="H16" i="2"/>
  <c r="F16" i="2"/>
  <c r="H15" i="2"/>
  <c r="F15" i="2"/>
  <c r="H13" i="2"/>
  <c r="F13" i="2"/>
  <c r="B14" i="1"/>
  <c r="E13" i="1"/>
  <c r="B13" i="1"/>
  <c r="B12" i="1"/>
  <c r="B11" i="1"/>
  <c r="B10" i="1"/>
  <c r="B9" i="1"/>
  <c r="B8" i="1"/>
  <c r="B7" i="1"/>
  <c r="B6" i="1"/>
  <c r="I27" i="3" l="1"/>
  <c r="I32" i="3"/>
  <c r="I43" i="3"/>
  <c r="I48" i="3"/>
  <c r="E10" i="1"/>
  <c r="H36" i="3"/>
  <c r="I12" i="4"/>
  <c r="I22" i="4" s="1"/>
  <c r="H17" i="4"/>
  <c r="H23" i="4" s="1"/>
  <c r="D12" i="1" s="1"/>
  <c r="I55" i="3"/>
  <c r="I20" i="3"/>
  <c r="I30" i="3"/>
  <c r="I57" i="3"/>
  <c r="I37" i="3"/>
  <c r="I45" i="3"/>
  <c r="I51" i="3"/>
  <c r="I122" i="2"/>
  <c r="I176" i="2"/>
  <c r="I200" i="2"/>
  <c r="I148" i="2"/>
  <c r="I173" i="2"/>
  <c r="I20" i="2"/>
  <c r="I81" i="2"/>
  <c r="I116" i="2"/>
  <c r="I66" i="2"/>
  <c r="I138" i="2"/>
  <c r="I168" i="2"/>
  <c r="I204" i="2"/>
  <c r="I114" i="2"/>
  <c r="F17" i="4"/>
  <c r="F23" i="4" s="1"/>
  <c r="C12" i="1" s="1"/>
  <c r="I157" i="2"/>
  <c r="I23" i="3"/>
  <c r="I29" i="3"/>
  <c r="I38" i="3"/>
  <c r="I49" i="3"/>
  <c r="I52" i="3"/>
  <c r="I61" i="3"/>
  <c r="F22" i="4"/>
  <c r="C11" i="1" s="1"/>
  <c r="E11" i="1" s="1"/>
  <c r="F210" i="2"/>
  <c r="F215" i="2" s="1"/>
  <c r="C8" i="1" s="1"/>
  <c r="I126" i="2"/>
  <c r="I143" i="2"/>
  <c r="I22" i="3"/>
  <c r="I33" i="3"/>
  <c r="I46" i="3"/>
  <c r="I53" i="3"/>
  <c r="I60" i="3"/>
  <c r="I107" i="2"/>
  <c r="I101" i="2"/>
  <c r="I110" i="2"/>
  <c r="I109" i="2"/>
  <c r="I108" i="2"/>
  <c r="I106" i="2"/>
  <c r="I105" i="2"/>
  <c r="I102" i="2"/>
  <c r="I97" i="2"/>
  <c r="I96" i="2"/>
  <c r="I94" i="2"/>
  <c r="F117" i="2"/>
  <c r="F214" i="2" s="1"/>
  <c r="C7" i="1" s="1"/>
  <c r="I31" i="2"/>
  <c r="I16" i="2"/>
  <c r="I17" i="2"/>
  <c r="I49" i="2"/>
  <c r="I40" i="2"/>
  <c r="I32" i="2"/>
  <c r="I13" i="2"/>
  <c r="F138" i="5"/>
  <c r="F71" i="5"/>
  <c r="F86" i="5"/>
  <c r="F28" i="5"/>
  <c r="F154" i="5"/>
  <c r="F101" i="5"/>
  <c r="F38" i="5"/>
  <c r="H26" i="4"/>
  <c r="I16" i="4"/>
  <c r="I62" i="3"/>
  <c r="I64" i="3"/>
  <c r="I58" i="3"/>
  <c r="I54" i="3"/>
  <c r="I47" i="3"/>
  <c r="I36" i="3"/>
  <c r="I24" i="3"/>
  <c r="I15" i="3"/>
  <c r="I16" i="3"/>
  <c r="I194" i="2"/>
  <c r="I190" i="2"/>
  <c r="I185" i="2"/>
  <c r="I172" i="2"/>
  <c r="I166" i="2"/>
  <c r="I161" i="2"/>
  <c r="H210" i="2"/>
  <c r="H215" i="2" s="1"/>
  <c r="D8" i="1" s="1"/>
  <c r="E8" i="1" s="1"/>
  <c r="I127" i="2"/>
  <c r="I125" i="2"/>
  <c r="I113" i="2"/>
  <c r="I115" i="2"/>
  <c r="I100" i="2"/>
  <c r="I104" i="2"/>
  <c r="H117" i="2"/>
  <c r="H214" i="2" s="1"/>
  <c r="D7" i="1" s="1"/>
  <c r="I103" i="2"/>
  <c r="I95" i="2"/>
  <c r="I86" i="2"/>
  <c r="I84" i="2"/>
  <c r="I82" i="2"/>
  <c r="I79" i="2"/>
  <c r="I75" i="2"/>
  <c r="I73" i="2"/>
  <c r="I74" i="2"/>
  <c r="I70" i="2"/>
  <c r="I68" i="2"/>
  <c r="I65" i="2"/>
  <c r="I62" i="2"/>
  <c r="I60" i="2"/>
  <c r="I58" i="2"/>
  <c r="I56" i="2"/>
  <c r="I54" i="2"/>
  <c r="I51" i="2"/>
  <c r="I47" i="2"/>
  <c r="I48" i="2"/>
  <c r="I44" i="2"/>
  <c r="I38" i="2"/>
  <c r="I36" i="2"/>
  <c r="I37" i="2"/>
  <c r="I42" i="2"/>
  <c r="I29" i="2"/>
  <c r="I33" i="2"/>
  <c r="I34" i="2"/>
  <c r="I30" i="2"/>
  <c r="I26" i="2"/>
  <c r="F87" i="2"/>
  <c r="F213" i="2" s="1"/>
  <c r="I24" i="2"/>
  <c r="I22" i="2"/>
  <c r="I23" i="2"/>
  <c r="I15" i="2"/>
  <c r="H87" i="2"/>
  <c r="H213" i="2" s="1"/>
  <c r="D6" i="1" s="1"/>
  <c r="I19" i="4"/>
  <c r="I24" i="4" s="1"/>
  <c r="I15" i="4"/>
  <c r="I10" i="4"/>
  <c r="I21" i="4" s="1"/>
  <c r="H40" i="3"/>
  <c r="H69" i="3" s="1"/>
  <c r="H71" i="3" s="1"/>
  <c r="H73" i="3" s="1"/>
  <c r="D9" i="1" s="1"/>
  <c r="H63" i="3"/>
  <c r="I63" i="3" s="1"/>
  <c r="F39" i="3"/>
  <c r="I39" i="3" s="1"/>
  <c r="F42" i="3"/>
  <c r="I42" i="3" s="1"/>
  <c r="I13" i="3"/>
  <c r="I17" i="3"/>
  <c r="I121" i="2"/>
  <c r="I93" i="2"/>
  <c r="I92" i="2"/>
  <c r="F26" i="4" l="1"/>
  <c r="E12" i="1"/>
  <c r="E7" i="1"/>
  <c r="I210" i="2"/>
  <c r="I215" i="2" s="1"/>
  <c r="D15" i="1"/>
  <c r="I87" i="2"/>
  <c r="I213" i="2" s="1"/>
  <c r="F217" i="2"/>
  <c r="C6" i="1"/>
  <c r="E6" i="1" s="1"/>
  <c r="I17" i="4"/>
  <c r="I23" i="4" s="1"/>
  <c r="I26" i="4" s="1"/>
  <c r="H217" i="2"/>
  <c r="I40" i="3"/>
  <c r="I69" i="3" s="1"/>
  <c r="I71" i="3" s="1"/>
  <c r="I73" i="3" s="1"/>
  <c r="F69" i="3"/>
  <c r="F71" i="3" s="1"/>
  <c r="F73" i="3" s="1"/>
  <c r="C9" i="1" s="1"/>
  <c r="E9" i="1" s="1"/>
  <c r="I117" i="2"/>
  <c r="I214" i="2" s="1"/>
  <c r="F64" i="5"/>
  <c r="F63" i="5"/>
  <c r="F62" i="5"/>
  <c r="F61" i="5"/>
  <c r="F60" i="5"/>
  <c r="F59" i="5"/>
  <c r="F58" i="5"/>
  <c r="F57" i="5"/>
  <c r="F56" i="5"/>
  <c r="F55" i="5"/>
  <c r="F54" i="5"/>
  <c r="F53" i="5"/>
  <c r="F52" i="5"/>
  <c r="F51" i="5"/>
  <c r="F50" i="5"/>
  <c r="F49" i="5"/>
  <c r="F48" i="5"/>
  <c r="F47" i="5"/>
  <c r="F46" i="5"/>
  <c r="F45" i="5"/>
  <c r="F44" i="5"/>
  <c r="F43" i="5"/>
  <c r="F42" i="5"/>
  <c r="F41" i="5"/>
  <c r="F40" i="5"/>
  <c r="I217" i="2" l="1"/>
  <c r="F65" i="5"/>
  <c r="F156" i="5" l="1"/>
  <c r="F158" i="5" s="1"/>
  <c r="C14" i="1" s="1"/>
  <c r="E14" i="1" l="1"/>
  <c r="E15" i="1" s="1"/>
  <c r="C15" i="1"/>
</calcChain>
</file>

<file path=xl/sharedStrings.xml><?xml version="1.0" encoding="utf-8"?>
<sst xmlns="http://schemas.openxmlformats.org/spreadsheetml/2006/main" count="1131" uniqueCount="756">
  <si>
    <r>
      <t xml:space="preserve">TENDER NO. D-111808
CONSTRUCTION WORKS FOR REPLACEMENT OF SHBPRY, SMHPRY AND DRPRY SUBSTATION IN EASTERN REGION
</t>
    </r>
    <r>
      <rPr>
        <b/>
        <u/>
        <sz val="16"/>
        <rFont val="Times New Roman"/>
        <family val="1"/>
      </rPr>
      <t>Lot 1: Shobaisi PRY (SHBPRY)</t>
    </r>
  </si>
  <si>
    <t>Item No.</t>
  </si>
  <si>
    <t>DESCRIPTION</t>
  </si>
  <si>
    <t>Total Price (AED)</t>
  </si>
  <si>
    <t>Total Price (AED)
A+B</t>
  </si>
  <si>
    <t>CIF / Local (AED) - A</t>
  </si>
  <si>
    <t>Erection (AED) - B</t>
  </si>
  <si>
    <t>N/A</t>
  </si>
  <si>
    <t>Total Contract Price (U.A.E. Dirhams)</t>
  </si>
  <si>
    <t xml:space="preserve">   UAE Dirhams _____________________________________________________________</t>
  </si>
  <si>
    <t>ABU DHABI DISTRIBUTION COMPANY</t>
  </si>
  <si>
    <t>TENDER NO. :   D-111808</t>
  </si>
  <si>
    <t>CONSTRUCTION WORKS FOR REPLACEMENT OF SHBPRY, SMHPRY AND DRPRY SUBSTATION IN EASTERN REGION</t>
  </si>
  <si>
    <t>LOT 1: SHOBAISI PRY (SHBPRY)</t>
  </si>
  <si>
    <t>Item</t>
  </si>
  <si>
    <t>Description</t>
  </si>
  <si>
    <t>Unit</t>
  </si>
  <si>
    <t>Estimated Qty. (a)</t>
  </si>
  <si>
    <t>Unit Rate (b)</t>
  </si>
  <si>
    <t>Total (a*b)</t>
  </si>
  <si>
    <t>Unit Rate (c)</t>
  </si>
  <si>
    <t>Total (a*c)</t>
  </si>
  <si>
    <t>A + B</t>
  </si>
  <si>
    <t>The Technical Specifications, the description of the Scope of the Work/Scope of Supply and the subsequently prepared Price Tabulation Sheets / BOQ, are intended to give the frame of the equipment needed for the items in Scope. It is to be understood that the work(s) / services /equipment include everything requisite and/or necessary to finish the entire work properly to the satisfaction of ADDC/Employer and the equipment has to be complete in every respect, notwithstanding the fact that every item may not be specifically mentioned.</t>
  </si>
  <si>
    <t>CONSTRUCTION OF NEW 33/11 kV PRIMARY SUBSTATION (SHBPRY) AND ASSOCIATED EXTERNAL 33kV, 11kV &amp; PILOT CABLE DIVERSION  WORKS</t>
  </si>
  <si>
    <t>Electrical Works for new 33/11 kV Primary Substation</t>
  </si>
  <si>
    <t>33 kV GIS Switchgear</t>
  </si>
  <si>
    <t>Supply, Installation, testing and commissioning of the SF6 insulated (GIS) type with single busbar of 1600 A nominal current rating at 40deg.C ambient temperature and rated short-circuit current of 31.5kA for 1sec. including all the associated protection relays including relays panels, tools and accessories in line with enclosed SOW, tender specifications and drawings. As the substation will have three 33/11kV power transformers the 33kV busbar will be divided into three sections. Supply of cable terminations for all the feeder panels (surplus/unused termination kits shall be handed-over to ADDC as per procedure) shall be included. Dummy plugs shall be provided for all the feeders.
33kV switchgear must be equipped of following configuration as per SOW and tender drawing.</t>
  </si>
  <si>
    <t>1.1.1</t>
  </si>
  <si>
    <t>630A incomer panels and associated relays.</t>
  </si>
  <si>
    <t>Nos.</t>
  </si>
  <si>
    <t>1.1.2</t>
  </si>
  <si>
    <t>No BOQ Item</t>
  </si>
  <si>
    <t>1.1.3</t>
  </si>
  <si>
    <t>630A outgoing/transformer feeder panels and associated relays.</t>
  </si>
  <si>
    <t>1.1.4</t>
  </si>
  <si>
    <t>1250A panels for Bus Section/Bus Riser and Measuring Cubicles</t>
  </si>
  <si>
    <t>Sets</t>
  </si>
  <si>
    <t>1.1.5</t>
  </si>
  <si>
    <t>Portable gas handling equipment along with 20kg gas cylinder suitable for offered switchgear</t>
  </si>
  <si>
    <t>33 kV Protection Panels</t>
  </si>
  <si>
    <t>Supply and Installation of Control and Protection Panels for 33 kV switchgear in line with Scope of Work, tender drawings &amp; ADDC Specifications and requirements, comprising of:</t>
  </si>
  <si>
    <t>1.2.1</t>
  </si>
  <si>
    <t>Incomer Cable Feeder Protection Panels</t>
  </si>
  <si>
    <t>1.2.2</t>
  </si>
  <si>
    <t>1.2.3</t>
  </si>
  <si>
    <t>Transformer Feeder Protection Panels</t>
  </si>
  <si>
    <t>1.2.4</t>
  </si>
  <si>
    <t>Bus Sectionalizer / Bus riser Protection Panels</t>
  </si>
  <si>
    <t>Portable PC (latest model) with software for parameter setting, monitoring, diagnostic, etc. for all numeric protection relays in line with Scope of Work &amp; TAQA/ADDC Specifications and requirements</t>
  </si>
  <si>
    <t>33 kV Busbar Protection</t>
  </si>
  <si>
    <t>Supply, Installation,Testing &amp; Commisioning of 33 kV high impedance Busbar Protection in line with SOW.</t>
  </si>
  <si>
    <t>Lot</t>
  </si>
  <si>
    <t>11kV AIS Switchgear</t>
  </si>
  <si>
    <t>Supply, Installation, testing and commissioning of the 11kV Switchgear shall be of Air-Insulated type and consist of a single busbar system with three sections and ring configuration. Each busbar shall have a current rating of 1600A, short circuit current 31.5 kA for 1 sec. including all the associated protection relays, tools and accessories in line with enclosed SOW, tender specifications and drawings. Dummy plugs shall be provided for all the feeders. Including Two (2) Bus Ducts for Busbar Interconnection. 11kV switchgear must be equipped of following configuration as per SOW and tender drawing.</t>
  </si>
  <si>
    <t>1.4.1</t>
  </si>
  <si>
    <t>1600A incomer panels from 20MVA 33/11kV power transformers and associated relays</t>
  </si>
  <si>
    <t>1.4.2</t>
  </si>
  <si>
    <t>630A outgoing feeder panels and associated relays</t>
  </si>
  <si>
    <t>1.4.3</t>
  </si>
  <si>
    <t>630A outgoing feeder panels for auxiliary transformer and associated relays</t>
  </si>
  <si>
    <t>1.4.4</t>
  </si>
  <si>
    <t>630A outgoing feeder panels for capacitor banks and associated relays</t>
  </si>
  <si>
    <t>1.4.5</t>
  </si>
  <si>
    <t>1600A bus sectionalizer/bus riser panels and metering cubicles</t>
  </si>
  <si>
    <t>1.4.7</t>
  </si>
  <si>
    <t>Over-Head Bus Ducts for Busbar Interconnection</t>
  </si>
  <si>
    <t>20 MVA Power Transformer</t>
  </si>
  <si>
    <t xml:space="preserve">Supply, Transportation, Installation, Testing &amp; Commissioning of 33/11.5kV Power Transformers having 20MVA rated output with Copper winding complete with AVR panel, TIP panel, cable terminations, tools and accessories in line with enclosed SOW, tender specifications and drawings. </t>
  </si>
  <si>
    <t>Nos</t>
  </si>
  <si>
    <t>1.5.1</t>
  </si>
  <si>
    <t>Supply, Installation, Testing &amp; Commissioning of Automatic Voltage Regulator (AVR) Panel for Operation of the Motorized Tap Changer  in line with SOW &amp; latest TAQA/ADDC specification &amp; requirements.</t>
  </si>
  <si>
    <t>1.5.2</t>
  </si>
  <si>
    <t xml:space="preserve">Supply, Installation, Testing &amp; Commissioning of Transformer Interlocking Panel in line with SOW &amp; latest TAQA/ADDC specification &amp; requirements. </t>
  </si>
  <si>
    <t>Auxiliary Transformer - 630kVA</t>
  </si>
  <si>
    <t>Supply, Transportation, Installation, Testing &amp; Commissioning of 630kVA 11/0.415kV Auxiliary Transformer with Aluminium winding complete with cable terminations, tools and accessories in line with enclosed SOW, tender specifications and drawings.</t>
  </si>
  <si>
    <t>Main LVAC distribution board</t>
  </si>
  <si>
    <t>Supply, Installation, testing and commissioning of floor mounted, front access, air insulated, totally enclosed, fully interlocked, modular cubicle pattern LVAC distribution board with all necessary cable terminations in line with Scope of Work and ADDC standard specifications.</t>
  </si>
  <si>
    <t>Reactive Power Compensation</t>
  </si>
  <si>
    <t>Design, manufacture, factory testing, shipping and transportation to site, installation, site testing, and commissioning of three outdoor type 11kV capacitor banks with series detuning/ filter reactors and control panel for each capacitor bank in line with Scope of Work and ADDC standard specifications.</t>
  </si>
  <si>
    <t>110V DC System</t>
  </si>
  <si>
    <t>Supply, installation, testing and commissioning of 110V DC system with dual charger rectification modules and dual Battery bank configuration having suitable ampere hour capacity with all accessories for the DC distribution arrangement to provide the DC supply for the switchgear, protection equipment, local indications, control, communication, emergency lighting, etc. in substation in line with ADDC specifications and requirements .</t>
  </si>
  <si>
    <t>110V DC Battery Charger</t>
  </si>
  <si>
    <t>110V DC Distribution Board</t>
  </si>
  <si>
    <t>110V DC Battery Bank</t>
  </si>
  <si>
    <t>Common Alarm Panel</t>
  </si>
  <si>
    <t>Supply, Installation,Testing &amp; Commisioning of Common Alarm Panel  in line with ADDC specifications and requirements.</t>
  </si>
  <si>
    <t>Internal Power &amp; Control Cabling Works</t>
  </si>
  <si>
    <t>1.11.1</t>
  </si>
  <si>
    <t>33kV Power cables</t>
  </si>
  <si>
    <t>1.11.1.1</t>
  </si>
  <si>
    <t>Supply and installation, testing and commissioning of 33kV XLPE insulated single-core cable with Copper conductor of 500mm² cross section for interconnections between 33kV switchgear and 20MVA power transformers.</t>
  </si>
  <si>
    <t>1.11.1.2</t>
  </si>
  <si>
    <t>Installation testing and commissioning of 33kV plug-in type cable-end terminations in 33kV SWGR for XLPE insulated, single-core cables with 500mm² Cu Conductor, including all accessories.</t>
  </si>
  <si>
    <t>included in BOQ item 1.1</t>
  </si>
  <si>
    <t>1.11.1.3</t>
  </si>
  <si>
    <t>Supply, installation, testing and commissioning of 33kV cable-end terminations in HV cable box of Power Transformer for XLPE insulated, single-core cables with 500mm² Cu Conductor, including all accessories.</t>
  </si>
  <si>
    <t>1.11.2</t>
  </si>
  <si>
    <t>11kV Power cables</t>
  </si>
  <si>
    <t>1.11.2.1</t>
  </si>
  <si>
    <t>Supply, installation, testing and commissioning of 11kV XLPE insulated single-core cable with Copper conductor of 630mm² cross section for interconnections between 11kV switchgear and 20MVA power transformers as well as for connections between power transformer neutral and the earthing bus.</t>
  </si>
  <si>
    <t>1.11.2.2</t>
  </si>
  <si>
    <t>Installation, testing and commissioning of 11kV single-phase cable termination kits for the XLPE insulated Copper conductor of 630mm² cross section, including all accessories.</t>
  </si>
  <si>
    <t>included in BOQ item 1.4</t>
  </si>
  <si>
    <t>1.11.2.3</t>
  </si>
  <si>
    <t xml:space="preserve">Supply, installation, testing and commissioning of 11kV XLPE insulated single-core cable with Copper conductor of 500mm² cross section for connections between 11kV switchgear and capacitor banks. </t>
  </si>
  <si>
    <t>1.11.2.4</t>
  </si>
  <si>
    <t>Installation, testing and commissioning of 11kV single-phase cable termination kits for the XLPE insulated Copper conductor of 500mm² cross section, including all accessories.</t>
  </si>
  <si>
    <t>1.11.2.5</t>
  </si>
  <si>
    <t>Supply, installation, testing and commissioning of 11kV XLPE insulated three-core cable with Copper conductor of 120mm² cross section for connections between 11kV switchgear and station auxiliary transformers including associated termination works.</t>
  </si>
  <si>
    <t>1.11.2.6</t>
  </si>
  <si>
    <t>Installation, testing and commissioning of 11kV cable-end terminations for XLPE insulated, three-core cables with 120mm² Cu Conductor, including all accessories.</t>
  </si>
  <si>
    <t>1.11.3</t>
  </si>
  <si>
    <t>Low Voltage Power, Control, and Communication Cables</t>
  </si>
  <si>
    <t>1.11.3.1</t>
  </si>
  <si>
    <t>Supply, installation, testing and commissioning of complete Set of  Low voltage and control cable (1kV), single core, Copper Conductor XLPE complete with termination works in line with SOW and ADDC specification</t>
  </si>
  <si>
    <t>1.11.3.2</t>
  </si>
  <si>
    <t>Supply, installation, testing and commissioning of complete Set of  Low voltage and control cable (1kV), multi core, Copper Conductor XLPE complete with termination works in line with SOW and ADDC specification</t>
  </si>
  <si>
    <t>Earthing &amp; Lightning Protection System</t>
  </si>
  <si>
    <t>Supply, installation, testing and commissioning of Earthing Grid System &amp; Lightning protection including all accessories as detailed in the Scope of the Work and relevant ADDC specification.</t>
  </si>
  <si>
    <t>Tariff meters and panel</t>
  </si>
  <si>
    <t xml:space="preserve">Supply, installation, testing and commissioning of wall mounted, front access Tariff meter panel including installation, testing and commissioning of two Tariff meters (one from each Aux Transformer to LVAC panel) and associated fees, cabling and wiring works and necessary protection device shall be provided in line with Scope of Works and relevant sections of TAQA/ADDC specifications. Tariff meter panel shall be installed in a separate wall-mounted panel inside LV &amp; protection room. </t>
  </si>
  <si>
    <t>ADMS / RTU Communication System</t>
  </si>
  <si>
    <t>1.14.1</t>
  </si>
  <si>
    <t>Remote Terminal Unit</t>
  </si>
  <si>
    <t>Supply, installation, testing and commissioning  of  RTU equipment which is deem necessary to complete the signal chain from process through ADMS interface cubicle to RTU including  P2P test between SHBPRY and ADMS control center in line with scope of work  and relevant sections of TAQA/ADDC specifications.</t>
  </si>
  <si>
    <t>1.14.2</t>
  </si>
  <si>
    <t>Supply, installation, testing and commissioning  of Interface Cubicle in line with scope of work and relevant sections of TAQA/ADDC specifications.</t>
  </si>
  <si>
    <t>1.14.3</t>
  </si>
  <si>
    <t>Supply, installation, testing and commissioning of Tele-control Communication Interface in line with scope of work and relevant sections of TAQA/ADDC specifications.</t>
  </si>
  <si>
    <t>1.14.4</t>
  </si>
  <si>
    <t>Communication System</t>
  </si>
  <si>
    <t>1.14.4.1</t>
  </si>
  <si>
    <t>1.14.4.2</t>
  </si>
  <si>
    <t>Telecommunication Links through GPRS/4G/5G modem</t>
  </si>
  <si>
    <t>Supply, installation, testing and commissioning  of required equipment at primary substations and at ADMS to establish communication with ADMS through GPRS/4G/5G modem in line with scope of work and relevant sections of TAQA/ADDC specifications.</t>
  </si>
  <si>
    <t>ADMS Integration Works</t>
  </si>
  <si>
    <t>1.15.1</t>
  </si>
  <si>
    <t>Configuration and parameterization of Hardware equipment related works in all respect in line with scope of work.</t>
  </si>
  <si>
    <t>1.15.2</t>
  </si>
  <si>
    <t>Configuration and parameterization of Software related works in all respect in line with scope of work. (Optional)</t>
  </si>
  <si>
    <t>Remote End 33kV Panel Protection Conversion Works</t>
  </si>
  <si>
    <r>
      <t xml:space="preserve">Survey of existing protection and design of new Protection System including Re-configuration of SCMS at Remote-end Substation and associated modification works at ADMS MasterStation related to </t>
    </r>
    <r>
      <rPr>
        <u/>
        <sz val="14"/>
        <rFont val="Times New Roman"/>
        <family val="1"/>
      </rPr>
      <t xml:space="preserve">SHBPRY (KHZGPRY) </t>
    </r>
    <r>
      <rPr>
        <sz val="14"/>
        <rFont val="Times New Roman"/>
        <family val="1"/>
      </rPr>
      <t>in line with SOW and ADDC standard specification requirements.</t>
    </r>
  </si>
  <si>
    <t>Protection Relays Setting Study</t>
  </si>
  <si>
    <t>1.17.1</t>
  </si>
  <si>
    <t>Protection Relay Setting Study in line with SOW and ADDC standard specification requirements.</t>
  </si>
  <si>
    <t>Item-1 Sub Total  - Installation of New 33/11kV Primary station (Electrical)</t>
  </si>
  <si>
    <t>Mechanical Works for new 33/11 kV Primary Substation</t>
  </si>
  <si>
    <t>NOTE: The following items are meant to cover all mechanical works of the entire building (SHBPRY) complete in all respects, not withstanding the fact that every item may not be specifically mentioned.</t>
  </si>
  <si>
    <t>HVAC System</t>
  </si>
  <si>
    <t xml:space="preserve">Supply, Installation, testing and commissioning of Heating, Ventilation and Air-conditioning (HVAC) as per Scope of Work in line with TAQA/ADDC specifications, comprising of: </t>
  </si>
  <si>
    <t>2.1.1</t>
  </si>
  <si>
    <t>Package Air Conditioning units (ACCU) 2 numbers and all accessories</t>
  </si>
  <si>
    <t>2.1.2</t>
  </si>
  <si>
    <t>Split Unit Air-conditioners</t>
  </si>
  <si>
    <t>2.1.3</t>
  </si>
  <si>
    <t>Control panel for the complete HVAC system</t>
  </si>
  <si>
    <t>2.1.4</t>
  </si>
  <si>
    <t>Extraction fans</t>
  </si>
  <si>
    <t>2.1.5</t>
  </si>
  <si>
    <t>Ducting, piping,VCD, fire dumpers,access door ,air outlets and all other accessories</t>
  </si>
  <si>
    <t>2.1.6</t>
  </si>
  <si>
    <t>Temperature Controlers, duct heaters and cabling</t>
  </si>
  <si>
    <t>Fire Detection and Protection System</t>
  </si>
  <si>
    <t xml:space="preserve">Supply, Installation, testing and commissioning of Fire Detection and Protection Systems as per Scope of Work in line with TAQA/ADDC specifications &amp; civil defense requirements for substation, comprising of: </t>
  </si>
  <si>
    <t>2.2.1</t>
  </si>
  <si>
    <t>Fire detection and alarm system, including Fire alarm control panel and mimic panels, fire alarm devices</t>
  </si>
  <si>
    <t>2.2.2</t>
  </si>
  <si>
    <t>Fire pump station with diesel driven and electric fire water pumps, jockey pumps, expansion tanks and control panels</t>
  </si>
  <si>
    <t>2.2.3</t>
  </si>
  <si>
    <t>Fire water tank - Reinforced Concrete water tank with partition and all associated accessories</t>
  </si>
  <si>
    <t>2.2.4</t>
  </si>
  <si>
    <t>Fire water mains with hydrants, valves, stand-pipes, hose systems with cabinets, sprinkler systems, water spray fixed systems</t>
  </si>
  <si>
    <t>2.2.5</t>
  </si>
  <si>
    <t xml:space="preserve">Fire fighting system with sprinkler valves for the basement </t>
  </si>
  <si>
    <t>2.2.6</t>
  </si>
  <si>
    <t>Sprinkler System for fire pump room</t>
  </si>
  <si>
    <t>2.2.7</t>
  </si>
  <si>
    <t>Sprinkler System for ground floor</t>
  </si>
  <si>
    <t>2.2.8</t>
  </si>
  <si>
    <t>Fire fighting deluge system for power transformers</t>
  </si>
  <si>
    <t>2.2.9</t>
  </si>
  <si>
    <t>Fire fighting automatic total gas flooding system  (Clean agent gas suppression System like ‘’IG55, IG541 or NN100)</t>
  </si>
  <si>
    <t>2.2.10</t>
  </si>
  <si>
    <t>Wheeled and portable fire extinguishers for buildings and fire blanket /rescue equipment, SCBA (breathing apparatus) 2 nos. each PRY Substation</t>
  </si>
  <si>
    <t>2.2.11</t>
  </si>
  <si>
    <t>Hassantuk Panel along with necessary fire alarm signal shall be connected and integration between FACP and 24/7 Civil defence Hassantuk Panel.</t>
  </si>
  <si>
    <t>Assessment and proposal of temporary Firefighting system for Existing SHBPRY</t>
  </si>
  <si>
    <r>
      <t>Supply &amp; Installation of additional Portable &amp; Trolley Type Fire Extinguishers,</t>
    </r>
    <r>
      <rPr>
        <sz val="14"/>
        <color rgb="FFFF0000"/>
        <rFont val="Times New Roman"/>
        <family val="1"/>
      </rPr>
      <t xml:space="preserve"> </t>
    </r>
    <r>
      <rPr>
        <sz val="14"/>
        <rFont val="Times New Roman"/>
        <family val="1"/>
      </rPr>
      <t xml:space="preserve">FACP,Smoke detectors in the existing primary substation based on the assessment evaluation as per Scope of Work in line with TAQA/ADDC specifications &amp; civil defense requirements, comprising of: </t>
    </r>
  </si>
  <si>
    <t>2.3.1</t>
  </si>
  <si>
    <t>CO2 type Fire extinguishers</t>
  </si>
  <si>
    <t>2.3.2</t>
  </si>
  <si>
    <t>Dry Powder type Fire extinguishers</t>
  </si>
  <si>
    <t>2.3.3</t>
  </si>
  <si>
    <t>Trolley type Wheeled fire extinguishers</t>
  </si>
  <si>
    <t>2.3.4</t>
  </si>
  <si>
    <t>Existing FACP Panel &amp; Heat detectors Working condition needs to be verified. If the  existing FACP with heat detector system  obsolete, Same needs to be replaced with new fire panel with smoke detection.</t>
  </si>
  <si>
    <t>Item-2 Sub Total  - Mechanical Works for new 33/11 kV Primary Substation</t>
  </si>
  <si>
    <t>Civil Works for new 33/11 kV Primary Substation Building</t>
  </si>
  <si>
    <t>NOTE: The following items are meant to cover all civil works of the entire building (SHBPRY) prices for civil works shall include the general requirements identified in the Scope of Work. The following items are intended to cover all civil works, required authority approvals, complete in all respects, not withstanding the fact that every item may not be specifically described below.</t>
  </si>
  <si>
    <t>Preliminaries</t>
  </si>
  <si>
    <t>3.1.1</t>
  </si>
  <si>
    <t>Site establishment and site office near to each site location, including temporary fence installed according to Municipality requirements, temporary services, temporary access road, signboards, including Operation and maintenance of the site facilities and services during execution of all Contract works in line with SOW.</t>
  </si>
  <si>
    <t>3.1.2</t>
  </si>
  <si>
    <t>Obtaining all necessary permits including building permit, clearances and 'No Objection' certificates</t>
  </si>
  <si>
    <t>3.1.3</t>
  </si>
  <si>
    <t>Site clearing, demobilization and reinstatement of the surrounding area as it was pervious to the construction works.</t>
  </si>
  <si>
    <t>Site Preparation Works</t>
  </si>
  <si>
    <t>3.2.1</t>
  </si>
  <si>
    <t>Geotechnical investigation including Geotechnical Report, soil resistivity measurements, Topographical Survey of the site as described in the Scope of Work</t>
  </si>
  <si>
    <t>3.2.2</t>
  </si>
  <si>
    <t>Excavation of trial pits and trenches for the detection of existing services including reinstatement of all trial pits/trenches as required.</t>
  </si>
  <si>
    <t>3.2.3</t>
  </si>
  <si>
    <t xml:space="preserve">Exposure, shifting and relocation of existing services </t>
  </si>
  <si>
    <t>33/11kV Primary Substation Main Building</t>
  </si>
  <si>
    <t>Design and Construction of 33/11kV, 3 x 20MVA Primary Substation building (SMHPRY) with design style to meet area surroundings, access road and any other civil &amp; MEP works required, with any type of foundation, blinding concrete, reinforced concrete foundations and substructure, water proofing system, ground slab, block work superstructure, Screed and floor finish, roof slabs, steel channels and gratings with supporting system, louvered doors, internal and external finishing, with supply of all materials for the proper appearance and functioning of the building, as per SOW and in full compliance to TAQA/ADDC specification and in line with local authority regulations and building permit from relevant authorities.
(Refer to below listed items. The items not covered below, need to considered by the bidder)</t>
  </si>
  <si>
    <t>3.3.1</t>
  </si>
  <si>
    <t>Excavation in any type of soil including dewatering (if required), compaction and testing of the excavation bed as per Scope of Work</t>
  </si>
  <si>
    <t>Included in BOQ item 3.3</t>
  </si>
  <si>
    <t>3.3.2</t>
  </si>
  <si>
    <t>Additional filling with approved material, levelling and compacting as required</t>
  </si>
  <si>
    <t>3.3.3</t>
  </si>
  <si>
    <t>Reinforced concrete  foundation  of any type and substructure works  including all necessary protection and waterproofing works.</t>
  </si>
  <si>
    <t>3.3.4</t>
  </si>
  <si>
    <t>Reinforced concrete superstructure  completed in all respects as per Scope of Work</t>
  </si>
  <si>
    <t>3.3.5</t>
  </si>
  <si>
    <t>Masonry, steel works and finishing works including Heavy duty, non-slip and
chemically resistant vitrified floor tiles and Chemically resistant vitrified walll tiles for the battery room.</t>
  </si>
  <si>
    <t>3.3.6</t>
  </si>
  <si>
    <t>Construction of Raised Floor including all design, material, finishing.. etc.</t>
  </si>
  <si>
    <t>3.3.7</t>
  </si>
  <si>
    <t>Supply and installation of Fire Rated Doors including all accessories and finishing works.</t>
  </si>
  <si>
    <t>3.3.8</t>
  </si>
  <si>
    <t>Supply and installation of Aluminium window double glazed including all accessories and finishing works.</t>
  </si>
  <si>
    <t xml:space="preserve">Power Transformer Bays (3 Nos. &amp; 1 No For future bay) </t>
  </si>
  <si>
    <t>3.4.1</t>
  </si>
  <si>
    <t>Reinforced concrete  foundation  of any type and substructure works  including  excavation,  filling,  all necessary protection and waterproofing works.</t>
  </si>
  <si>
    <t>Included in BOQ item 3.4</t>
  </si>
  <si>
    <t>3.4.2</t>
  </si>
  <si>
    <t>Reinforced concrete super-structure completed in all respects</t>
  </si>
  <si>
    <t>3.4.3</t>
  </si>
  <si>
    <t xml:space="preserve">Steel works including removable fence  made of G.I. Steel along the total height of the power transformer bay walls as per Scope of Work </t>
  </si>
  <si>
    <t>3.4.4</t>
  </si>
  <si>
    <t>Finishing works including all associated services works</t>
  </si>
  <si>
    <t>Auxiliary Transformer Bays (2 Nos.)</t>
  </si>
  <si>
    <t>3.5.1</t>
  </si>
  <si>
    <t>Reinforced concrete  foundation  of any type and substructure works  including  excavation,  filling,  all necessary protection and waterproofing works</t>
  </si>
  <si>
    <t>Included in BOQ item 3.5</t>
  </si>
  <si>
    <t>3.5.2</t>
  </si>
  <si>
    <t>3.5.3</t>
  </si>
  <si>
    <t>3.5.4</t>
  </si>
  <si>
    <t>Capacitor Bank and Reactor Compounds (3 Nos.)</t>
  </si>
  <si>
    <t>3.6.1</t>
  </si>
  <si>
    <t>Included in BOQ item 3.6</t>
  </si>
  <si>
    <t>3.6.2</t>
  </si>
  <si>
    <t>Fencing including foundations and earthing</t>
  </si>
  <si>
    <t>3.6.3</t>
  </si>
  <si>
    <t>Gates, including interlocking systems</t>
  </si>
  <si>
    <t>3.6.4</t>
  </si>
  <si>
    <t>Ducts, levelling and gravelling</t>
  </si>
  <si>
    <t>Roads and Site Surfacing</t>
  </si>
  <si>
    <t>3.7.1</t>
  </si>
  <si>
    <t>Construction of internal road pavements made of interlocking tiles 100mm thickness including the pre-fabricated concrete kerbs  as per tender drawings</t>
  </si>
  <si>
    <t>Included in BOQ item 3.7</t>
  </si>
  <si>
    <t>3.7.2</t>
  </si>
  <si>
    <t>Construction of footpath pavements made of interlocking tiles 60mm thickness  as per tender drawings</t>
  </si>
  <si>
    <t>3.7.3</t>
  </si>
  <si>
    <t>Gravelled substation surfaces</t>
  </si>
  <si>
    <t xml:space="preserve">Civil Works related to Site Services </t>
  </si>
  <si>
    <t>3.8.1</t>
  </si>
  <si>
    <t>Cables ducts with slope of max.1% up to the end of external ramp, draw pits and cable trenches</t>
  </si>
  <si>
    <t>Included in BOQ item 3.8</t>
  </si>
  <si>
    <t>3.8.2</t>
  </si>
  <si>
    <t>Civil works for permanent water supply system</t>
  </si>
  <si>
    <t>3.8.3</t>
  </si>
  <si>
    <t xml:space="preserve">Civil works needed for installation of other external services </t>
  </si>
  <si>
    <t>Boundary Wall and Gates</t>
  </si>
  <si>
    <t>3.9.1</t>
  </si>
  <si>
    <t xml:space="preserve">Boundary walls around entire substation plot perimeter as described in the Scope of Work  </t>
  </si>
  <si>
    <t>Included in BOQ item 3.9</t>
  </si>
  <si>
    <t>3.9.2</t>
  </si>
  <si>
    <t>Main entrance gate,  personnel gate</t>
  </si>
  <si>
    <t>3.9.3</t>
  </si>
  <si>
    <t xml:space="preserve">Security copings and boundary lighting </t>
  </si>
  <si>
    <t>Substation Access Road</t>
  </si>
  <si>
    <t>3.10.1</t>
  </si>
  <si>
    <t xml:space="preserve">External access road shall be asphalt road as per approved drawings including different layers as detailed in ADM/TAQA/ADDC Standard Specifications. </t>
  </si>
  <si>
    <t>m</t>
  </si>
  <si>
    <t>3.10.2</t>
  </si>
  <si>
    <t>External street lighting including light poles, lighting fixtures, cables, distribution panels and RC footings as per approved drawings.</t>
  </si>
  <si>
    <t>Substation Drainage System</t>
  </si>
  <si>
    <t>3.11.1</t>
  </si>
  <si>
    <t>Surface storm water drainage system as described in Scope of Work</t>
  </si>
  <si>
    <t>Included in BOQ item 3.11</t>
  </si>
  <si>
    <t>3.11.2</t>
  </si>
  <si>
    <t>Soak pits for storm water drainage system</t>
  </si>
  <si>
    <t>3.11.3</t>
  </si>
  <si>
    <t xml:space="preserve">Construction of substation drainage system as described in the Scope of Work </t>
  </si>
  <si>
    <t>3.11.4</t>
  </si>
  <si>
    <t>Septic tank and soak away (Optional item)</t>
  </si>
  <si>
    <t>Plumbing and Sanitary Works</t>
  </si>
  <si>
    <t>3.12.1</t>
  </si>
  <si>
    <t>Complete water supply systems with sanitary ware for one toilet room as detailed in the Scope of Work</t>
  </si>
  <si>
    <t>Included in BOQ item 3.12</t>
  </si>
  <si>
    <t>3.12.2</t>
  </si>
  <si>
    <t>Stainless steel wash basin with eye wash facility for the battery room including all water supply pipes, valves, tanks and pumps etc.</t>
  </si>
  <si>
    <t>Fire Pump Room</t>
  </si>
  <si>
    <t>3.13.1</t>
  </si>
  <si>
    <t>Included in BOQ item 3.13</t>
  </si>
  <si>
    <t>3.13.2</t>
  </si>
  <si>
    <t>3.13.3</t>
  </si>
  <si>
    <t>3.13.4</t>
  </si>
  <si>
    <t>3.13.5</t>
  </si>
  <si>
    <t>Masonry, steel works and finishing works</t>
  </si>
  <si>
    <t>3.13.6</t>
  </si>
  <si>
    <t>Construction of foundations for diesel driven and electric fire water pumps, jockey pumps, expansion tanks and control panels, etc.</t>
  </si>
  <si>
    <t>3.13.7</t>
  </si>
  <si>
    <t>3.13.8</t>
  </si>
  <si>
    <t>Supply and installation of Aluminium window including all accessories and finishing works.</t>
  </si>
  <si>
    <t>Fire Water Tank</t>
  </si>
  <si>
    <t>3.14.1</t>
  </si>
  <si>
    <t>Reinforced concrete foundation of any type and substructure works  including all necessary protection and waterproofing works</t>
  </si>
  <si>
    <t>Included in BOQ item 3.14</t>
  </si>
  <si>
    <t>3.14.2</t>
  </si>
  <si>
    <t>3.14.3</t>
  </si>
  <si>
    <t>Steel works and finishing works</t>
  </si>
  <si>
    <t>3.14.4</t>
  </si>
  <si>
    <t>Building services and supporting civil works.</t>
  </si>
  <si>
    <t>Waste Water / Oil Collection Tank, Manholes and Piping</t>
  </si>
  <si>
    <t>3.15.1</t>
  </si>
  <si>
    <t xml:space="preserve">Tank foundation and reinforced concrete structure </t>
  </si>
  <si>
    <t>Included in BOQ item 3.15</t>
  </si>
  <si>
    <t>3.15.2</t>
  </si>
  <si>
    <t>Tank finishing works</t>
  </si>
  <si>
    <t>3.15.3</t>
  </si>
  <si>
    <t>Manholes and piping</t>
  </si>
  <si>
    <t>Substation Lighting and Small Power</t>
  </si>
  <si>
    <t>3.16.1</t>
  </si>
  <si>
    <t>Supply, Installation &amp; Comissioning of Indoor lighting systems including wiring, lamps, sockets, illuminated push buttons, etc. in line with SOW.</t>
  </si>
  <si>
    <t>Included in BOQ item 3.16</t>
  </si>
  <si>
    <t>3.16.2</t>
  </si>
  <si>
    <t>Supply, Installation &amp; Comissioning of Outdoor lighting systems including distribution boxes, wiring, lamps, flood lights, sockets, switches, etc. in line with SOW.</t>
  </si>
  <si>
    <t>3.16.3</t>
  </si>
  <si>
    <t>Supply, Installation &amp; Comissioning of Indoor and outdoor emergency lighting systems, including emergency exit lights, wiring, lamps, etc. in line with SOW.</t>
  </si>
  <si>
    <t>3.16.4</t>
  </si>
  <si>
    <t>Supply, installation and Comissioning of 400/230V AC Distributions system (Power DB, Lighting DB including PV sensor and timer for outdoor lighting, Cubicle Lighting and heater DB) to provide necessary supply voltages for station auxiliaries in line with SOW &amp; ADDC specifications.</t>
  </si>
  <si>
    <t>3.16.5</t>
  </si>
  <si>
    <t>Supply, installation and Comissioning of 110V DC Emergency lighting distribution system (ELDB) to be fed from 110V DCDB-1 and DCDB-2 in line with SOW &amp; ADDC specifications.</t>
  </si>
  <si>
    <t>Cable Trays &amp; Cable End support</t>
  </si>
  <si>
    <t>3.17.1</t>
  </si>
  <si>
    <t>Supply and installation all necessary cable trays and supports</t>
  </si>
  <si>
    <t>Included in BOQ item 3.17</t>
  </si>
  <si>
    <t>3.17.2</t>
  </si>
  <si>
    <t>Supply and Installation of fire and mechanical water sealant in cable entry duct and application of fire sealant in the SWGR cable entry for all the types of cables including spare ducts in new 33/11kV Primaries in line with SOW and TAQA/ADDC specifications and requirements.</t>
  </si>
  <si>
    <t>Optional Item</t>
  </si>
  <si>
    <t xml:space="preserve">Construction of Pile foundation (if required)
Necessary pile foundations including pile caps/ raft on pile with all necessary protection and waterproofing works shall be considered for the foundations of the following structures: </t>
  </si>
  <si>
    <t>3.18.1</t>
  </si>
  <si>
    <t>Extra over item no. 3.3.3</t>
  </si>
  <si>
    <t>Included in BOQ item 3.18</t>
  </si>
  <si>
    <t>3.18.2</t>
  </si>
  <si>
    <t>Extra over item no. 3.4.1 &amp; 3.5.1</t>
  </si>
  <si>
    <t>3.18.3</t>
  </si>
  <si>
    <t>Extra over item no. 3.6.1</t>
  </si>
  <si>
    <t>3.18.4</t>
  </si>
  <si>
    <t>Extra over item no. 3.13.1</t>
  </si>
  <si>
    <t>3.18.5</t>
  </si>
  <si>
    <t>Extra over item no. 3.14.1</t>
  </si>
  <si>
    <t>Item-3 Sub Total  - Civil Works for new 33/11 kV Primary Substation Building</t>
  </si>
  <si>
    <t>Item - 1</t>
  </si>
  <si>
    <t>Item - 2</t>
  </si>
  <si>
    <t>Item - 3</t>
  </si>
  <si>
    <t>GRAND TOTAL of Items-1,2,3 Works (Prices)</t>
  </si>
  <si>
    <t>Interconnecting Cables between Grid Station and the new Primary Substation and Load Diversion works</t>
  </si>
  <si>
    <t>General Project requirements: Route Survey - NO BOQ Items</t>
  </si>
  <si>
    <t>Scope shall include the following for 33 kV cables and its accessories in line with enclosed SOW, tender specifications and drawings shall be provided</t>
  </si>
  <si>
    <t>4.2.1</t>
  </si>
  <si>
    <t>Collection from ADDC store, Installation, Testing &amp; Commisioning of 33kV, 3Cx400sq.mm XLPE, Al. cable from 33kV switchgear of Primary Substation to pick-up point.</t>
  </si>
  <si>
    <t>4.2.2</t>
  </si>
  <si>
    <t>Installation, Testing &amp; Commisioning of 33kV plug-in type cable-end termination (33kV SWGR in new Primary substation) for 3Cx400sq.mm XLPE, Al. Cable, including all accessories in line with SOW.</t>
  </si>
  <si>
    <t>4.2.3</t>
  </si>
  <si>
    <t>Collection from ADDC store, Installation, Testing &amp; Commisioning of 33 kV cable straight through joint (aluminium and aluminium cable) for 3Cx400 Sq.mm, Al XLPE, armoured cable and as per Technical Specification in line with SOW.</t>
  </si>
  <si>
    <t>4.2.4</t>
  </si>
  <si>
    <t>Collection from ADDC store, Installation, Testing &amp; Commisioning of 33 kV cable straight through transition joint (aluminium and copper cable) for 3Cx400 Sq.mm, Al XLPE, armoured cable with existing Cu. XLPE, armoured cable and as per Technical Specification in line with SOW.</t>
  </si>
  <si>
    <t>4.2.5</t>
  </si>
  <si>
    <t>Supply, Installation, Testing &amp; Commissioning of 33kV  Conventional-type cable-end termination (33kV Terminal Tower) for 3Cx400sq.mm XLPE, Al. Cable, including all accessories in line with SOW.</t>
  </si>
  <si>
    <t>Scope shall include the following for 11 kV cables and its accessories in line with enclosed SOW, tender specifications and drawings shall be provided</t>
  </si>
  <si>
    <t>4.3.1</t>
  </si>
  <si>
    <t xml:space="preserve">Collection from ADDC store, Installation, Testing &amp; Commisioning of 11kV, 3Cx400sq.mm XLPE, Al. cable for interconnections between 11kV switchgear of each Primary Substation to pick-up point </t>
  </si>
  <si>
    <t>4.3.2</t>
  </si>
  <si>
    <t>Installation, Testing &amp; Commisioning of 11kV conventional-type cable-end termination (11kV SWGR in new Primary Substation) for 3Cx400sq.mm XLPE, Al. Cable, including all accessories in line with SOW.</t>
  </si>
  <si>
    <t>4.3.3</t>
  </si>
  <si>
    <t>Collection from ADDC store, Installation, Testing &amp; Commisioning of 11kV conventional-type bi-metallic cable-end termination (downstream 11kV RMU/SWGR) for 3Cx400sq.mm XLPE, Al. Cable, including all accessories in line with SOW.</t>
  </si>
  <si>
    <t>4.3.4</t>
  </si>
  <si>
    <t>Collection from ADDC store, Installation, Testing &amp; Commisioning of 11 kV cable straight through joint (aluminium and aluminium cable) for 3Cx400 Sq.mm, Al XLPE, armoured cable and as per Technical Specification in line with SOW.</t>
  </si>
  <si>
    <t>4.3.5</t>
  </si>
  <si>
    <t>Collection from ADDC store, Installation, Testing &amp; Commisioning of 11 kV cable straight through transition joint (aluminium and copper cable) for 3Cx400 Sq.mm, Al XLPE, armoured cable with existing 3Cx400 Sq.mm, Cu XLPE, armoured cable and as per Technical Specification in line with SOW.</t>
  </si>
  <si>
    <t>Pilot wire</t>
  </si>
  <si>
    <t>Scope shall include the following for Pilot wire and its accessories in line with enclosed SOW, tender specifications and drawings shall be provided</t>
  </si>
  <si>
    <t>4.4.1</t>
  </si>
  <si>
    <t>Collection from ADDC store (free issue), Installation, Testing &amp; Commissioning of Armoured Pilot wire for communcation and protection purpose in line with SOW.</t>
  </si>
  <si>
    <t>4.4.2</t>
  </si>
  <si>
    <t>Supply, Installation, Testing &amp; Commissioning of Pilot wire end joint including all accessories for conneting new pilot wire with existing pilot wire in line with SOW.</t>
  </si>
  <si>
    <t>4.4.3</t>
  </si>
  <si>
    <t>Supply, Installation of Pilot wire termination box including all accessories in line with SOW &amp; ADDC requirements</t>
  </si>
  <si>
    <t>4.4.4</t>
  </si>
  <si>
    <t>Supply, Installation of Pilot wire to FO cable convertor box including all accessories in line ADDC requirements</t>
  </si>
  <si>
    <t>Fibre Optic (FO) Cables and Accessories</t>
  </si>
  <si>
    <t>4.5.1</t>
  </si>
  <si>
    <t>Supply, Installation, Testing &amp; Commisioning of Floor mounted panel suitable for termination of Two (2) of fibre optic cable and FO patch cards including two (2) termination head racks complete at new 33/11kV Primary Substation including all accessories in line ADDC requirements</t>
  </si>
  <si>
    <t>4.5.2</t>
  </si>
  <si>
    <t>Supply, Installation, Testing &amp; Commisioning of New Wall mounted fiber optic termination box complete with suitable for termination of 32-core FOC at remote end substation including all accessories in line ADDC requirements</t>
  </si>
  <si>
    <t>Civil Works for External cable laying works</t>
  </si>
  <si>
    <t>The scope of work of this item covers the engineering, design, execution, commissioning and warranty services for all civil works related to the installation of the 33kV cables, 11kV and pilot cables specified for the new 33/11kV Primary substation in line with Scope of Work- NO BOQ Items</t>
  </si>
  <si>
    <t>Excavate trench of appropriate width and depth as per ADDC Specification including dewatering, in ground of any nature, in any formation for multiple HV &amp;  pilot cable laying in the same trench, backfill the same including sand bedding and reinstate.</t>
  </si>
  <si>
    <t>m3</t>
  </si>
  <si>
    <t>4.7.1</t>
  </si>
  <si>
    <t>Excavate trench of appropriate width and depth in Green area as per ADDC Specification including dewatering, in ground of any nature, in any formation for  multiple HV &amp; pilot cable laying in the same trench, backfill the same including sand bedding and reinstate.</t>
  </si>
  <si>
    <t>Earthing materials for Power &amp; pilot cables, cable tray &amp; cable supports</t>
  </si>
  <si>
    <t>Supply and laying of LDPE-Recycled (Low Density Poly Ethylene with dimension of 1000 x 250 x 6 mm cable covering protective tiles for 33kV, 11kV power &amp; pilot cable as per TAQA/ADDC Technical Specification in line with SOW.</t>
  </si>
  <si>
    <t>Warning tape, 300 mm width and 150 microns thick, along the cable in trench for 33kV, 11kV cables &amp; pilot cable and as per Technical Specification in line with SOW.</t>
  </si>
  <si>
    <t xml:space="preserve">Cable route &amp; joint marker </t>
  </si>
  <si>
    <t>4.11.1</t>
  </si>
  <si>
    <t>Cable Route marker (type-2) along the cable in trench for 33kV &amp; 11kV power cable and as per Technical Specification</t>
  </si>
  <si>
    <t>4.11.2</t>
  </si>
  <si>
    <t>Cable Joint marker (type-2) along the cable in trench for 33kV &amp; 11kV power cable and as per Technical Specification</t>
  </si>
  <si>
    <t>Provide road crossing 200mm ID with minimum wall thickness 5mm, by concrete duct bank at specified location including supply of HDPE Pipes as per municipality relevant public work department specification, including soil investigation tests, new fees payable to municipality or testing agency for necessary tests.</t>
  </si>
  <si>
    <t>4.12.1</t>
  </si>
  <si>
    <t>2 WAY ( 2 nos 200mm ID)</t>
  </si>
  <si>
    <t>4.12.2</t>
  </si>
  <si>
    <t>4 WAY ( 4 nos 200mm ID)</t>
  </si>
  <si>
    <t>4.12.3</t>
  </si>
  <si>
    <t>6 WAY  ( 6 nos 200mm ID)</t>
  </si>
  <si>
    <t>4.12.4</t>
  </si>
  <si>
    <t>8 WAY  ( 8 nos 200mm ID)</t>
  </si>
  <si>
    <t>4.12.5</t>
  </si>
  <si>
    <t>10 WAY  ( 10 nos 200mm ID)</t>
  </si>
  <si>
    <t>Provide road crossing 200mm ID by NDRC at specified location including supply of HDPE Pipes as per municipality relevant public work department specification, including soil investigation tests, new fees payable to municipality or testing agency for necessary tests.</t>
  </si>
  <si>
    <t>4.13.1</t>
  </si>
  <si>
    <t>1 WAY ( 1 no. 200mm ID)</t>
  </si>
  <si>
    <t>4.13.2</t>
  </si>
  <si>
    <t>2 WAY ( 2 nos. 200mm ID)</t>
  </si>
  <si>
    <t>4.13.3</t>
  </si>
  <si>
    <t>4 WAY ( 4 nos. 200mm ID)</t>
  </si>
  <si>
    <t>4.13.4</t>
  </si>
  <si>
    <t>6 WAY  ( 6 nos. 200mm ID)</t>
  </si>
  <si>
    <t>4.13.5</t>
  </si>
  <si>
    <t>8 WAY  ( 8 nos. 200mm ID)</t>
  </si>
  <si>
    <t>Asphalt breaking and reinstatement in paved areas including base course and wearing surface as per the scope of work.</t>
  </si>
  <si>
    <t>4.14.1</t>
  </si>
  <si>
    <t>Up to 15 cm thick</t>
  </si>
  <si>
    <t>m²</t>
  </si>
  <si>
    <t>4.14.2</t>
  </si>
  <si>
    <t>Above 15 cm thick Up to 40 cm thick.</t>
  </si>
  <si>
    <r>
      <t>Removal and reinstatement of all types of tiles as per the scope of work.</t>
    </r>
    <r>
      <rPr>
        <sz val="14"/>
        <color indexed="10"/>
        <rFont val="Times New Roman"/>
        <family val="1"/>
      </rPr>
      <t/>
    </r>
  </si>
  <si>
    <t>4.15.1</t>
  </si>
  <si>
    <t>Curbstone tiles</t>
  </si>
  <si>
    <t>4.15.2</t>
  </si>
  <si>
    <t>Interlocking colored pre-cast paving blocks</t>
  </si>
  <si>
    <t>4.15.3</t>
  </si>
  <si>
    <t>Ceramic</t>
  </si>
  <si>
    <t>Supply and Installation of bentonite slurry mixture in cable duct of 200 mm ID for cable installation and as per Technical Specification.</t>
  </si>
  <si>
    <t>Recovery of any underground existing cables including disconnection from the equipment, roll the cable in drum and return to ADDC Stores</t>
  </si>
  <si>
    <t>Item-4 Sub Total  - Interconnecting Cables between Grid Station and the new Primary Substation and Load Diversion works</t>
  </si>
  <si>
    <t>Item - 4</t>
  </si>
  <si>
    <t>GRAND TOTAL of Items-4 Works (Prices)</t>
  </si>
  <si>
    <t>Dismantling, Decommissioning &amp; Demolition Works of existing old 33/11kV primary substation (SHBPRY)</t>
  </si>
  <si>
    <t>Decommissioning,  Dismantling, Demolish, Packing and handing over safely of all the existing substation equipment and materials to ADDC stores as per standard ADDC procedure in line with Scope of Work.</t>
  </si>
  <si>
    <t>Dismantling &amp; Decommissioning Works of old 2 nos. Package Units  (SHBPRY2 &amp; SHBPRY3)</t>
  </si>
  <si>
    <t>Scope of work shall include the existing SHBPRY2 &amp; SHBPRY3 old package units, Decommissioning,  Dismantling, Packing and handing over safely of the existing package unit and its equipment and materials to ADDC stores as per standard ADDC procedure in line with Scope of Work.</t>
  </si>
  <si>
    <t>33kV OHL Modification works for SHBPRY</t>
  </si>
  <si>
    <t>The scope of work of this item covers the engineering, design, execution, commissioning and warranty services for all electrical and civil works related to necessary OHL modification works as part of 33kV OHL modification and diversion works for SHBPRY.</t>
  </si>
  <si>
    <t>Supply, Installation, Testing and Commissioning of 33kV OHL terminal tower double circuit including all accessories as detailed in SOW for proposed termination of proposed 33kV, 3Cx400sq.mm Al. XLPE cables with existing conductor as per relevant Technical Specification. Refer to network diagram for installation and modification in line with SOW.</t>
  </si>
  <si>
    <t>Dismantling &amp; Decommissioning of existing 33kV OHL line including Tower / Conductor and Handover To ADDC Store (after successful diversion to new proposed SHBPRY as per tender documents in line with SOW)</t>
  </si>
  <si>
    <t>M</t>
  </si>
  <si>
    <t>Item-7 Sub Total  - 33kV OHL Modification works for SHBPRY</t>
  </si>
  <si>
    <t>Shifting of existing 11kV TRM (GIS name: OKH12) to a location near existing TRM (DHS08) to connect Radial Transformer (SHB02) into a ring feeder</t>
  </si>
  <si>
    <t>The scope of work comprises of the shifting, Installation, testing and commissioning of existing 11kV TRM including all necessary cable terminations as per standard ADDC procedure in line with Scope of Work.</t>
  </si>
  <si>
    <t>Item - 5</t>
  </si>
  <si>
    <t>Item - 6</t>
  </si>
  <si>
    <t>Item - 7</t>
  </si>
  <si>
    <t>Item - 8</t>
  </si>
  <si>
    <t>GRAND TOTAL of Items-5, 6, 7, 8 Works (Prices)</t>
  </si>
  <si>
    <t>Spare Parts &amp; Tools (Optional)</t>
  </si>
  <si>
    <t>33kV Switchgear (GIS)</t>
  </si>
  <si>
    <t>9.1.1</t>
  </si>
  <si>
    <t>Complete circuit breaker unit(s) of each rating/type supplied , including operation mechansium</t>
  </si>
  <si>
    <t>Set</t>
  </si>
  <si>
    <t>9.1.2</t>
  </si>
  <si>
    <t>Auxiliary switch</t>
  </si>
  <si>
    <t>No.</t>
  </si>
  <si>
    <t>9.1.3</t>
  </si>
  <si>
    <t>Spring tensioning motor</t>
  </si>
  <si>
    <t>9.1.4</t>
  </si>
  <si>
    <t>Closing/trip solenoid coils</t>
  </si>
  <si>
    <t>9.1.5</t>
  </si>
  <si>
    <t>9.1.6</t>
  </si>
  <si>
    <t>9.1.7</t>
  </si>
  <si>
    <t>Complete VT disconnector switch with main operating mechanism</t>
  </si>
  <si>
    <t>9.1.8</t>
  </si>
  <si>
    <t>Auxiliary switch for disconnector/earth switch</t>
  </si>
  <si>
    <t>9.1.9</t>
  </si>
  <si>
    <t>Motor for disconnector/earth switch</t>
  </si>
  <si>
    <t>9.1.10</t>
  </si>
  <si>
    <t>9.1.11</t>
  </si>
  <si>
    <t>Complete Voltage transformer (3-Phase)</t>
  </si>
  <si>
    <t>9.1.12</t>
  </si>
  <si>
    <t>Complete CT (3-Phase one of each type)</t>
  </si>
  <si>
    <t>L.S</t>
  </si>
  <si>
    <t>9.1.13</t>
  </si>
  <si>
    <t>CB Operating counter</t>
  </si>
  <si>
    <t>9.1.14</t>
  </si>
  <si>
    <t>MCB one of each type</t>
  </si>
  <si>
    <t>9.1.15</t>
  </si>
  <si>
    <t>HV Cable test plug</t>
  </si>
  <si>
    <t>9.1.16</t>
  </si>
  <si>
    <t>Set of switches, contactors, auxiliary relays, contactors, timer, meters (one of each type)</t>
  </si>
  <si>
    <t>9.1.17</t>
  </si>
  <si>
    <t>Maintenance tools and accessories as required</t>
  </si>
  <si>
    <t>Item-9.1 Sub Total</t>
  </si>
  <si>
    <t>11kV Switchgear (AIS)</t>
  </si>
  <si>
    <t>9.2.1</t>
  </si>
  <si>
    <t>9.2.2</t>
  </si>
  <si>
    <t>Circuit breaker truck(s) of each rating/type supplied, including operating mechanism</t>
  </si>
  <si>
    <t>9.2.3</t>
  </si>
  <si>
    <t>Feeder isolator/earting switch(s) of each rating/type supplied</t>
  </si>
  <si>
    <t>9.2.4</t>
  </si>
  <si>
    <t>Current transformer (3-Phase one of each type)</t>
  </si>
  <si>
    <t>9.2.5</t>
  </si>
  <si>
    <t>Voltage transformer of each type (3-Phase)</t>
  </si>
  <si>
    <t>9.2.6</t>
  </si>
  <si>
    <t>Motors of each type supplied</t>
  </si>
  <si>
    <t>9.2.7</t>
  </si>
  <si>
    <t>Trip coil, fuses, aux. relays and contactors, etc.</t>
  </si>
  <si>
    <t>9.2.8</t>
  </si>
  <si>
    <t>Cable Live Indicator</t>
  </si>
  <si>
    <t>Item-9.2 Sub Total</t>
  </si>
  <si>
    <r>
      <t xml:space="preserve">Power Transformers 20 MVA
</t>
    </r>
    <r>
      <rPr>
        <sz val="14"/>
        <rFont val="Times New Roman"/>
        <family val="1"/>
      </rPr>
      <t>Note: for each of the above (to be reproduced as applicable)</t>
    </r>
  </si>
  <si>
    <t>9.3.1</t>
  </si>
  <si>
    <t xml:space="preserve">Complete bushing </t>
  </si>
  <si>
    <t>9.3.2</t>
  </si>
  <si>
    <t xml:space="preserve">Post insulator </t>
  </si>
  <si>
    <t>9.3.3</t>
  </si>
  <si>
    <t xml:space="preserve">Temperature monitor </t>
  </si>
  <si>
    <t>9.3.4</t>
  </si>
  <si>
    <t xml:space="preserve">Thermometer </t>
  </si>
  <si>
    <t>9.3.5</t>
  </si>
  <si>
    <t>Oil level gauge</t>
  </si>
  <si>
    <t>9.3.6</t>
  </si>
  <si>
    <t xml:space="preserve">Step position transmitter </t>
  </si>
  <si>
    <t>9.3.7</t>
  </si>
  <si>
    <t xml:space="preserve">Transducer (4-20mA) </t>
  </si>
  <si>
    <t>9.3.8</t>
  </si>
  <si>
    <t xml:space="preserve">Diode matrix </t>
  </si>
  <si>
    <t>9.3.9</t>
  </si>
  <si>
    <t>Gas sampling device</t>
  </si>
  <si>
    <t>9.3.10</t>
  </si>
  <si>
    <t xml:space="preserve">Pressure relieve device </t>
  </si>
  <si>
    <t>9.3.11</t>
  </si>
  <si>
    <t>9.3.12</t>
  </si>
  <si>
    <t>9.3.13</t>
  </si>
  <si>
    <t xml:space="preserve">Oil sampling adapter (incl. hoses) </t>
  </si>
  <si>
    <t>9.3.14</t>
  </si>
  <si>
    <t>Piece of each type mcb's, auxiliary relays, contactors, heaters, lamps, push but-tons and limit switches</t>
  </si>
  <si>
    <t>9.3.15</t>
  </si>
  <si>
    <t>9.3.16</t>
  </si>
  <si>
    <t>9.3.17</t>
  </si>
  <si>
    <t xml:space="preserve">Valve </t>
  </si>
  <si>
    <t>9.3.18</t>
  </si>
  <si>
    <t xml:space="preserve">Drainage and venting plug </t>
  </si>
  <si>
    <t>9.3.19</t>
  </si>
  <si>
    <t>Complete set of all seals and gaskets used</t>
  </si>
  <si>
    <t>9.3.20</t>
  </si>
  <si>
    <t xml:space="preserve">Silicagel breather </t>
  </si>
  <si>
    <t>9.3.21</t>
  </si>
  <si>
    <t>Universal spanner for operation of three-way cocks</t>
  </si>
  <si>
    <t>9.3.22</t>
  </si>
  <si>
    <t>Spanner for butterfly valves</t>
  </si>
  <si>
    <t>9.3.23</t>
  </si>
  <si>
    <t>Diverter switch spares such as moving contacts, arcing contacts, fixed contacts, current limiting resistors for tap changer</t>
  </si>
  <si>
    <t>9.3.24</t>
  </si>
  <si>
    <t xml:space="preserve">Driving gear mechanism with driving motor for tap changer </t>
  </si>
  <si>
    <t>9.3.25</t>
  </si>
  <si>
    <t>Special tools for tap changer inspection and maintenance incl. lifting device for diverter switch</t>
  </si>
  <si>
    <t>Item-9.3 Sub Total</t>
  </si>
  <si>
    <t>Capacitor Banks</t>
  </si>
  <si>
    <t>9.4.1</t>
  </si>
  <si>
    <t>Capacitors</t>
  </si>
  <si>
    <t>9.4.2</t>
  </si>
  <si>
    <t>Vacuum contactor</t>
  </si>
  <si>
    <t>9.4.3</t>
  </si>
  <si>
    <t>Fuses</t>
  </si>
  <si>
    <t>9.4.4</t>
  </si>
  <si>
    <t>Control/supervision spares consisting of one Relay/module (as applicable)</t>
  </si>
  <si>
    <t>Item-9.4 Sub Total</t>
  </si>
  <si>
    <t>Auxiliary Power Supply</t>
  </si>
  <si>
    <t>9.5.1</t>
  </si>
  <si>
    <t>Push button of each type used</t>
  </si>
  <si>
    <t>9.5.2</t>
  </si>
  <si>
    <t>Control/selector switch of each type used</t>
  </si>
  <si>
    <t>9.5.3</t>
  </si>
  <si>
    <t>Position indicator of each type used</t>
  </si>
  <si>
    <t>9.5.4</t>
  </si>
  <si>
    <t>Set of 20 lamps of each type used</t>
  </si>
  <si>
    <t>9.5.5</t>
  </si>
  <si>
    <t>Auxilliary relay and aux. contactor of each type used</t>
  </si>
  <si>
    <t>9.5.6</t>
  </si>
  <si>
    <t>PCB of each type used (battery charger)</t>
  </si>
  <si>
    <t>9.5.7</t>
  </si>
  <si>
    <t>Alarm annunciation device of each type used</t>
  </si>
  <si>
    <t>9.5.8</t>
  </si>
  <si>
    <t>10% of the total no. of battery cells</t>
  </si>
  <si>
    <t>9.5.9</t>
  </si>
  <si>
    <t>Complete maintenance tool box for batteries and rectifiers</t>
  </si>
  <si>
    <t>9.5.10</t>
  </si>
  <si>
    <t>MCB and MCCB of each type used</t>
  </si>
  <si>
    <t>9.5.11</t>
  </si>
  <si>
    <t>Set of 5 fuses of each type used</t>
  </si>
  <si>
    <t>9.5.12</t>
  </si>
  <si>
    <t>Time relay of each type used</t>
  </si>
  <si>
    <t>9.5.13</t>
  </si>
  <si>
    <t>Measuring/indicating instrument of each type used</t>
  </si>
  <si>
    <t>Item-9.5 Sub Total</t>
  </si>
  <si>
    <t>MV Protection</t>
  </si>
  <si>
    <t>9.6.1</t>
  </si>
  <si>
    <t>9.6.2</t>
  </si>
  <si>
    <t>9.6.3</t>
  </si>
  <si>
    <t>BCPU of each type used</t>
  </si>
  <si>
    <t>RTU Control System</t>
  </si>
  <si>
    <t>9.7.1</t>
  </si>
  <si>
    <t>RTU with CPU module/PCB board and Power Supply Unit (as applicable) one of each type</t>
  </si>
  <si>
    <t>9.7.2</t>
  </si>
  <si>
    <t>Operation/diagnostics/maintenance tools</t>
  </si>
  <si>
    <t>9.7.3</t>
  </si>
  <si>
    <t xml:space="preserve">RTU -Spare Terminals </t>
  </si>
  <si>
    <t>9.7.4</t>
  </si>
  <si>
    <t>Telecommunication Equipment</t>
  </si>
  <si>
    <t>9.8.1</t>
  </si>
  <si>
    <t>9.8.2</t>
  </si>
  <si>
    <t>Modem</t>
  </si>
  <si>
    <t>9.8.3</t>
  </si>
  <si>
    <t>9.8.4</t>
  </si>
  <si>
    <t>Item-9.6, 9.7, 9.8 Sub Total</t>
  </si>
  <si>
    <t>Fire Alarm &amp; Fire Fighting Equipment</t>
  </si>
  <si>
    <t>9.9.1</t>
  </si>
  <si>
    <t>10% (minimum 1No.) fire alarm control panel-P.C.B.Cards</t>
  </si>
  <si>
    <t>9.9.2</t>
  </si>
  <si>
    <t>100% Fire alarm control panel - LED each color</t>
  </si>
  <si>
    <t>9.9.3</t>
  </si>
  <si>
    <t>100 % annucuator Panel -LED,Each color.</t>
  </si>
  <si>
    <t>9.9.4</t>
  </si>
  <si>
    <t>Fuses of each type for fire alarm control panel</t>
  </si>
  <si>
    <t>9.9.5</t>
  </si>
  <si>
    <t>10% smoke detector of each type</t>
  </si>
  <si>
    <t>9.9.6</t>
  </si>
  <si>
    <t>10% heat detector</t>
  </si>
  <si>
    <t>9.9.7</t>
  </si>
  <si>
    <t>Remote detector indicator</t>
  </si>
  <si>
    <t>9.9.8</t>
  </si>
  <si>
    <t>Flash light</t>
  </si>
  <si>
    <t>No</t>
  </si>
  <si>
    <t>9.9.9</t>
  </si>
  <si>
    <t>Alarm Horn</t>
  </si>
  <si>
    <t>9.9.10</t>
  </si>
  <si>
    <t>Push button - manual release</t>
  </si>
  <si>
    <t>9.9.11</t>
  </si>
  <si>
    <t>Push button - break glass</t>
  </si>
  <si>
    <t>9.9.12</t>
  </si>
  <si>
    <t>Tank inlet float valve DN32</t>
  </si>
  <si>
    <t>9.9.13</t>
  </si>
  <si>
    <t xml:space="preserve">Inert Gas Lock off, status indicator </t>
  </si>
  <si>
    <t>9.9.14</t>
  </si>
  <si>
    <t>resistor</t>
  </si>
  <si>
    <t>9.9.15</t>
  </si>
  <si>
    <t>smoke detector tester</t>
  </si>
  <si>
    <t>9.9.16</t>
  </si>
  <si>
    <t>heat detector tester</t>
  </si>
  <si>
    <t>IG system</t>
  </si>
  <si>
    <t>9.9.17</t>
  </si>
  <si>
    <t>High pressure flexible hose</t>
  </si>
  <si>
    <t>9.9.18</t>
  </si>
  <si>
    <t>Solenoid Pilot Valve assembly</t>
  </si>
  <si>
    <t>9.9.19</t>
  </si>
  <si>
    <t xml:space="preserve">Solenoid  Valve </t>
  </si>
  <si>
    <t>9.9.20</t>
  </si>
  <si>
    <t>Pressure switch</t>
  </si>
  <si>
    <t>Water system</t>
  </si>
  <si>
    <t>9.9.21</t>
  </si>
  <si>
    <t>Fire pump - Bearings</t>
  </si>
  <si>
    <t>9.9.22</t>
  </si>
  <si>
    <t xml:space="preserve">Fire pump - "O" rings </t>
  </si>
  <si>
    <t>9.9.23</t>
  </si>
  <si>
    <t xml:space="preserve">Fire pump -  packing/gasket </t>
  </si>
  <si>
    <t>9.9.24</t>
  </si>
  <si>
    <t>Fire pump radial shaft seal</t>
  </si>
  <si>
    <t>9.9.25</t>
  </si>
  <si>
    <t>Fire pump- Lock washer</t>
  </si>
  <si>
    <t>9.9.26</t>
  </si>
  <si>
    <t>fire pump- bearing nut</t>
  </si>
  <si>
    <t>9.9.27</t>
  </si>
  <si>
    <t>Diesel engine - fuel filter</t>
  </si>
  <si>
    <t>9.9.28</t>
  </si>
  <si>
    <t>Diesel engine -pre fuel filter with seal</t>
  </si>
  <si>
    <t>9.9.29</t>
  </si>
  <si>
    <t>Q.B detectors</t>
  </si>
  <si>
    <t>9.9.30</t>
  </si>
  <si>
    <t>Sprinklers</t>
  </si>
  <si>
    <t>9.9.31</t>
  </si>
  <si>
    <t>Pressure gauge</t>
  </si>
  <si>
    <t>9.9.32</t>
  </si>
  <si>
    <t>9.9.33</t>
  </si>
  <si>
    <t>Isolating valve for Instruments</t>
  </si>
  <si>
    <t>Item-9.9 Sub Total</t>
  </si>
  <si>
    <t>9.10.1</t>
  </si>
  <si>
    <t>Air Flow Switch &amp; Pressure differential switch for filter (for each type)</t>
  </si>
  <si>
    <t>L.S.</t>
  </si>
  <si>
    <t>9.10.2</t>
  </si>
  <si>
    <t>Relays (for each type) for Control Panel</t>
  </si>
  <si>
    <t>9.10.3</t>
  </si>
  <si>
    <t>Control Panel Fuses (for each type)</t>
  </si>
  <si>
    <t>9.10.4</t>
  </si>
  <si>
    <t>Solenoid valve (for each type)</t>
  </si>
  <si>
    <t>9.10.5</t>
  </si>
  <si>
    <t>Compressor contactor  (for each type)</t>
  </si>
  <si>
    <t>9.10.6</t>
  </si>
  <si>
    <t>Crane case heater for Compressor</t>
  </si>
  <si>
    <t>9.10.7</t>
  </si>
  <si>
    <t>Fire Damper Actuator (for each type)</t>
  </si>
  <si>
    <t>9.10.8</t>
  </si>
  <si>
    <t>Fuse Holder for Control Panel</t>
  </si>
  <si>
    <t>9.10.9</t>
  </si>
  <si>
    <t>H.P/L.P/O.P Switch for condensing unit (for each type)</t>
  </si>
  <si>
    <t>9.10.10</t>
  </si>
  <si>
    <t>Lamps for Control Panel</t>
  </si>
  <si>
    <t>9.10.11</t>
  </si>
  <si>
    <t>Overhead relay for AHU motor (for each type)</t>
  </si>
  <si>
    <t>9.10.12</t>
  </si>
  <si>
    <t>Selector switch for Control Panel (for each type)</t>
  </si>
  <si>
    <t>9.10.13</t>
  </si>
  <si>
    <t>Time delay relay (condensing unit and control panel for each type)</t>
  </si>
  <si>
    <t>9.10.14</t>
  </si>
  <si>
    <t>PACU Blower Spare belt</t>
  </si>
  <si>
    <t>Item-9.10 Sub Total</t>
  </si>
  <si>
    <t>Item - 9</t>
  </si>
  <si>
    <t>GRAND TOTAL of Items-9 Works (Prices)</t>
  </si>
  <si>
    <r>
      <t>Transducers of each type (</t>
    </r>
    <r>
      <rPr>
        <b/>
        <sz val="14"/>
        <color rgb="FFFF0000"/>
        <rFont val="Times New Roman"/>
        <family val="1"/>
      </rPr>
      <t>Not Applicable</t>
    </r>
    <r>
      <rPr>
        <sz val="14"/>
        <rFont val="Times New Roman"/>
        <family val="1"/>
      </rPr>
      <t>)</t>
    </r>
  </si>
  <si>
    <r>
      <t>Serial optical convertor (</t>
    </r>
    <r>
      <rPr>
        <b/>
        <sz val="14"/>
        <color rgb="FFFF0000"/>
        <rFont val="Times New Roman"/>
        <family val="1"/>
      </rPr>
      <t>Not Applicable</t>
    </r>
    <r>
      <rPr>
        <sz val="14"/>
        <rFont val="Times New Roman"/>
        <family val="1"/>
      </rPr>
      <t>)</t>
    </r>
  </si>
  <si>
    <r>
      <t>MCB one of each type (</t>
    </r>
    <r>
      <rPr>
        <b/>
        <sz val="14"/>
        <color rgb="FFFF0000"/>
        <rFont val="Times New Roman"/>
        <family val="1"/>
      </rPr>
      <t>Not Applicable</t>
    </r>
    <r>
      <rPr>
        <sz val="14"/>
        <rFont val="Times New Roman"/>
        <family val="1"/>
      </rPr>
      <t>)</t>
    </r>
  </si>
  <si>
    <r>
      <t>Tool box including all tools required for maintenance and cable termination (</t>
    </r>
    <r>
      <rPr>
        <b/>
        <sz val="14"/>
        <color rgb="FFFF0000"/>
        <rFont val="Times New Roman"/>
        <family val="1"/>
      </rPr>
      <t>Not Applicable</t>
    </r>
    <r>
      <rPr>
        <sz val="14"/>
        <rFont val="Times New Roman"/>
        <family val="1"/>
      </rPr>
      <t>)</t>
    </r>
  </si>
  <si>
    <r>
      <t>Test plugs for each type of protection relay supplied (</t>
    </r>
    <r>
      <rPr>
        <b/>
        <sz val="14"/>
        <color rgb="FFFF0000"/>
        <rFont val="Times New Roman"/>
        <family val="1"/>
      </rPr>
      <t>Not Applicable</t>
    </r>
    <r>
      <rPr>
        <sz val="14"/>
        <rFont val="Times New Roman"/>
        <family val="1"/>
      </rPr>
      <t>)</t>
    </r>
  </si>
  <si>
    <r>
      <t>Relay/module (as applicable) of each type used for the equipment as used in this contract (</t>
    </r>
    <r>
      <rPr>
        <b/>
        <sz val="14"/>
        <color rgb="FFFF0000"/>
        <rFont val="Times New Roman"/>
        <family val="1"/>
      </rPr>
      <t>Not Applicable</t>
    </r>
    <r>
      <rPr>
        <sz val="14"/>
        <rFont val="Times New Roman"/>
        <family val="1"/>
      </rPr>
      <t>)</t>
    </r>
  </si>
  <si>
    <r>
      <t>Pressure relay (</t>
    </r>
    <r>
      <rPr>
        <b/>
        <sz val="14"/>
        <color rgb="FFFF0000"/>
        <rFont val="Times New Roman"/>
        <family val="1"/>
      </rPr>
      <t>Not Applicable</t>
    </r>
    <r>
      <rPr>
        <sz val="14"/>
        <rFont val="Times New Roman"/>
        <family val="1"/>
      </rPr>
      <t>)</t>
    </r>
  </si>
  <si>
    <r>
      <t>Oil flow relay (</t>
    </r>
    <r>
      <rPr>
        <b/>
        <sz val="14"/>
        <color rgb="FFFF0000"/>
        <rFont val="Times New Roman"/>
        <family val="1"/>
      </rPr>
      <t>Not Applicable</t>
    </r>
    <r>
      <rPr>
        <sz val="14"/>
        <rFont val="Times New Roman"/>
        <family val="1"/>
      </rPr>
      <t>)</t>
    </r>
  </si>
  <si>
    <r>
      <t>Spare coil for neutral-grounding reactors (</t>
    </r>
    <r>
      <rPr>
        <b/>
        <sz val="14"/>
        <color rgb="FFFF0000"/>
        <rFont val="Times New Roman"/>
        <family val="1"/>
      </rPr>
      <t>Not Applicable</t>
    </r>
    <r>
      <rPr>
        <sz val="14"/>
        <rFont val="Times New Roman"/>
        <family val="1"/>
      </rPr>
      <t>)</t>
    </r>
  </si>
  <si>
    <r>
      <t>Automatic oil dielectric test set suitable for testing up to 60kV and to different Standards (</t>
    </r>
    <r>
      <rPr>
        <b/>
        <sz val="14"/>
        <color rgb="FFFF0000"/>
        <rFont val="Times New Roman"/>
        <family val="1"/>
      </rPr>
      <t>Not Applicable</t>
    </r>
    <r>
      <rPr>
        <sz val="14"/>
        <rFont val="Times New Roman"/>
        <family val="1"/>
      </rPr>
      <t>)</t>
    </r>
  </si>
  <si>
    <r>
      <t>Complete busbar disconnector/earthing switch unit for each current rating with operating mechanism (</t>
    </r>
    <r>
      <rPr>
        <b/>
        <sz val="14"/>
        <color rgb="FFFF0000"/>
        <rFont val="Times New Roman"/>
        <family val="1"/>
      </rPr>
      <t>Not Applicable</t>
    </r>
    <r>
      <rPr>
        <sz val="14"/>
        <rFont val="Times New Roman"/>
        <family val="1"/>
      </rPr>
      <t>)</t>
    </r>
  </si>
  <si>
    <r>
      <t>Insulator-rod for disconnector/earthing switch of each type (</t>
    </r>
    <r>
      <rPr>
        <b/>
        <sz val="14"/>
        <color rgb="FFFF0000"/>
        <rFont val="Times New Roman"/>
        <family val="1"/>
      </rPr>
      <t>Not Applicable</t>
    </r>
    <r>
      <rPr>
        <sz val="14"/>
        <rFont val="Times New Roman"/>
        <family val="1"/>
      </rPr>
      <t>)</t>
    </r>
  </si>
  <si>
    <r>
      <t>Operating mechanism (</t>
    </r>
    <r>
      <rPr>
        <b/>
        <sz val="14"/>
        <color rgb="FFFF0000"/>
        <rFont val="Times New Roman"/>
        <family val="1"/>
      </rPr>
      <t>Not Applicable</t>
    </r>
    <r>
      <rPr>
        <sz val="14"/>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</si>
</sst>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0.0"/>
  </numFmts>
  <fonts count="19" x14ac:knownFonts="1">
    <font>
      <sz val="11"/>
      <color theme="1"/>
      <name val="Calibri"/>
      <family val="2"/>
      <charset val="1"/>
      <scheme val="minor"/>
    </font>
    <font>
      <sz val="10"/>
      <name val="Arial"/>
      <family val="2"/>
    </font>
    <font>
      <sz val="12"/>
      <name val="Times New Roman"/>
      <family val="1"/>
    </font>
    <font>
      <b/>
      <sz val="16"/>
      <name val="Times New Roman"/>
      <family val="1"/>
    </font>
    <font>
      <b/>
      <u/>
      <sz val="16"/>
      <name val="Times New Roman"/>
      <family val="1"/>
    </font>
    <font>
      <b/>
      <sz val="12"/>
      <name val="Times New Roman"/>
      <family val="1"/>
    </font>
    <font>
      <b/>
      <sz val="10.5"/>
      <name val="Times New Roman"/>
      <family val="1"/>
    </font>
    <font>
      <b/>
      <sz val="12"/>
      <color indexed="8"/>
      <name val="Times New Roman"/>
      <family val="1"/>
    </font>
    <font>
      <b/>
      <sz val="14"/>
      <name val="Times New Roman"/>
      <family val="1"/>
    </font>
    <font>
      <sz val="14"/>
      <name val="Times New Roman"/>
      <family val="1"/>
    </font>
    <font>
      <b/>
      <sz val="18"/>
      <name val="Times New Roman"/>
      <family val="1"/>
    </font>
    <font>
      <b/>
      <sz val="20"/>
      <name val="Times New Roman"/>
      <family val="1"/>
    </font>
    <font>
      <strike/>
      <sz val="14"/>
      <name val="Times New Roman"/>
      <family val="1"/>
    </font>
    <font>
      <u/>
      <sz val="14"/>
      <name val="Times New Roman"/>
      <family val="1"/>
    </font>
    <font>
      <sz val="11"/>
      <color theme="1"/>
      <name val="Calibri"/>
      <family val="2"/>
      <scheme val="minor"/>
    </font>
    <font>
      <sz val="14"/>
      <color rgb="FFFF0000"/>
      <name val="Times New Roman"/>
      <family val="1"/>
    </font>
    <font>
      <sz val="16"/>
      <name val="Times New Roman"/>
      <family val="1"/>
    </font>
    <font>
      <sz val="14"/>
      <color indexed="10"/>
      <name val="Times New Roman"/>
      <family val="1"/>
    </font>
    <font>
      <b/>
      <sz val="14"/>
      <color rgb="FFFF0000"/>
      <name val="Times New Roman"/>
      <family val="1"/>
    </font>
  </fonts>
  <fills count="6">
    <fill>
      <patternFill patternType="none"/>
    </fill>
    <fill>
      <patternFill patternType="gray125"/>
    </fill>
    <fill>
      <patternFill patternType="solid">
        <fgColor theme="0" tint="-0.14999847407452621"/>
        <bgColor indexed="64"/>
      </patternFill>
    </fill>
    <fill>
      <patternFill patternType="solid">
        <fgColor indexed="9"/>
        <bgColor indexed="24"/>
      </patternFill>
    </fill>
    <fill>
      <patternFill patternType="solid">
        <fgColor theme="0" tint="-0.249977111117893"/>
        <bgColor indexed="64"/>
      </patternFill>
    </fill>
    <fill>
      <patternFill patternType="solid">
        <fgColor theme="0" tint="-0.34998626667073579"/>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1">
    <xf numFmtId="0" fontId="0" fillId="0" borderId="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4" fillId="0" borderId="0"/>
    <xf numFmtId="0" fontId="1" fillId="0" borderId="0"/>
  </cellStyleXfs>
  <cellXfs count="234">
    <xf numFmtId="0" fontId="0" fillId="0" borderId="0" xfId="0"/>
    <xf numFmtId="0" fontId="2" fillId="0" borderId="0" xfId="1" applyFont="1" applyAlignment="1">
      <alignment horizontal="centerContinuous" vertical="center"/>
    </xf>
    <xf numFmtId="0" fontId="2" fillId="0" borderId="0" xfId="1" applyFont="1" applyAlignment="1" applyProtection="1">
      <alignment horizontal="centerContinuous" vertical="center"/>
      <protection locked="0"/>
    </xf>
    <xf numFmtId="0" fontId="2" fillId="0" borderId="0" xfId="1" applyFont="1" applyProtection="1">
      <protection locked="0"/>
    </xf>
    <xf numFmtId="0" fontId="5" fillId="0" borderId="0" xfId="1" applyFont="1" applyAlignment="1" applyProtection="1">
      <alignment vertical="center"/>
      <protection locked="0"/>
    </xf>
    <xf numFmtId="0" fontId="5" fillId="0" borderId="0" xfId="1" applyFont="1" applyAlignment="1">
      <alignment horizontal="right" vertical="center"/>
    </xf>
    <xf numFmtId="0" fontId="5" fillId="0" borderId="0" xfId="1" applyFont="1" applyAlignment="1">
      <alignment horizontal="left"/>
    </xf>
    <xf numFmtId="0" fontId="2" fillId="0" borderId="0" xfId="1" applyFont="1"/>
    <xf numFmtId="0" fontId="5" fillId="2" borderId="5" xfId="1" applyFont="1" applyFill="1" applyBorder="1" applyAlignment="1">
      <alignment horizontal="center" vertical="center"/>
    </xf>
    <xf numFmtId="0" fontId="5" fillId="0" borderId="4" xfId="1" applyFont="1" applyBorder="1" applyAlignment="1">
      <alignment horizontal="center" vertical="center"/>
    </xf>
    <xf numFmtId="0" fontId="5" fillId="0" borderId="4" xfId="1" applyFont="1" applyBorder="1" applyAlignment="1">
      <alignment vertical="center" wrapText="1"/>
    </xf>
    <xf numFmtId="43" fontId="2" fillId="0" borderId="4" xfId="2" applyNumberFormat="1" applyFont="1" applyFill="1" applyBorder="1" applyAlignment="1" applyProtection="1">
      <alignment horizontal="center" vertical="center"/>
    </xf>
    <xf numFmtId="0" fontId="5" fillId="2" borderId="4" xfId="1" applyFont="1" applyFill="1" applyBorder="1" applyAlignment="1">
      <alignment horizontal="center" vertical="center" wrapText="1"/>
    </xf>
    <xf numFmtId="0" fontId="5" fillId="2" borderId="4" xfId="1" applyFont="1" applyFill="1" applyBorder="1" applyAlignment="1">
      <alignment horizontal="center" vertical="center"/>
    </xf>
    <xf numFmtId="43" fontId="5" fillId="2" borderId="4" xfId="1" applyNumberFormat="1" applyFont="1" applyFill="1" applyBorder="1" applyAlignment="1">
      <alignment horizontal="center" vertical="center"/>
    </xf>
    <xf numFmtId="0" fontId="6" fillId="0" borderId="0" xfId="1" applyFont="1" applyAlignment="1" applyProtection="1">
      <alignment horizontal="center" vertical="center" wrapText="1"/>
      <protection locked="0"/>
    </xf>
    <xf numFmtId="0" fontId="6" fillId="0" borderId="0" xfId="1" applyFont="1" applyAlignment="1" applyProtection="1">
      <alignment vertical="center" wrapText="1"/>
      <protection locked="0"/>
    </xf>
    <xf numFmtId="0" fontId="7" fillId="3" borderId="0" xfId="3" applyFont="1" applyFill="1" applyAlignment="1" applyProtection="1">
      <alignment horizontal="left" vertical="center" wrapText="1"/>
      <protection locked="0"/>
    </xf>
    <xf numFmtId="0" fontId="8" fillId="0" borderId="0" xfId="4" applyFont="1" applyAlignment="1">
      <alignment horizontal="left" vertical="center"/>
    </xf>
    <xf numFmtId="0" fontId="9" fillId="0" borderId="0" xfId="4" applyFont="1" applyAlignment="1">
      <alignment horizontal="center" vertical="center"/>
    </xf>
    <xf numFmtId="0" fontId="8" fillId="0" borderId="0" xfId="4" applyFont="1" applyAlignment="1">
      <alignment horizontal="center" vertical="center"/>
    </xf>
    <xf numFmtId="0" fontId="9" fillId="0" borderId="0" xfId="4" applyFont="1" applyAlignment="1">
      <alignment vertical="center"/>
    </xf>
    <xf numFmtId="0" fontId="8" fillId="4" borderId="4" xfId="4" applyFont="1" applyFill="1" applyBorder="1" applyAlignment="1">
      <alignment horizontal="center" vertical="center" wrapText="1"/>
    </xf>
    <xf numFmtId="0" fontId="8" fillId="0" borderId="4" xfId="4" applyFont="1" applyBorder="1" applyAlignment="1">
      <alignment horizontal="left" vertical="center" wrapText="1"/>
    </xf>
    <xf numFmtId="0" fontId="9" fillId="0" borderId="4" xfId="4" applyFont="1" applyBorder="1" applyAlignment="1">
      <alignment vertical="center" wrapText="1"/>
    </xf>
    <xf numFmtId="0" fontId="8" fillId="0" borderId="4" xfId="4" applyFont="1" applyBorder="1" applyAlignment="1">
      <alignment horizontal="center" vertical="center" wrapText="1"/>
    </xf>
    <xf numFmtId="0" fontId="9" fillId="0" borderId="4" xfId="4" applyFont="1" applyBorder="1" applyAlignment="1" applyProtection="1">
      <alignment horizontal="center" vertical="center" wrapText="1"/>
      <protection locked="0"/>
    </xf>
    <xf numFmtId="0" fontId="9" fillId="0" borderId="4" xfId="4" applyFont="1" applyBorder="1" applyAlignment="1">
      <alignment horizontal="center" vertical="center" wrapText="1"/>
    </xf>
    <xf numFmtId="0" fontId="9" fillId="0" borderId="0" xfId="4" applyFont="1" applyAlignment="1" applyProtection="1">
      <alignment vertical="center"/>
      <protection locked="0"/>
    </xf>
    <xf numFmtId="0" fontId="3" fillId="5" borderId="4" xfId="4" applyFont="1" applyFill="1" applyBorder="1" applyAlignment="1">
      <alignment horizontal="left" vertical="center" wrapText="1"/>
    </xf>
    <xf numFmtId="0" fontId="10" fillId="5" borderId="4" xfId="4" applyFont="1" applyFill="1" applyBorder="1" applyAlignment="1">
      <alignment vertical="center" wrapText="1"/>
    </xf>
    <xf numFmtId="0" fontId="3" fillId="5" borderId="4" xfId="4" applyFont="1" applyFill="1" applyBorder="1" applyAlignment="1">
      <alignment vertical="center" wrapText="1"/>
    </xf>
    <xf numFmtId="0" fontId="3" fillId="5" borderId="4" xfId="4" applyFont="1" applyFill="1" applyBorder="1" applyAlignment="1" applyProtection="1">
      <alignment vertical="center" wrapText="1"/>
      <protection locked="0"/>
    </xf>
    <xf numFmtId="0" fontId="11" fillId="4" borderId="4" xfId="4" applyFont="1" applyFill="1" applyBorder="1" applyAlignment="1">
      <alignment horizontal="left" vertical="center" wrapText="1"/>
    </xf>
    <xf numFmtId="0" fontId="11" fillId="4" borderId="4" xfId="4" applyFont="1" applyFill="1" applyBorder="1" applyAlignment="1">
      <alignment vertical="center" wrapText="1"/>
    </xf>
    <xf numFmtId="0" fontId="3" fillId="4" borderId="4" xfId="4" applyFont="1" applyFill="1" applyBorder="1" applyAlignment="1">
      <alignment vertical="center" wrapText="1"/>
    </xf>
    <xf numFmtId="0" fontId="3" fillId="4" borderId="4" xfId="4" applyFont="1" applyFill="1" applyBorder="1" applyAlignment="1" applyProtection="1">
      <alignment vertical="center" wrapText="1"/>
      <protection locked="0"/>
    </xf>
    <xf numFmtId="0" fontId="8" fillId="0" borderId="4" xfId="0" applyFont="1" applyBorder="1" applyAlignment="1">
      <alignment vertical="center" wrapText="1"/>
    </xf>
    <xf numFmtId="0" fontId="8" fillId="0" borderId="4" xfId="4" applyFont="1" applyBorder="1" applyAlignment="1" applyProtection="1">
      <alignment horizontal="center" vertical="center" wrapText="1"/>
      <protection locked="0"/>
    </xf>
    <xf numFmtId="0" fontId="9" fillId="0" borderId="4" xfId="0" applyFont="1" applyBorder="1" applyAlignment="1">
      <alignment vertical="center" wrapText="1"/>
    </xf>
    <xf numFmtId="0" fontId="8" fillId="0" borderId="4" xfId="0" applyFont="1" applyBorder="1" applyAlignment="1">
      <alignment horizontal="center" vertical="center" wrapText="1"/>
    </xf>
    <xf numFmtId="0" fontId="8" fillId="0" borderId="4" xfId="0" applyFont="1" applyBorder="1" applyAlignment="1" applyProtection="1">
      <alignment vertical="center" wrapText="1"/>
      <protection locked="0"/>
    </xf>
    <xf numFmtId="0" fontId="8" fillId="0" borderId="4" xfId="4" applyFont="1" applyBorder="1" applyAlignment="1">
      <alignment horizontal="left" vertical="center"/>
    </xf>
    <xf numFmtId="0" fontId="9" fillId="0" borderId="4" xfId="4" applyFont="1" applyBorder="1" applyAlignment="1">
      <alignment horizontal="center" vertical="center"/>
    </xf>
    <xf numFmtId="1" fontId="9" fillId="0" borderId="4" xfId="4" applyNumberFormat="1" applyFont="1" applyBorder="1" applyAlignment="1">
      <alignment horizontal="center" vertical="center"/>
    </xf>
    <xf numFmtId="164" fontId="9" fillId="0" borderId="4" xfId="5" applyFont="1" applyFill="1" applyBorder="1" applyAlignment="1" applyProtection="1">
      <alignment horizontal="center" vertical="center" wrapText="1"/>
      <protection locked="0"/>
    </xf>
    <xf numFmtId="164" fontId="9" fillId="0" borderId="4" xfId="5" applyFont="1" applyFill="1" applyBorder="1" applyAlignment="1" applyProtection="1">
      <alignment horizontal="center" vertical="center" wrapText="1"/>
    </xf>
    <xf numFmtId="164" fontId="9" fillId="0" borderId="4" xfId="5" applyFont="1" applyFill="1" applyBorder="1" applyAlignment="1" applyProtection="1">
      <alignment horizontal="center" vertical="center"/>
      <protection locked="0"/>
    </xf>
    <xf numFmtId="164" fontId="9" fillId="0" borderId="4" xfId="5" applyFont="1" applyFill="1" applyBorder="1" applyAlignment="1" applyProtection="1">
      <alignment horizontal="center" vertical="center"/>
    </xf>
    <xf numFmtId="164" fontId="8" fillId="0" borderId="4" xfId="5" applyFont="1" applyFill="1" applyBorder="1" applyAlignment="1" applyProtection="1">
      <alignment horizontal="center" vertical="center"/>
    </xf>
    <xf numFmtId="0" fontId="9" fillId="0" borderId="4" xfId="6" applyFont="1" applyBorder="1" applyAlignment="1">
      <alignment horizontal="center" vertical="center"/>
    </xf>
    <xf numFmtId="1" fontId="9" fillId="0" borderId="4" xfId="6" applyNumberFormat="1" applyFont="1" applyBorder="1" applyAlignment="1">
      <alignment horizontal="center" vertical="center"/>
    </xf>
    <xf numFmtId="164" fontId="9" fillId="0" borderId="4" xfId="7" applyFont="1" applyFill="1" applyBorder="1" applyAlignment="1" applyProtection="1">
      <alignment horizontal="center" vertical="center" wrapText="1"/>
      <protection locked="0"/>
    </xf>
    <xf numFmtId="164" fontId="9" fillId="0" borderId="4" xfId="7" applyFont="1" applyFill="1" applyBorder="1" applyAlignment="1" applyProtection="1">
      <alignment horizontal="center" vertical="center" wrapText="1"/>
    </xf>
    <xf numFmtId="164" fontId="9" fillId="0" borderId="4" xfId="7" applyFont="1" applyFill="1" applyBorder="1" applyAlignment="1" applyProtection="1">
      <alignment horizontal="center" vertical="center"/>
      <protection locked="0"/>
    </xf>
    <xf numFmtId="164" fontId="9" fillId="0" borderId="4" xfId="7" applyFont="1" applyFill="1" applyBorder="1" applyAlignment="1" applyProtection="1">
      <alignment horizontal="center" vertical="center"/>
    </xf>
    <xf numFmtId="164" fontId="8" fillId="0" borderId="4" xfId="7" applyFont="1" applyFill="1" applyBorder="1" applyAlignment="1" applyProtection="1">
      <alignment horizontal="center" vertical="center"/>
    </xf>
    <xf numFmtId="0" fontId="9" fillId="0" borderId="0" xfId="6" applyFont="1" applyAlignment="1" applyProtection="1">
      <alignment vertical="center"/>
      <protection locked="0"/>
    </xf>
    <xf numFmtId="0" fontId="8" fillId="0" borderId="4" xfId="6" applyFont="1" applyBorder="1" applyAlignment="1">
      <alignment horizontal="left" vertical="center"/>
    </xf>
    <xf numFmtId="0" fontId="9" fillId="0" borderId="4" xfId="8" applyFont="1" applyBorder="1" applyAlignment="1">
      <alignment horizontal="center" vertical="center" wrapText="1"/>
    </xf>
    <xf numFmtId="1" fontId="9" fillId="0" borderId="4" xfId="4" applyNumberFormat="1" applyFont="1" applyBorder="1" applyAlignment="1">
      <alignment horizontal="center" vertical="center" wrapText="1"/>
    </xf>
    <xf numFmtId="0" fontId="8" fillId="0" borderId="4" xfId="0" applyFont="1" applyBorder="1" applyAlignment="1">
      <alignment horizontal="left" vertical="center" wrapText="1"/>
    </xf>
    <xf numFmtId="1" fontId="9" fillId="0" borderId="4" xfId="6" applyNumberFormat="1" applyFont="1" applyBorder="1" applyAlignment="1">
      <alignment horizontal="center" vertical="center" wrapText="1"/>
    </xf>
    <xf numFmtId="0" fontId="8" fillId="0" borderId="4" xfId="4" applyFont="1" applyBorder="1" applyAlignment="1" applyProtection="1">
      <alignment horizontal="left" vertical="center"/>
      <protection locked="0"/>
    </xf>
    <xf numFmtId="0" fontId="8" fillId="0" borderId="5" xfId="6" applyFont="1" applyBorder="1" applyAlignment="1">
      <alignment vertical="center"/>
    </xf>
    <xf numFmtId="0" fontId="8" fillId="0" borderId="5" xfId="6" applyFont="1" applyBorder="1" applyAlignment="1">
      <alignment horizontal="left" vertical="center"/>
    </xf>
    <xf numFmtId="164" fontId="12" fillId="0" borderId="4" xfId="7" applyFont="1" applyFill="1" applyBorder="1" applyAlignment="1" applyProtection="1">
      <alignment horizontal="center" vertical="center" wrapText="1"/>
      <protection locked="0"/>
    </xf>
    <xf numFmtId="164" fontId="8" fillId="2" borderId="4" xfId="5" applyFont="1" applyFill="1" applyBorder="1" applyAlignment="1" applyProtection="1">
      <alignment horizontal="center" vertical="center"/>
    </xf>
    <xf numFmtId="164" fontId="8" fillId="2" borderId="4" xfId="5" applyFont="1" applyFill="1" applyBorder="1" applyAlignment="1" applyProtection="1">
      <alignment horizontal="center" vertical="center"/>
      <protection locked="0"/>
    </xf>
    <xf numFmtId="164" fontId="8" fillId="2" borderId="4" xfId="5" applyFont="1" applyFill="1" applyBorder="1" applyAlignment="1" applyProtection="1">
      <alignment horizontal="right" vertical="center"/>
    </xf>
    <xf numFmtId="0" fontId="3" fillId="4" borderId="4" xfId="4" applyFont="1" applyFill="1" applyBorder="1" applyAlignment="1">
      <alignment horizontal="left" vertical="center" wrapText="1"/>
    </xf>
    <xf numFmtId="0" fontId="3" fillId="4" borderId="4" xfId="4" applyFont="1" applyFill="1" applyBorder="1" applyAlignment="1" applyProtection="1">
      <alignment horizontal="left" vertical="center" wrapText="1"/>
      <protection locked="0"/>
    </xf>
    <xf numFmtId="164" fontId="9" fillId="4" borderId="4" xfId="5" applyFont="1" applyFill="1" applyBorder="1" applyAlignment="1" applyProtection="1">
      <alignment horizontal="center" vertical="center"/>
      <protection locked="0"/>
    </xf>
    <xf numFmtId="164" fontId="9" fillId="4" borderId="4" xfId="5" applyFont="1" applyFill="1" applyBorder="1" applyAlignment="1" applyProtection="1">
      <alignment horizontal="center" vertical="center"/>
    </xf>
    <xf numFmtId="164" fontId="8" fillId="4" borderId="4" xfId="5" applyFont="1" applyFill="1" applyBorder="1" applyAlignment="1" applyProtection="1">
      <alignment horizontal="center" vertical="center"/>
    </xf>
    <xf numFmtId="0" fontId="9" fillId="0" borderId="4" xfId="0" applyFont="1" applyBorder="1" applyAlignment="1" applyProtection="1">
      <alignment vertical="center" wrapText="1"/>
      <protection locked="0"/>
    </xf>
    <xf numFmtId="0" fontId="8" fillId="0" borderId="4" xfId="9" applyFont="1" applyBorder="1" applyAlignment="1">
      <alignment vertical="center" wrapText="1"/>
    </xf>
    <xf numFmtId="0" fontId="9" fillId="0" borderId="4" xfId="9" applyFont="1" applyBorder="1" applyAlignment="1">
      <alignment vertical="center" wrapText="1"/>
    </xf>
    <xf numFmtId="0" fontId="9" fillId="0" borderId="4" xfId="0" applyFont="1" applyBorder="1" applyAlignment="1">
      <alignment horizontal="center" vertical="center" wrapText="1"/>
    </xf>
    <xf numFmtId="0" fontId="9" fillId="0" borderId="3" xfId="0" applyFont="1" applyBorder="1" applyAlignment="1">
      <alignment horizontal="center" vertical="center" wrapText="1"/>
    </xf>
    <xf numFmtId="0" fontId="8" fillId="0" borderId="8" xfId="4" applyFont="1" applyBorder="1" applyAlignment="1">
      <alignment horizontal="left" vertical="center"/>
    </xf>
    <xf numFmtId="164" fontId="9" fillId="0" borderId="4" xfId="5" applyFont="1" applyFill="1" applyBorder="1" applyAlignment="1" applyProtection="1">
      <alignment vertical="center"/>
    </xf>
    <xf numFmtId="164" fontId="8" fillId="0" borderId="4" xfId="5" applyFont="1" applyFill="1" applyBorder="1" applyAlignment="1" applyProtection="1">
      <alignment vertical="center"/>
    </xf>
    <xf numFmtId="164" fontId="9" fillId="0" borderId="4" xfId="5" applyFont="1" applyFill="1" applyBorder="1" applyAlignment="1" applyProtection="1">
      <alignment vertical="center"/>
      <protection locked="0"/>
    </xf>
    <xf numFmtId="165" fontId="8" fillId="0" borderId="4" xfId="0" applyNumberFormat="1" applyFont="1" applyBorder="1" applyAlignment="1">
      <alignment horizontal="left" vertical="center" wrapText="1"/>
    </xf>
    <xf numFmtId="2" fontId="8" fillId="0" borderId="4" xfId="0" applyNumberFormat="1" applyFont="1" applyBorder="1" applyAlignment="1">
      <alignment horizontal="left" vertical="center" wrapText="1"/>
    </xf>
    <xf numFmtId="164" fontId="9" fillId="0" borderId="4" xfId="7" applyFont="1" applyFill="1" applyBorder="1" applyAlignment="1" applyProtection="1">
      <alignment vertical="center"/>
      <protection locked="0"/>
    </xf>
    <xf numFmtId="164" fontId="9" fillId="0" borderId="4" xfId="7" applyFont="1" applyFill="1" applyBorder="1" applyAlignment="1" applyProtection="1">
      <alignment vertical="center"/>
    </xf>
    <xf numFmtId="164" fontId="8" fillId="0" borderId="4" xfId="7" applyFont="1" applyFill="1" applyBorder="1" applyAlignment="1" applyProtection="1">
      <alignment vertical="center"/>
    </xf>
    <xf numFmtId="0" fontId="9" fillId="0" borderId="4" xfId="6" applyFont="1" applyBorder="1" applyAlignment="1">
      <alignment horizontal="left" vertical="center" wrapText="1"/>
    </xf>
    <xf numFmtId="164" fontId="8" fillId="2" borderId="4" xfId="5" applyFont="1" applyFill="1" applyBorder="1" applyAlignment="1" applyProtection="1">
      <alignment horizontal="center" vertical="center" wrapText="1"/>
    </xf>
    <xf numFmtId="0" fontId="8" fillId="0" borderId="0" xfId="4" applyFont="1" applyAlignment="1" applyProtection="1">
      <alignment vertical="center"/>
      <protection locked="0"/>
    </xf>
    <xf numFmtId="0" fontId="8" fillId="0" borderId="4" xfId="8" applyFont="1" applyBorder="1" applyAlignment="1">
      <alignment horizontal="center" vertical="center" wrapText="1"/>
    </xf>
    <xf numFmtId="164" fontId="8" fillId="0" borderId="4" xfId="5" applyFont="1" applyFill="1" applyBorder="1" applyAlignment="1" applyProtection="1">
      <alignment horizontal="center" vertical="center" wrapText="1"/>
    </xf>
    <xf numFmtId="0" fontId="3" fillId="0" borderId="4" xfId="4" applyFont="1" applyBorder="1" applyAlignment="1">
      <alignment horizontal="left" vertical="center"/>
    </xf>
    <xf numFmtId="0" fontId="3" fillId="0" borderId="4" xfId="4" applyFont="1" applyBorder="1" applyAlignment="1">
      <alignment vertical="center" wrapText="1"/>
    </xf>
    <xf numFmtId="164" fontId="3" fillId="0" borderId="4" xfId="5" applyFont="1" applyFill="1" applyBorder="1" applyAlignment="1" applyProtection="1">
      <alignment horizontal="center" vertical="center"/>
    </xf>
    <xf numFmtId="0" fontId="16" fillId="0" borderId="0" xfId="4" applyFont="1" applyAlignment="1" applyProtection="1">
      <alignment vertical="center"/>
      <protection locked="0"/>
    </xf>
    <xf numFmtId="0" fontId="8" fillId="0" borderId="1" xfId="4" applyFont="1" applyBorder="1" applyAlignment="1">
      <alignment horizontal="left" vertical="center"/>
    </xf>
    <xf numFmtId="0" fontId="8" fillId="0" borderId="3" xfId="4" applyFont="1" applyBorder="1" applyAlignment="1">
      <alignment vertical="center" wrapText="1"/>
    </xf>
    <xf numFmtId="0" fontId="11" fillId="5" borderId="4" xfId="4" applyFont="1" applyFill="1" applyBorder="1" applyAlignment="1">
      <alignment horizontal="left" vertical="center" wrapText="1"/>
    </xf>
    <xf numFmtId="164" fontId="11" fillId="5" borderId="4" xfId="5" applyFont="1" applyFill="1" applyBorder="1" applyAlignment="1" applyProtection="1">
      <alignment horizontal="center" vertical="center"/>
    </xf>
    <xf numFmtId="0" fontId="8" fillId="0" borderId="0" xfId="4" applyFont="1" applyAlignment="1">
      <alignment vertical="center"/>
    </xf>
    <xf numFmtId="3" fontId="9" fillId="0" borderId="0" xfId="4" applyNumberFormat="1" applyFont="1" applyAlignment="1">
      <alignment horizontal="center" vertical="center"/>
    </xf>
    <xf numFmtId="3" fontId="8" fillId="0" borderId="0" xfId="4" applyNumberFormat="1" applyFont="1" applyAlignment="1">
      <alignment horizontal="center" vertical="center"/>
    </xf>
    <xf numFmtId="0" fontId="8" fillId="0" borderId="9" xfId="4" applyFont="1" applyBorder="1" applyAlignment="1">
      <alignment horizontal="left" vertical="center"/>
    </xf>
    <xf numFmtId="3" fontId="8" fillId="0" borderId="4" xfId="4" applyNumberFormat="1" applyFont="1" applyBorder="1" applyAlignment="1">
      <alignment horizontal="center" vertical="center" wrapText="1"/>
    </xf>
    <xf numFmtId="3" fontId="3" fillId="4" borderId="4" xfId="4" applyNumberFormat="1" applyFont="1" applyFill="1" applyBorder="1" applyAlignment="1">
      <alignment vertical="center" wrapText="1"/>
    </xf>
    <xf numFmtId="165" fontId="8" fillId="0" borderId="4" xfId="5" applyNumberFormat="1" applyFont="1" applyFill="1" applyBorder="1" applyAlignment="1" applyProtection="1">
      <alignment horizontal="left" vertical="center"/>
    </xf>
    <xf numFmtId="3" fontId="8" fillId="0" borderId="4" xfId="5" applyNumberFormat="1" applyFont="1" applyFill="1" applyBorder="1" applyAlignment="1" applyProtection="1">
      <alignment horizontal="center" vertical="center"/>
    </xf>
    <xf numFmtId="164" fontId="8" fillId="0" borderId="4" xfId="5" applyFont="1" applyFill="1" applyBorder="1" applyAlignment="1" applyProtection="1">
      <alignment horizontal="center" vertical="center"/>
      <protection locked="0"/>
    </xf>
    <xf numFmtId="3" fontId="9" fillId="0" borderId="4" xfId="4" applyNumberFormat="1" applyFont="1" applyBorder="1" applyAlignment="1">
      <alignment horizontal="center" vertical="center" wrapText="1"/>
    </xf>
    <xf numFmtId="165" fontId="8" fillId="0" borderId="4" xfId="4" applyNumberFormat="1" applyFont="1" applyBorder="1" applyAlignment="1">
      <alignment horizontal="left" vertical="center"/>
    </xf>
    <xf numFmtId="165" fontId="8" fillId="0" borderId="8" xfId="4" applyNumberFormat="1" applyFont="1" applyBorder="1" applyAlignment="1">
      <alignment horizontal="left" vertical="center"/>
    </xf>
    <xf numFmtId="165" fontId="8" fillId="0" borderId="4" xfId="6" applyNumberFormat="1" applyFont="1" applyBorder="1" applyAlignment="1">
      <alignment horizontal="left" vertical="center"/>
    </xf>
    <xf numFmtId="3" fontId="9" fillId="0" borderId="4" xfId="6" applyNumberFormat="1" applyFont="1" applyBorder="1" applyAlignment="1">
      <alignment horizontal="center" vertical="center" wrapText="1"/>
    </xf>
    <xf numFmtId="165" fontId="8" fillId="0" borderId="8" xfId="6" applyNumberFormat="1" applyFont="1" applyBorder="1" applyAlignment="1">
      <alignment horizontal="left" vertical="center"/>
    </xf>
    <xf numFmtId="3" fontId="9" fillId="0" borderId="4" xfId="0" applyNumberFormat="1" applyFont="1" applyBorder="1" applyAlignment="1">
      <alignment vertical="center" wrapText="1"/>
    </xf>
    <xf numFmtId="0" fontId="9" fillId="0" borderId="4" xfId="10" applyFont="1" applyBorder="1" applyAlignment="1">
      <alignment horizontal="left" vertical="center" wrapText="1"/>
    </xf>
    <xf numFmtId="0" fontId="9" fillId="0" borderId="4" xfId="6" applyFont="1" applyBorder="1" applyAlignment="1">
      <alignment horizontal="center" vertical="center" wrapText="1"/>
    </xf>
    <xf numFmtId="0" fontId="9" fillId="0" borderId="4" xfId="8" applyFont="1" applyBorder="1" applyAlignment="1">
      <alignment horizontal="left" vertical="center" wrapText="1"/>
    </xf>
    <xf numFmtId="0" fontId="9" fillId="0" borderId="4" xfId="0" applyFont="1" applyBorder="1" applyAlignment="1">
      <alignment horizontal="left" vertical="center" wrapText="1"/>
    </xf>
    <xf numFmtId="0" fontId="9" fillId="0" borderId="4" xfId="0" applyFont="1" applyBorder="1" applyAlignment="1">
      <alignment horizontal="center" vertical="center"/>
    </xf>
    <xf numFmtId="0" fontId="8" fillId="2" borderId="4" xfId="0" applyFont="1" applyFill="1" applyBorder="1" applyAlignment="1">
      <alignment horizontal="left" vertical="center" wrapText="1"/>
    </xf>
    <xf numFmtId="3" fontId="8" fillId="2" borderId="4" xfId="0" applyNumberFormat="1" applyFont="1" applyFill="1" applyBorder="1" applyAlignment="1">
      <alignment horizontal="left" vertical="center" wrapText="1"/>
    </xf>
    <xf numFmtId="3" fontId="8" fillId="2" borderId="4" xfId="5" applyNumberFormat="1" applyFont="1" applyFill="1" applyBorder="1" applyAlignment="1" applyProtection="1">
      <alignment horizontal="center" vertical="center" wrapText="1"/>
    </xf>
    <xf numFmtId="3" fontId="11" fillId="5" borderId="4" xfId="4" applyNumberFormat="1" applyFont="1" applyFill="1" applyBorder="1" applyAlignment="1">
      <alignment horizontal="left" vertical="center" wrapText="1"/>
    </xf>
    <xf numFmtId="3" fontId="11" fillId="4" borderId="4" xfId="4" applyNumberFormat="1" applyFont="1" applyFill="1" applyBorder="1" applyAlignment="1">
      <alignment vertical="center" wrapText="1"/>
    </xf>
    <xf numFmtId="0" fontId="11" fillId="4" borderId="4" xfId="4" applyFont="1" applyFill="1" applyBorder="1" applyAlignment="1" applyProtection="1">
      <alignment horizontal="left" vertical="center" wrapText="1"/>
      <protection locked="0"/>
    </xf>
    <xf numFmtId="0" fontId="8" fillId="2" borderId="4" xfId="0" applyFont="1" applyFill="1" applyBorder="1" applyAlignment="1" applyProtection="1">
      <alignment horizontal="left" vertical="center" wrapText="1"/>
      <protection locked="0"/>
    </xf>
    <xf numFmtId="164" fontId="8" fillId="2" borderId="4" xfId="5" applyFont="1" applyFill="1" applyBorder="1" applyAlignment="1" applyProtection="1">
      <alignment horizontal="center" vertical="center" wrapText="1"/>
      <protection locked="0"/>
    </xf>
    <xf numFmtId="0" fontId="3" fillId="0" borderId="4" xfId="4" applyFont="1" applyBorder="1" applyAlignment="1">
      <alignment horizontal="left" vertical="center" wrapText="1"/>
    </xf>
    <xf numFmtId="0" fontId="8" fillId="0" borderId="0" xfId="6" applyFont="1" applyAlignment="1">
      <alignment horizontal="left" vertical="center"/>
    </xf>
    <xf numFmtId="0" fontId="9" fillId="0" borderId="0" xfId="6" applyFont="1" applyAlignment="1">
      <alignment horizontal="center" vertical="center"/>
    </xf>
    <xf numFmtId="3" fontId="9" fillId="0" borderId="0" xfId="6" applyNumberFormat="1" applyFont="1" applyAlignment="1">
      <alignment horizontal="center" vertical="center"/>
    </xf>
    <xf numFmtId="0" fontId="9" fillId="0" borderId="0" xfId="6" applyFont="1" applyAlignment="1">
      <alignment vertical="center"/>
    </xf>
    <xf numFmtId="0" fontId="8" fillId="0" borderId="0" xfId="6" applyFont="1" applyAlignment="1">
      <alignment vertical="center"/>
    </xf>
    <xf numFmtId="0" fontId="8" fillId="0" borderId="9" xfId="6" applyFont="1" applyBorder="1" applyAlignment="1">
      <alignment horizontal="left" vertical="center"/>
    </xf>
    <xf numFmtId="0" fontId="8" fillId="0" borderId="4" xfId="6" applyFont="1" applyBorder="1" applyAlignment="1">
      <alignment horizontal="left" vertical="center" wrapText="1"/>
    </xf>
    <xf numFmtId="0" fontId="9" fillId="0" borderId="4" xfId="6" applyFont="1" applyBorder="1" applyAlignment="1">
      <alignment vertical="center" wrapText="1"/>
    </xf>
    <xf numFmtId="0" fontId="8" fillId="0" borderId="4" xfId="6" applyFont="1" applyBorder="1" applyAlignment="1">
      <alignment horizontal="center" vertical="center" wrapText="1"/>
    </xf>
    <xf numFmtId="3" fontId="8" fillId="0" borderId="4" xfId="6" applyNumberFormat="1" applyFont="1" applyBorder="1" applyAlignment="1">
      <alignment horizontal="center" vertical="center" wrapText="1"/>
    </xf>
    <xf numFmtId="0" fontId="11" fillId="4" borderId="5" xfId="6" applyFont="1" applyFill="1" applyBorder="1" applyAlignment="1">
      <alignment vertical="center" wrapText="1"/>
    </xf>
    <xf numFmtId="0" fontId="3" fillId="4" borderId="5" xfId="6" applyFont="1" applyFill="1" applyBorder="1" applyAlignment="1">
      <alignment vertical="center" wrapText="1"/>
    </xf>
    <xf numFmtId="3" fontId="3" fillId="4" borderId="5" xfId="6" applyNumberFormat="1" applyFont="1" applyFill="1" applyBorder="1" applyAlignment="1">
      <alignment vertical="center" wrapText="1"/>
    </xf>
    <xf numFmtId="165" fontId="8" fillId="0" borderId="4" xfId="7" applyNumberFormat="1" applyFont="1" applyFill="1" applyBorder="1" applyAlignment="1" applyProtection="1">
      <alignment horizontal="left" vertical="center"/>
    </xf>
    <xf numFmtId="3" fontId="8" fillId="0" borderId="4" xfId="7" applyNumberFormat="1" applyFont="1" applyFill="1" applyBorder="1" applyAlignment="1" applyProtection="1">
      <alignment horizontal="center" vertical="center"/>
    </xf>
    <xf numFmtId="164" fontId="8" fillId="0" borderId="4" xfId="7" applyFont="1" applyFill="1" applyBorder="1" applyAlignment="1" applyProtection="1">
      <alignment horizontal="center" vertical="center"/>
      <protection locked="0"/>
    </xf>
    <xf numFmtId="165" fontId="8" fillId="0" borderId="4" xfId="6" applyNumberFormat="1" applyFont="1" applyBorder="1" applyAlignment="1">
      <alignment vertical="center"/>
    </xf>
    <xf numFmtId="3" fontId="9" fillId="0" borderId="4" xfId="0" applyNumberFormat="1" applyFont="1" applyBorder="1" applyAlignment="1">
      <alignment horizontal="center" vertical="center" wrapText="1"/>
    </xf>
    <xf numFmtId="0" fontId="3" fillId="2" borderId="4" xfId="0" applyFont="1" applyFill="1" applyBorder="1" applyAlignment="1">
      <alignment vertical="center"/>
    </xf>
    <xf numFmtId="164" fontId="8" fillId="2" borderId="4" xfId="7" applyFont="1" applyFill="1" applyBorder="1" applyAlignment="1" applyProtection="1">
      <alignment horizontal="center" vertical="center"/>
    </xf>
    <xf numFmtId="164" fontId="8" fillId="2" borderId="4" xfId="7" applyFont="1" applyFill="1" applyBorder="1" applyAlignment="1" applyProtection="1">
      <alignment horizontal="center" vertical="center"/>
      <protection locked="0"/>
    </xf>
    <xf numFmtId="164" fontId="8" fillId="2" borderId="4" xfId="7" applyFont="1" applyFill="1" applyBorder="1" applyAlignment="1" applyProtection="1">
      <alignment horizontal="right" vertical="center"/>
    </xf>
    <xf numFmtId="0" fontId="9" fillId="0" borderId="8" xfId="8" applyFont="1" applyBorder="1" applyAlignment="1">
      <alignment horizontal="left" vertical="center" wrapText="1"/>
    </xf>
    <xf numFmtId="0" fontId="3" fillId="2" borderId="4" xfId="0" applyFont="1" applyFill="1" applyBorder="1" applyAlignment="1">
      <alignment vertical="center" wrapText="1"/>
    </xf>
    <xf numFmtId="164" fontId="8" fillId="2" borderId="4" xfId="7" applyFont="1" applyFill="1" applyBorder="1" applyAlignment="1" applyProtection="1">
      <alignment horizontal="center" vertical="center" wrapText="1"/>
    </xf>
    <xf numFmtId="3" fontId="8" fillId="2" borderId="4" xfId="7" applyNumberFormat="1" applyFont="1" applyFill="1" applyBorder="1" applyAlignment="1" applyProtection="1">
      <alignment horizontal="center" vertical="center" wrapText="1"/>
    </xf>
    <xf numFmtId="0" fontId="3" fillId="0" borderId="4" xfId="6" applyFont="1" applyBorder="1" applyAlignment="1">
      <alignment horizontal="left" vertical="center"/>
    </xf>
    <xf numFmtId="0" fontId="3" fillId="0" borderId="4" xfId="6" applyFont="1" applyBorder="1" applyAlignment="1">
      <alignment vertical="center" wrapText="1"/>
    </xf>
    <xf numFmtId="0" fontId="8" fillId="0" borderId="1" xfId="6" applyFont="1" applyBorder="1" applyAlignment="1">
      <alignment horizontal="left" vertical="center"/>
    </xf>
    <xf numFmtId="0" fontId="8" fillId="0" borderId="3" xfId="6" applyFont="1" applyBorder="1" applyAlignment="1">
      <alignment vertical="center" wrapText="1"/>
    </xf>
    <xf numFmtId="0" fontId="11" fillId="5" borderId="4" xfId="6" applyFont="1" applyFill="1" applyBorder="1" applyAlignment="1">
      <alignment horizontal="left" vertical="center" wrapText="1"/>
    </xf>
    <xf numFmtId="3" fontId="11" fillId="5" borderId="4" xfId="6" applyNumberFormat="1" applyFont="1" applyFill="1" applyBorder="1" applyAlignment="1">
      <alignment horizontal="left" vertical="center" wrapText="1"/>
    </xf>
    <xf numFmtId="164" fontId="11" fillId="5" borderId="4" xfId="7" applyFont="1" applyFill="1" applyBorder="1" applyAlignment="1" applyProtection="1">
      <alignment horizontal="center" vertical="center"/>
    </xf>
    <xf numFmtId="43" fontId="2" fillId="0" borderId="4" xfId="2" applyNumberFormat="1" applyFont="1" applyFill="1" applyBorder="1" applyAlignment="1" applyProtection="1">
      <alignment horizontal="right" vertical="center"/>
    </xf>
    <xf numFmtId="4" fontId="2" fillId="0" borderId="0" xfId="1" applyNumberFormat="1" applyFont="1" applyProtection="1">
      <protection locked="0"/>
    </xf>
    <xf numFmtId="43" fontId="2" fillId="0" borderId="0" xfId="1" applyNumberFormat="1" applyFont="1" applyProtection="1">
      <protection locked="0"/>
    </xf>
    <xf numFmtId="0" fontId="11" fillId="4" borderId="5" xfId="6" applyFont="1" applyFill="1" applyBorder="1" applyAlignment="1">
      <alignment horizontal="center" vertical="center" wrapText="1"/>
    </xf>
    <xf numFmtId="0" fontId="6" fillId="0" borderId="0" xfId="1" applyFont="1" applyAlignment="1" applyProtection="1">
      <alignment horizontal="center" vertical="center" wrapText="1"/>
      <protection locked="0"/>
    </xf>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3" xfId="1" applyFont="1" applyBorder="1" applyAlignment="1">
      <alignment horizontal="center" vertical="center" wrapText="1"/>
    </xf>
    <xf numFmtId="0" fontId="5" fillId="2" borderId="4" xfId="1" applyFont="1" applyFill="1" applyBorder="1" applyAlignment="1">
      <alignment horizontal="center" vertical="center" wrapText="1"/>
    </xf>
    <xf numFmtId="0" fontId="5" fillId="2" borderId="5" xfId="1" applyFont="1" applyFill="1" applyBorder="1" applyAlignment="1">
      <alignment horizontal="center" vertical="center" wrapText="1"/>
    </xf>
    <xf numFmtId="0" fontId="5" fillId="2" borderId="4" xfId="1" applyFont="1" applyFill="1" applyBorder="1" applyAlignment="1">
      <alignment horizontal="center" vertical="center"/>
    </xf>
    <xf numFmtId="0" fontId="5" fillId="2" borderId="5" xfId="1"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3" xfId="0" applyFont="1" applyFill="1" applyBorder="1" applyAlignment="1">
      <alignment horizontal="left" vertical="center" wrapText="1"/>
    </xf>
    <xf numFmtId="0" fontId="8" fillId="0" borderId="4" xfId="0" applyFont="1" applyBorder="1" applyAlignment="1">
      <alignment horizontal="left" vertical="center" wrapText="1"/>
    </xf>
    <xf numFmtId="0" fontId="11" fillId="5" borderId="1" xfId="4" applyFont="1" applyFill="1" applyBorder="1" applyAlignment="1">
      <alignment horizontal="center" vertical="center" wrapText="1"/>
    </xf>
    <xf numFmtId="0" fontId="11" fillId="5" borderId="3" xfId="4" applyFont="1" applyFill="1" applyBorder="1" applyAlignment="1">
      <alignment horizontal="center" vertical="center" wrapText="1"/>
    </xf>
    <xf numFmtId="2" fontId="8" fillId="0" borderId="5" xfId="0" applyNumberFormat="1" applyFont="1" applyBorder="1" applyAlignment="1">
      <alignment horizontal="left" vertical="center" wrapText="1"/>
    </xf>
    <xf numFmtId="2" fontId="8" fillId="0" borderId="8" xfId="0" applyNumberFormat="1" applyFont="1" applyBorder="1" applyAlignment="1">
      <alignment horizontal="left" vertical="center" wrapText="1"/>
    </xf>
    <xf numFmtId="164" fontId="9" fillId="0" borderId="5" xfId="7" applyFont="1" applyFill="1" applyBorder="1" applyAlignment="1" applyProtection="1">
      <alignment horizontal="center" vertical="center" wrapText="1"/>
    </xf>
    <xf numFmtId="164" fontId="9" fillId="0" borderId="7" xfId="7" applyFont="1" applyFill="1" applyBorder="1" applyAlignment="1" applyProtection="1">
      <alignment horizontal="center" vertical="center" wrapText="1"/>
    </xf>
    <xf numFmtId="164" fontId="9" fillId="0" borderId="8" xfId="7" applyFont="1" applyFill="1" applyBorder="1" applyAlignment="1" applyProtection="1">
      <alignment horizontal="center" vertical="center" wrapText="1"/>
    </xf>
    <xf numFmtId="164" fontId="9" fillId="0" borderId="5" xfId="7" applyFont="1" applyFill="1" applyBorder="1" applyAlignment="1" applyProtection="1">
      <alignment horizontal="center" vertical="center"/>
      <protection locked="0"/>
    </xf>
    <xf numFmtId="164" fontId="9" fillId="0" borderId="7" xfId="7" applyFont="1" applyFill="1" applyBorder="1" applyAlignment="1" applyProtection="1">
      <alignment horizontal="center" vertical="center"/>
      <protection locked="0"/>
    </xf>
    <xf numFmtId="164" fontId="9" fillId="0" borderId="8" xfId="7" applyFont="1" applyFill="1" applyBorder="1" applyAlignment="1" applyProtection="1">
      <alignment horizontal="center" vertical="center"/>
      <protection locked="0"/>
    </xf>
    <xf numFmtId="164" fontId="9" fillId="0" borderId="5" xfId="7" applyFont="1" applyFill="1" applyBorder="1" applyAlignment="1" applyProtection="1">
      <alignment horizontal="center" vertical="center"/>
    </xf>
    <xf numFmtId="164" fontId="9" fillId="0" borderId="7" xfId="7" applyFont="1" applyFill="1" applyBorder="1" applyAlignment="1" applyProtection="1">
      <alignment horizontal="center" vertical="center"/>
    </xf>
    <xf numFmtId="164" fontId="9" fillId="0" borderId="8" xfId="7" applyFont="1" applyFill="1" applyBorder="1" applyAlignment="1" applyProtection="1">
      <alignment horizontal="center" vertical="center"/>
    </xf>
    <xf numFmtId="164" fontId="8" fillId="0" borderId="5" xfId="7" applyFont="1" applyFill="1" applyBorder="1" applyAlignment="1" applyProtection="1">
      <alignment horizontal="center" vertical="center"/>
    </xf>
    <xf numFmtId="164" fontId="8" fillId="0" borderId="7" xfId="7" applyFont="1" applyFill="1" applyBorder="1" applyAlignment="1" applyProtection="1">
      <alignment horizontal="center" vertical="center"/>
    </xf>
    <xf numFmtId="164" fontId="8" fillId="0" borderId="8" xfId="7" applyFont="1" applyFill="1" applyBorder="1" applyAlignment="1" applyProtection="1">
      <alignment horizontal="center" vertical="center"/>
    </xf>
    <xf numFmtId="164" fontId="9" fillId="0" borderId="5" xfId="5" applyFont="1" applyFill="1" applyBorder="1" applyAlignment="1" applyProtection="1">
      <alignment horizontal="center" vertical="center" wrapText="1"/>
    </xf>
    <xf numFmtId="164" fontId="9" fillId="0" borderId="7" xfId="5" applyFont="1" applyFill="1" applyBorder="1" applyAlignment="1" applyProtection="1">
      <alignment horizontal="center" vertical="center" wrapText="1"/>
    </xf>
    <xf numFmtId="164" fontId="9" fillId="0" borderId="8" xfId="5" applyFont="1" applyFill="1" applyBorder="1" applyAlignment="1" applyProtection="1">
      <alignment horizontal="center" vertical="center" wrapText="1"/>
    </xf>
    <xf numFmtId="164" fontId="9" fillId="0" borderId="5" xfId="5" applyFont="1" applyFill="1" applyBorder="1" applyAlignment="1" applyProtection="1">
      <alignment horizontal="center" vertical="center"/>
      <protection locked="0"/>
    </xf>
    <xf numFmtId="164" fontId="9" fillId="0" borderId="7" xfId="5" applyFont="1" applyFill="1" applyBorder="1" applyAlignment="1" applyProtection="1">
      <alignment horizontal="center" vertical="center"/>
      <protection locked="0"/>
    </xf>
    <xf numFmtId="164" fontId="9" fillId="0" borderId="8" xfId="5" applyFont="1" applyFill="1" applyBorder="1" applyAlignment="1" applyProtection="1">
      <alignment horizontal="center" vertical="center"/>
      <protection locked="0"/>
    </xf>
    <xf numFmtId="164" fontId="9" fillId="0" borderId="5" xfId="5" applyFont="1" applyFill="1" applyBorder="1" applyAlignment="1" applyProtection="1">
      <alignment horizontal="center" vertical="center"/>
    </xf>
    <xf numFmtId="164" fontId="9" fillId="0" borderId="7" xfId="5" applyFont="1" applyFill="1" applyBorder="1" applyAlignment="1" applyProtection="1">
      <alignment horizontal="center" vertical="center"/>
    </xf>
    <xf numFmtId="164" fontId="9" fillId="0" borderId="8" xfId="5" applyFont="1" applyFill="1" applyBorder="1" applyAlignment="1" applyProtection="1">
      <alignment horizontal="center" vertical="center"/>
    </xf>
    <xf numFmtId="164" fontId="8" fillId="0" borderId="5" xfId="5" applyFont="1" applyFill="1" applyBorder="1" applyAlignment="1" applyProtection="1">
      <alignment horizontal="center" vertical="center"/>
    </xf>
    <xf numFmtId="164" fontId="8" fillId="0" borderId="7" xfId="5" applyFont="1" applyFill="1" applyBorder="1" applyAlignment="1" applyProtection="1">
      <alignment horizontal="center" vertical="center"/>
    </xf>
    <xf numFmtId="164" fontId="8" fillId="0" borderId="8" xfId="5" applyFont="1" applyFill="1" applyBorder="1" applyAlignment="1" applyProtection="1">
      <alignment horizontal="center" vertical="center"/>
    </xf>
    <xf numFmtId="0" fontId="8" fillId="0" borderId="5" xfId="4" applyFont="1" applyBorder="1" applyAlignment="1">
      <alignment horizontal="left" vertical="center"/>
    </xf>
    <xf numFmtId="0" fontId="8" fillId="0" borderId="8" xfId="4" applyFont="1" applyBorder="1" applyAlignment="1">
      <alignment horizontal="left" vertical="center"/>
    </xf>
    <xf numFmtId="0" fontId="8" fillId="0" borderId="5" xfId="0" applyFont="1" applyBorder="1" applyAlignment="1">
      <alignment horizontal="left" vertical="center" wrapText="1"/>
    </xf>
    <xf numFmtId="0" fontId="8" fillId="0" borderId="8" xfId="0" applyFont="1" applyBorder="1" applyAlignment="1">
      <alignment horizontal="left" vertical="center" wrapText="1"/>
    </xf>
    <xf numFmtId="2" fontId="8" fillId="0" borderId="5" xfId="6" applyNumberFormat="1" applyFont="1" applyBorder="1" applyAlignment="1">
      <alignment horizontal="left" vertical="center"/>
    </xf>
    <xf numFmtId="2" fontId="8" fillId="0" borderId="8" xfId="6" applyNumberFormat="1" applyFont="1" applyBorder="1" applyAlignment="1">
      <alignment horizontal="left" vertical="center"/>
    </xf>
    <xf numFmtId="0" fontId="8" fillId="0" borderId="4" xfId="4" applyFont="1" applyBorder="1" applyAlignment="1">
      <alignment horizontal="left" vertical="center"/>
    </xf>
    <xf numFmtId="0" fontId="8" fillId="0" borderId="5" xfId="6" applyFont="1" applyBorder="1" applyAlignment="1">
      <alignment horizontal="left" vertical="center"/>
    </xf>
    <xf numFmtId="0" fontId="8" fillId="0" borderId="8" xfId="6" applyFont="1" applyBorder="1" applyAlignment="1">
      <alignment horizontal="left" vertical="center"/>
    </xf>
    <xf numFmtId="0" fontId="8" fillId="0" borderId="7" xfId="0" applyFont="1" applyBorder="1" applyAlignment="1">
      <alignment horizontal="left" vertical="center" wrapText="1"/>
    </xf>
    <xf numFmtId="0" fontId="8" fillId="4" borderId="4" xfId="4" applyFont="1" applyFill="1" applyBorder="1" applyAlignment="1">
      <alignment horizontal="center" vertical="center" wrapText="1"/>
    </xf>
    <xf numFmtId="0" fontId="8" fillId="0" borderId="6" xfId="4" applyFont="1" applyBorder="1" applyAlignment="1">
      <alignment horizontal="center" vertical="center"/>
    </xf>
    <xf numFmtId="0" fontId="8" fillId="4" borderId="5" xfId="4" applyFont="1" applyFill="1" applyBorder="1" applyAlignment="1">
      <alignment horizontal="center" vertical="center" wrapText="1"/>
    </xf>
    <xf numFmtId="0" fontId="8" fillId="4" borderId="7" xfId="4" applyFont="1" applyFill="1" applyBorder="1" applyAlignment="1">
      <alignment horizontal="center" vertical="center" wrapText="1"/>
    </xf>
    <xf numFmtId="0" fontId="8" fillId="4" borderId="8" xfId="4" applyFont="1" applyFill="1" applyBorder="1" applyAlignment="1">
      <alignment horizontal="center" vertical="center" wrapText="1"/>
    </xf>
    <xf numFmtId="0" fontId="11" fillId="5" borderId="4" xfId="4" applyFont="1" applyFill="1" applyBorder="1" applyAlignment="1">
      <alignment horizontal="center" vertical="center" wrapText="1"/>
    </xf>
    <xf numFmtId="165" fontId="8" fillId="0" borderId="5" xfId="4" applyNumberFormat="1" applyFont="1" applyBorder="1" applyAlignment="1">
      <alignment horizontal="left" vertical="center"/>
    </xf>
    <xf numFmtId="165" fontId="8" fillId="0" borderId="8" xfId="4" applyNumberFormat="1" applyFont="1" applyBorder="1" applyAlignment="1">
      <alignment horizontal="left" vertical="center"/>
    </xf>
    <xf numFmtId="3" fontId="8" fillId="4" borderId="4" xfId="4" applyNumberFormat="1" applyFont="1" applyFill="1" applyBorder="1" applyAlignment="1">
      <alignment horizontal="center" vertical="center" wrapText="1"/>
    </xf>
    <xf numFmtId="0" fontId="11" fillId="5" borderId="4" xfId="6" applyFont="1" applyFill="1" applyBorder="1" applyAlignment="1">
      <alignment horizontal="center" vertical="center" wrapText="1"/>
    </xf>
    <xf numFmtId="0" fontId="8" fillId="0" borderId="6" xfId="6" applyFont="1" applyBorder="1" applyAlignment="1">
      <alignment horizontal="center" vertical="center"/>
    </xf>
    <xf numFmtId="0" fontId="8" fillId="4" borderId="5" xfId="6" applyFont="1" applyFill="1" applyBorder="1" applyAlignment="1">
      <alignment horizontal="center" vertical="center" wrapText="1"/>
    </xf>
    <xf numFmtId="0" fontId="8" fillId="4" borderId="7" xfId="6" applyFont="1" applyFill="1" applyBorder="1" applyAlignment="1">
      <alignment horizontal="center" vertical="center" wrapText="1"/>
    </xf>
    <xf numFmtId="0" fontId="8" fillId="4" borderId="8" xfId="6" applyFont="1" applyFill="1" applyBorder="1" applyAlignment="1">
      <alignment horizontal="center" vertical="center" wrapText="1"/>
    </xf>
    <xf numFmtId="0" fontId="8" fillId="4" borderId="4" xfId="6" applyFont="1" applyFill="1" applyBorder="1" applyAlignment="1">
      <alignment horizontal="center" vertical="center" wrapText="1"/>
    </xf>
    <xf numFmtId="3" fontId="8" fillId="4" borderId="4" xfId="6" applyNumberFormat="1" applyFont="1" applyFill="1" applyBorder="1" applyAlignment="1">
      <alignment horizontal="center" vertical="center" wrapText="1"/>
    </xf>
  </cellXfs>
  <cellStyles count="11">
    <cellStyle name="Comma 2 2" xfId="2" xr:uid="{00000000-0005-0000-0000-000000000000}"/>
    <cellStyle name="Comma 3" xfId="5" xr:uid="{00000000-0005-0000-0000-000001000000}"/>
    <cellStyle name="Comma 3 2" xfId="7" xr:uid="{00000000-0005-0000-0000-000002000000}"/>
    <cellStyle name="Normal" xfId="0" builtinId="0"/>
    <cellStyle name="Normal 3 2" xfId="9" xr:uid="{00000000-0005-0000-0000-000004000000}"/>
    <cellStyle name="Normal 6" xfId="4" xr:uid="{00000000-0005-0000-0000-000005000000}"/>
    <cellStyle name="Normal 6 2" xfId="6" xr:uid="{00000000-0005-0000-0000-000006000000}"/>
    <cellStyle name="Normal 8" xfId="1" xr:uid="{00000000-0005-0000-0000-000007000000}"/>
    <cellStyle name="Normal_Sheet1" xfId="3" xr:uid="{00000000-0005-0000-0000-000008000000}"/>
    <cellStyle name="Normal_Sheet2" xfId="8" xr:uid="{00000000-0005-0000-0000-000009000000}"/>
    <cellStyle name="Normal_Sheet3" xfId="10"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1</xdr:col>
      <xdr:colOff>1847850</xdr:colOff>
      <xdr:row>151</xdr:row>
      <xdr:rowOff>0</xdr:rowOff>
    </xdr:from>
    <xdr:to>
      <xdr:col>1</xdr:col>
      <xdr:colOff>1847850</xdr:colOff>
      <xdr:row>151</xdr:row>
      <xdr:rowOff>0</xdr:rowOff>
    </xdr:to>
    <xdr:sp macro="" textlink="">
      <xdr:nvSpPr>
        <xdr:cNvPr id="2" name="Line 58">
          <a:extLst>
            <a:ext uri="{FF2B5EF4-FFF2-40B4-BE49-F238E27FC236}">
              <a16:creationId xmlns:a16="http://schemas.microsoft.com/office/drawing/2014/main" id="{00000000-0008-0000-0100-000002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3" name="Line 59">
          <a:extLst>
            <a:ext uri="{FF2B5EF4-FFF2-40B4-BE49-F238E27FC236}">
              <a16:creationId xmlns:a16="http://schemas.microsoft.com/office/drawing/2014/main" id="{00000000-0008-0000-0100-000003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4" name="Line 60">
          <a:extLst>
            <a:ext uri="{FF2B5EF4-FFF2-40B4-BE49-F238E27FC236}">
              <a16:creationId xmlns:a16="http://schemas.microsoft.com/office/drawing/2014/main" id="{00000000-0008-0000-0100-000004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5" name="Line 61">
          <a:extLst>
            <a:ext uri="{FF2B5EF4-FFF2-40B4-BE49-F238E27FC236}">
              <a16:creationId xmlns:a16="http://schemas.microsoft.com/office/drawing/2014/main" id="{00000000-0008-0000-0100-000005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6" name="Line 58">
          <a:extLst>
            <a:ext uri="{FF2B5EF4-FFF2-40B4-BE49-F238E27FC236}">
              <a16:creationId xmlns:a16="http://schemas.microsoft.com/office/drawing/2014/main" id="{00000000-0008-0000-0100-000006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7" name="Line 59">
          <a:extLst>
            <a:ext uri="{FF2B5EF4-FFF2-40B4-BE49-F238E27FC236}">
              <a16:creationId xmlns:a16="http://schemas.microsoft.com/office/drawing/2014/main" id="{00000000-0008-0000-0100-000007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8" name="Line 60">
          <a:extLst>
            <a:ext uri="{FF2B5EF4-FFF2-40B4-BE49-F238E27FC236}">
              <a16:creationId xmlns:a16="http://schemas.microsoft.com/office/drawing/2014/main" id="{00000000-0008-0000-0100-000008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9" name="Line 61">
          <a:extLst>
            <a:ext uri="{FF2B5EF4-FFF2-40B4-BE49-F238E27FC236}">
              <a16:creationId xmlns:a16="http://schemas.microsoft.com/office/drawing/2014/main" id="{00000000-0008-0000-0100-000009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0" name="Line 58">
          <a:extLst>
            <a:ext uri="{FF2B5EF4-FFF2-40B4-BE49-F238E27FC236}">
              <a16:creationId xmlns:a16="http://schemas.microsoft.com/office/drawing/2014/main" id="{00000000-0008-0000-0100-00000A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1" name="Line 59">
          <a:extLst>
            <a:ext uri="{FF2B5EF4-FFF2-40B4-BE49-F238E27FC236}">
              <a16:creationId xmlns:a16="http://schemas.microsoft.com/office/drawing/2014/main" id="{00000000-0008-0000-0100-00000B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2" name="Line 60">
          <a:extLst>
            <a:ext uri="{FF2B5EF4-FFF2-40B4-BE49-F238E27FC236}">
              <a16:creationId xmlns:a16="http://schemas.microsoft.com/office/drawing/2014/main" id="{00000000-0008-0000-0100-00000C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3" name="Line 61">
          <a:extLst>
            <a:ext uri="{FF2B5EF4-FFF2-40B4-BE49-F238E27FC236}">
              <a16:creationId xmlns:a16="http://schemas.microsoft.com/office/drawing/2014/main" id="{00000000-0008-0000-0100-00000D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4" name="Line 58">
          <a:extLst>
            <a:ext uri="{FF2B5EF4-FFF2-40B4-BE49-F238E27FC236}">
              <a16:creationId xmlns:a16="http://schemas.microsoft.com/office/drawing/2014/main" id="{00000000-0008-0000-0100-00000E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5" name="Line 59">
          <a:extLst>
            <a:ext uri="{FF2B5EF4-FFF2-40B4-BE49-F238E27FC236}">
              <a16:creationId xmlns:a16="http://schemas.microsoft.com/office/drawing/2014/main" id="{00000000-0008-0000-0100-00000F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6" name="Line 60">
          <a:extLst>
            <a:ext uri="{FF2B5EF4-FFF2-40B4-BE49-F238E27FC236}">
              <a16:creationId xmlns:a16="http://schemas.microsoft.com/office/drawing/2014/main" id="{00000000-0008-0000-0100-000010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7" name="Line 61">
          <a:extLst>
            <a:ext uri="{FF2B5EF4-FFF2-40B4-BE49-F238E27FC236}">
              <a16:creationId xmlns:a16="http://schemas.microsoft.com/office/drawing/2014/main" id="{00000000-0008-0000-0100-000011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18" name="Line 58">
          <a:extLst>
            <a:ext uri="{FF2B5EF4-FFF2-40B4-BE49-F238E27FC236}">
              <a16:creationId xmlns:a16="http://schemas.microsoft.com/office/drawing/2014/main" id="{00000000-0008-0000-0100-000012000000}"/>
            </a:ext>
          </a:extLst>
        </xdr:cNvPr>
        <xdr:cNvSpPr>
          <a:spLocks noChangeShapeType="1"/>
        </xdr:cNvSpPr>
      </xdr:nvSpPr>
      <xdr:spPr bwMode="auto">
        <a:xfrm>
          <a:off x="2876550" y="812977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19" name="Line 59">
          <a:extLst>
            <a:ext uri="{FF2B5EF4-FFF2-40B4-BE49-F238E27FC236}">
              <a16:creationId xmlns:a16="http://schemas.microsoft.com/office/drawing/2014/main" id="{00000000-0008-0000-0100-000013000000}"/>
            </a:ext>
          </a:extLst>
        </xdr:cNvPr>
        <xdr:cNvSpPr>
          <a:spLocks noChangeShapeType="1"/>
        </xdr:cNvSpPr>
      </xdr:nvSpPr>
      <xdr:spPr bwMode="auto">
        <a:xfrm>
          <a:off x="2876550" y="812977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20" name="Line 60">
          <a:extLst>
            <a:ext uri="{FF2B5EF4-FFF2-40B4-BE49-F238E27FC236}">
              <a16:creationId xmlns:a16="http://schemas.microsoft.com/office/drawing/2014/main" id="{00000000-0008-0000-0100-000014000000}"/>
            </a:ext>
          </a:extLst>
        </xdr:cNvPr>
        <xdr:cNvSpPr>
          <a:spLocks noChangeShapeType="1"/>
        </xdr:cNvSpPr>
      </xdr:nvSpPr>
      <xdr:spPr bwMode="auto">
        <a:xfrm>
          <a:off x="2876550" y="812977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21" name="Line 61">
          <a:extLst>
            <a:ext uri="{FF2B5EF4-FFF2-40B4-BE49-F238E27FC236}">
              <a16:creationId xmlns:a16="http://schemas.microsoft.com/office/drawing/2014/main" id="{00000000-0008-0000-0100-000015000000}"/>
            </a:ext>
          </a:extLst>
        </xdr:cNvPr>
        <xdr:cNvSpPr>
          <a:spLocks noChangeShapeType="1"/>
        </xdr:cNvSpPr>
      </xdr:nvSpPr>
      <xdr:spPr bwMode="auto">
        <a:xfrm>
          <a:off x="2876550" y="812977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2" name="Line 58">
          <a:extLst>
            <a:ext uri="{FF2B5EF4-FFF2-40B4-BE49-F238E27FC236}">
              <a16:creationId xmlns:a16="http://schemas.microsoft.com/office/drawing/2014/main" id="{00000000-0008-0000-0100-000016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3" name="Line 59">
          <a:extLst>
            <a:ext uri="{FF2B5EF4-FFF2-40B4-BE49-F238E27FC236}">
              <a16:creationId xmlns:a16="http://schemas.microsoft.com/office/drawing/2014/main" id="{00000000-0008-0000-0100-000017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4" name="Line 60">
          <a:extLst>
            <a:ext uri="{FF2B5EF4-FFF2-40B4-BE49-F238E27FC236}">
              <a16:creationId xmlns:a16="http://schemas.microsoft.com/office/drawing/2014/main" id="{00000000-0008-0000-0100-000018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5" name="Line 61">
          <a:extLst>
            <a:ext uri="{FF2B5EF4-FFF2-40B4-BE49-F238E27FC236}">
              <a16:creationId xmlns:a16="http://schemas.microsoft.com/office/drawing/2014/main" id="{00000000-0008-0000-0100-000019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6" name="Line 58">
          <a:extLst>
            <a:ext uri="{FF2B5EF4-FFF2-40B4-BE49-F238E27FC236}">
              <a16:creationId xmlns:a16="http://schemas.microsoft.com/office/drawing/2014/main" id="{00000000-0008-0000-0100-00001A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7" name="Line 59">
          <a:extLst>
            <a:ext uri="{FF2B5EF4-FFF2-40B4-BE49-F238E27FC236}">
              <a16:creationId xmlns:a16="http://schemas.microsoft.com/office/drawing/2014/main" id="{00000000-0008-0000-0100-00001B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8" name="Line 60">
          <a:extLst>
            <a:ext uri="{FF2B5EF4-FFF2-40B4-BE49-F238E27FC236}">
              <a16:creationId xmlns:a16="http://schemas.microsoft.com/office/drawing/2014/main" id="{00000000-0008-0000-0100-00001C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9" name="Line 61">
          <a:extLst>
            <a:ext uri="{FF2B5EF4-FFF2-40B4-BE49-F238E27FC236}">
              <a16:creationId xmlns:a16="http://schemas.microsoft.com/office/drawing/2014/main" id="{00000000-0008-0000-0100-00001D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0" name="Line 58">
          <a:extLst>
            <a:ext uri="{FF2B5EF4-FFF2-40B4-BE49-F238E27FC236}">
              <a16:creationId xmlns:a16="http://schemas.microsoft.com/office/drawing/2014/main" id="{00000000-0008-0000-0100-00001E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1" name="Line 59">
          <a:extLst>
            <a:ext uri="{FF2B5EF4-FFF2-40B4-BE49-F238E27FC236}">
              <a16:creationId xmlns:a16="http://schemas.microsoft.com/office/drawing/2014/main" id="{00000000-0008-0000-0100-00001F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2" name="Line 60">
          <a:extLst>
            <a:ext uri="{FF2B5EF4-FFF2-40B4-BE49-F238E27FC236}">
              <a16:creationId xmlns:a16="http://schemas.microsoft.com/office/drawing/2014/main" id="{00000000-0008-0000-0100-000020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3" name="Line 61">
          <a:extLst>
            <a:ext uri="{FF2B5EF4-FFF2-40B4-BE49-F238E27FC236}">
              <a16:creationId xmlns:a16="http://schemas.microsoft.com/office/drawing/2014/main" id="{00000000-0008-0000-0100-000021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4" name="Line 58">
          <a:extLst>
            <a:ext uri="{FF2B5EF4-FFF2-40B4-BE49-F238E27FC236}">
              <a16:creationId xmlns:a16="http://schemas.microsoft.com/office/drawing/2014/main" id="{00000000-0008-0000-0100-000022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5" name="Line 59">
          <a:extLst>
            <a:ext uri="{FF2B5EF4-FFF2-40B4-BE49-F238E27FC236}">
              <a16:creationId xmlns:a16="http://schemas.microsoft.com/office/drawing/2014/main" id="{00000000-0008-0000-0100-000023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6" name="Line 60">
          <a:extLst>
            <a:ext uri="{FF2B5EF4-FFF2-40B4-BE49-F238E27FC236}">
              <a16:creationId xmlns:a16="http://schemas.microsoft.com/office/drawing/2014/main" id="{00000000-0008-0000-0100-000024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7" name="Line 61">
          <a:extLst>
            <a:ext uri="{FF2B5EF4-FFF2-40B4-BE49-F238E27FC236}">
              <a16:creationId xmlns:a16="http://schemas.microsoft.com/office/drawing/2014/main" id="{00000000-0008-0000-0100-000025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38" name="Line 12">
          <a:extLst>
            <a:ext uri="{FF2B5EF4-FFF2-40B4-BE49-F238E27FC236}">
              <a16:creationId xmlns:a16="http://schemas.microsoft.com/office/drawing/2014/main" id="{00000000-0008-0000-0100-000026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39" name="Line 13">
          <a:extLst>
            <a:ext uri="{FF2B5EF4-FFF2-40B4-BE49-F238E27FC236}">
              <a16:creationId xmlns:a16="http://schemas.microsoft.com/office/drawing/2014/main" id="{00000000-0008-0000-0100-000027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0" name="Line 14">
          <a:extLst>
            <a:ext uri="{FF2B5EF4-FFF2-40B4-BE49-F238E27FC236}">
              <a16:creationId xmlns:a16="http://schemas.microsoft.com/office/drawing/2014/main" id="{00000000-0008-0000-0100-000028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1" name="Line 15">
          <a:extLst>
            <a:ext uri="{FF2B5EF4-FFF2-40B4-BE49-F238E27FC236}">
              <a16:creationId xmlns:a16="http://schemas.microsoft.com/office/drawing/2014/main" id="{00000000-0008-0000-0100-000029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2" name="Line 51">
          <a:extLst>
            <a:ext uri="{FF2B5EF4-FFF2-40B4-BE49-F238E27FC236}">
              <a16:creationId xmlns:a16="http://schemas.microsoft.com/office/drawing/2014/main" id="{00000000-0008-0000-0100-00002A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3" name="Line 52">
          <a:extLst>
            <a:ext uri="{FF2B5EF4-FFF2-40B4-BE49-F238E27FC236}">
              <a16:creationId xmlns:a16="http://schemas.microsoft.com/office/drawing/2014/main" id="{00000000-0008-0000-0100-00002B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4" name="Line 53">
          <a:extLst>
            <a:ext uri="{FF2B5EF4-FFF2-40B4-BE49-F238E27FC236}">
              <a16:creationId xmlns:a16="http://schemas.microsoft.com/office/drawing/2014/main" id="{00000000-0008-0000-0100-00002C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5" name="Line 54">
          <a:extLst>
            <a:ext uri="{FF2B5EF4-FFF2-40B4-BE49-F238E27FC236}">
              <a16:creationId xmlns:a16="http://schemas.microsoft.com/office/drawing/2014/main" id="{00000000-0008-0000-0100-00002D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46" name="Line 58">
          <a:extLst>
            <a:ext uri="{FF2B5EF4-FFF2-40B4-BE49-F238E27FC236}">
              <a16:creationId xmlns:a16="http://schemas.microsoft.com/office/drawing/2014/main" id="{00000000-0008-0000-0100-00002E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47" name="Line 59">
          <a:extLst>
            <a:ext uri="{FF2B5EF4-FFF2-40B4-BE49-F238E27FC236}">
              <a16:creationId xmlns:a16="http://schemas.microsoft.com/office/drawing/2014/main" id="{00000000-0008-0000-0100-00002F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48" name="Line 60">
          <a:extLst>
            <a:ext uri="{FF2B5EF4-FFF2-40B4-BE49-F238E27FC236}">
              <a16:creationId xmlns:a16="http://schemas.microsoft.com/office/drawing/2014/main" id="{00000000-0008-0000-0100-000030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49" name="Line 61">
          <a:extLst>
            <a:ext uri="{FF2B5EF4-FFF2-40B4-BE49-F238E27FC236}">
              <a16:creationId xmlns:a16="http://schemas.microsoft.com/office/drawing/2014/main" id="{00000000-0008-0000-0100-000031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0" name="Line 58">
          <a:extLst>
            <a:ext uri="{FF2B5EF4-FFF2-40B4-BE49-F238E27FC236}">
              <a16:creationId xmlns:a16="http://schemas.microsoft.com/office/drawing/2014/main" id="{00000000-0008-0000-0100-000032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1" name="Line 59">
          <a:extLst>
            <a:ext uri="{FF2B5EF4-FFF2-40B4-BE49-F238E27FC236}">
              <a16:creationId xmlns:a16="http://schemas.microsoft.com/office/drawing/2014/main" id="{00000000-0008-0000-0100-000033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2" name="Line 60">
          <a:extLst>
            <a:ext uri="{FF2B5EF4-FFF2-40B4-BE49-F238E27FC236}">
              <a16:creationId xmlns:a16="http://schemas.microsoft.com/office/drawing/2014/main" id="{00000000-0008-0000-0100-000034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3" name="Line 61">
          <a:extLst>
            <a:ext uri="{FF2B5EF4-FFF2-40B4-BE49-F238E27FC236}">
              <a16:creationId xmlns:a16="http://schemas.microsoft.com/office/drawing/2014/main" id="{00000000-0008-0000-0100-000035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54" name="Line 58">
          <a:extLst>
            <a:ext uri="{FF2B5EF4-FFF2-40B4-BE49-F238E27FC236}">
              <a16:creationId xmlns:a16="http://schemas.microsoft.com/office/drawing/2014/main" id="{00000000-0008-0000-0100-000036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55" name="Line 59">
          <a:extLst>
            <a:ext uri="{FF2B5EF4-FFF2-40B4-BE49-F238E27FC236}">
              <a16:creationId xmlns:a16="http://schemas.microsoft.com/office/drawing/2014/main" id="{00000000-0008-0000-0100-000037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56" name="Line 60">
          <a:extLst>
            <a:ext uri="{FF2B5EF4-FFF2-40B4-BE49-F238E27FC236}">
              <a16:creationId xmlns:a16="http://schemas.microsoft.com/office/drawing/2014/main" id="{00000000-0008-0000-0100-000038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57" name="Line 61">
          <a:extLst>
            <a:ext uri="{FF2B5EF4-FFF2-40B4-BE49-F238E27FC236}">
              <a16:creationId xmlns:a16="http://schemas.microsoft.com/office/drawing/2014/main" id="{00000000-0008-0000-0100-000039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8" name="Line 58">
          <a:extLst>
            <a:ext uri="{FF2B5EF4-FFF2-40B4-BE49-F238E27FC236}">
              <a16:creationId xmlns:a16="http://schemas.microsoft.com/office/drawing/2014/main" id="{00000000-0008-0000-0100-00003A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9" name="Line 59">
          <a:extLst>
            <a:ext uri="{FF2B5EF4-FFF2-40B4-BE49-F238E27FC236}">
              <a16:creationId xmlns:a16="http://schemas.microsoft.com/office/drawing/2014/main" id="{00000000-0008-0000-0100-00003B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0" name="Line 60">
          <a:extLst>
            <a:ext uri="{FF2B5EF4-FFF2-40B4-BE49-F238E27FC236}">
              <a16:creationId xmlns:a16="http://schemas.microsoft.com/office/drawing/2014/main" id="{00000000-0008-0000-0100-00003C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1" name="Line 61">
          <a:extLst>
            <a:ext uri="{FF2B5EF4-FFF2-40B4-BE49-F238E27FC236}">
              <a16:creationId xmlns:a16="http://schemas.microsoft.com/office/drawing/2014/main" id="{00000000-0008-0000-0100-00003D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62" name="Line 58">
          <a:extLst>
            <a:ext uri="{FF2B5EF4-FFF2-40B4-BE49-F238E27FC236}">
              <a16:creationId xmlns:a16="http://schemas.microsoft.com/office/drawing/2014/main" id="{00000000-0008-0000-0100-00003E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63" name="Line 59">
          <a:extLst>
            <a:ext uri="{FF2B5EF4-FFF2-40B4-BE49-F238E27FC236}">
              <a16:creationId xmlns:a16="http://schemas.microsoft.com/office/drawing/2014/main" id="{00000000-0008-0000-0100-00003F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64" name="Line 60">
          <a:extLst>
            <a:ext uri="{FF2B5EF4-FFF2-40B4-BE49-F238E27FC236}">
              <a16:creationId xmlns:a16="http://schemas.microsoft.com/office/drawing/2014/main" id="{00000000-0008-0000-0100-000040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65" name="Line 61">
          <a:extLst>
            <a:ext uri="{FF2B5EF4-FFF2-40B4-BE49-F238E27FC236}">
              <a16:creationId xmlns:a16="http://schemas.microsoft.com/office/drawing/2014/main" id="{00000000-0008-0000-0100-000041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66" name="Line 58">
          <a:extLst>
            <a:ext uri="{FF2B5EF4-FFF2-40B4-BE49-F238E27FC236}">
              <a16:creationId xmlns:a16="http://schemas.microsoft.com/office/drawing/2014/main" id="{00000000-0008-0000-0100-000042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67" name="Line 59">
          <a:extLst>
            <a:ext uri="{FF2B5EF4-FFF2-40B4-BE49-F238E27FC236}">
              <a16:creationId xmlns:a16="http://schemas.microsoft.com/office/drawing/2014/main" id="{00000000-0008-0000-0100-000043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68" name="Line 60">
          <a:extLst>
            <a:ext uri="{FF2B5EF4-FFF2-40B4-BE49-F238E27FC236}">
              <a16:creationId xmlns:a16="http://schemas.microsoft.com/office/drawing/2014/main" id="{00000000-0008-0000-0100-000044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69" name="Line 61">
          <a:extLst>
            <a:ext uri="{FF2B5EF4-FFF2-40B4-BE49-F238E27FC236}">
              <a16:creationId xmlns:a16="http://schemas.microsoft.com/office/drawing/2014/main" id="{00000000-0008-0000-0100-000045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70" name="Line 58">
          <a:extLst>
            <a:ext uri="{FF2B5EF4-FFF2-40B4-BE49-F238E27FC236}">
              <a16:creationId xmlns:a16="http://schemas.microsoft.com/office/drawing/2014/main" id="{00000000-0008-0000-0100-000046000000}"/>
            </a:ext>
          </a:extLst>
        </xdr:cNvPr>
        <xdr:cNvSpPr>
          <a:spLocks noChangeShapeType="1"/>
        </xdr:cNvSpPr>
      </xdr:nvSpPr>
      <xdr:spPr bwMode="auto">
        <a:xfrm>
          <a:off x="2876550" y="9655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71" name="Line 59">
          <a:extLst>
            <a:ext uri="{FF2B5EF4-FFF2-40B4-BE49-F238E27FC236}">
              <a16:creationId xmlns:a16="http://schemas.microsoft.com/office/drawing/2014/main" id="{00000000-0008-0000-0100-000047000000}"/>
            </a:ext>
          </a:extLst>
        </xdr:cNvPr>
        <xdr:cNvSpPr>
          <a:spLocks noChangeShapeType="1"/>
        </xdr:cNvSpPr>
      </xdr:nvSpPr>
      <xdr:spPr bwMode="auto">
        <a:xfrm>
          <a:off x="2876550" y="9655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72" name="Line 60">
          <a:extLst>
            <a:ext uri="{FF2B5EF4-FFF2-40B4-BE49-F238E27FC236}">
              <a16:creationId xmlns:a16="http://schemas.microsoft.com/office/drawing/2014/main" id="{00000000-0008-0000-0100-000048000000}"/>
            </a:ext>
          </a:extLst>
        </xdr:cNvPr>
        <xdr:cNvSpPr>
          <a:spLocks noChangeShapeType="1"/>
        </xdr:cNvSpPr>
      </xdr:nvSpPr>
      <xdr:spPr bwMode="auto">
        <a:xfrm>
          <a:off x="2876550" y="9655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73" name="Line 61">
          <a:extLst>
            <a:ext uri="{FF2B5EF4-FFF2-40B4-BE49-F238E27FC236}">
              <a16:creationId xmlns:a16="http://schemas.microsoft.com/office/drawing/2014/main" id="{00000000-0008-0000-0100-000049000000}"/>
            </a:ext>
          </a:extLst>
        </xdr:cNvPr>
        <xdr:cNvSpPr>
          <a:spLocks noChangeShapeType="1"/>
        </xdr:cNvSpPr>
      </xdr:nvSpPr>
      <xdr:spPr bwMode="auto">
        <a:xfrm>
          <a:off x="2876550" y="9655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4" name="Line 58">
          <a:extLst>
            <a:ext uri="{FF2B5EF4-FFF2-40B4-BE49-F238E27FC236}">
              <a16:creationId xmlns:a16="http://schemas.microsoft.com/office/drawing/2014/main" id="{00000000-0008-0000-0100-00004A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5" name="Line 59">
          <a:extLst>
            <a:ext uri="{FF2B5EF4-FFF2-40B4-BE49-F238E27FC236}">
              <a16:creationId xmlns:a16="http://schemas.microsoft.com/office/drawing/2014/main" id="{00000000-0008-0000-0100-00004B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6" name="Line 60">
          <a:extLst>
            <a:ext uri="{FF2B5EF4-FFF2-40B4-BE49-F238E27FC236}">
              <a16:creationId xmlns:a16="http://schemas.microsoft.com/office/drawing/2014/main" id="{00000000-0008-0000-0100-00004C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7" name="Line 61">
          <a:extLst>
            <a:ext uri="{FF2B5EF4-FFF2-40B4-BE49-F238E27FC236}">
              <a16:creationId xmlns:a16="http://schemas.microsoft.com/office/drawing/2014/main" id="{00000000-0008-0000-0100-00004D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78" name="Line 58">
          <a:extLst>
            <a:ext uri="{FF2B5EF4-FFF2-40B4-BE49-F238E27FC236}">
              <a16:creationId xmlns:a16="http://schemas.microsoft.com/office/drawing/2014/main" id="{00000000-0008-0000-0100-00004E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79" name="Line 59">
          <a:extLst>
            <a:ext uri="{FF2B5EF4-FFF2-40B4-BE49-F238E27FC236}">
              <a16:creationId xmlns:a16="http://schemas.microsoft.com/office/drawing/2014/main" id="{00000000-0008-0000-0100-00004F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0" name="Line 60">
          <a:extLst>
            <a:ext uri="{FF2B5EF4-FFF2-40B4-BE49-F238E27FC236}">
              <a16:creationId xmlns:a16="http://schemas.microsoft.com/office/drawing/2014/main" id="{00000000-0008-0000-0100-000050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1" name="Line 61">
          <a:extLst>
            <a:ext uri="{FF2B5EF4-FFF2-40B4-BE49-F238E27FC236}">
              <a16:creationId xmlns:a16="http://schemas.microsoft.com/office/drawing/2014/main" id="{00000000-0008-0000-0100-000051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82" name="Line 58">
          <a:extLst>
            <a:ext uri="{FF2B5EF4-FFF2-40B4-BE49-F238E27FC236}">
              <a16:creationId xmlns:a16="http://schemas.microsoft.com/office/drawing/2014/main" id="{00000000-0008-0000-0100-000052000000}"/>
            </a:ext>
          </a:extLst>
        </xdr:cNvPr>
        <xdr:cNvSpPr>
          <a:spLocks noChangeShapeType="1"/>
        </xdr:cNvSpPr>
      </xdr:nvSpPr>
      <xdr:spPr bwMode="auto">
        <a:xfrm>
          <a:off x="2876550" y="96019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83" name="Line 59">
          <a:extLst>
            <a:ext uri="{FF2B5EF4-FFF2-40B4-BE49-F238E27FC236}">
              <a16:creationId xmlns:a16="http://schemas.microsoft.com/office/drawing/2014/main" id="{00000000-0008-0000-0100-000053000000}"/>
            </a:ext>
          </a:extLst>
        </xdr:cNvPr>
        <xdr:cNvSpPr>
          <a:spLocks noChangeShapeType="1"/>
        </xdr:cNvSpPr>
      </xdr:nvSpPr>
      <xdr:spPr bwMode="auto">
        <a:xfrm>
          <a:off x="2876550" y="96019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84" name="Line 60">
          <a:extLst>
            <a:ext uri="{FF2B5EF4-FFF2-40B4-BE49-F238E27FC236}">
              <a16:creationId xmlns:a16="http://schemas.microsoft.com/office/drawing/2014/main" id="{00000000-0008-0000-0100-000054000000}"/>
            </a:ext>
          </a:extLst>
        </xdr:cNvPr>
        <xdr:cNvSpPr>
          <a:spLocks noChangeShapeType="1"/>
        </xdr:cNvSpPr>
      </xdr:nvSpPr>
      <xdr:spPr bwMode="auto">
        <a:xfrm>
          <a:off x="2876550" y="96019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85" name="Line 61">
          <a:extLst>
            <a:ext uri="{FF2B5EF4-FFF2-40B4-BE49-F238E27FC236}">
              <a16:creationId xmlns:a16="http://schemas.microsoft.com/office/drawing/2014/main" id="{00000000-0008-0000-0100-000055000000}"/>
            </a:ext>
          </a:extLst>
        </xdr:cNvPr>
        <xdr:cNvSpPr>
          <a:spLocks noChangeShapeType="1"/>
        </xdr:cNvSpPr>
      </xdr:nvSpPr>
      <xdr:spPr bwMode="auto">
        <a:xfrm>
          <a:off x="2876550" y="96019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1%20Tender/02.Tender%20submission%20in%20Process/23-57.%20D-111808/5.Suppliers/1.33kV%20GIS%20and%2011kV%20AIS/D-111808%20BOQ-Lot%201-SHBP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ummary"/>
      <sheetName val="Items 1,2,3-Construction Works"/>
      <sheetName val="Items 4-Load Diversion Works"/>
      <sheetName val="Items 5-8 Dismantl &amp; Modif work"/>
      <sheetName val="Items 9- Spare Parts (Optional)"/>
    </sheetNames>
    <sheetDataSet>
      <sheetData sheetId="0"/>
      <sheetData sheetId="1">
        <row r="2">
          <cell r="A2" t="str">
            <v>TENDER NO. :   D-111808</v>
          </cell>
        </row>
        <row r="3">
          <cell r="A3" t="str">
            <v>CONSTRUCTION WORKS FOR REPLACEMENT OF SHBPRY, SMHPRY AND DRPRY SUBSTATION IN EASTERN REGION</v>
          </cell>
        </row>
        <row r="4">
          <cell r="A4" t="str">
            <v>LOT 1: SHOBAISI PRY (SHBPRY)</v>
          </cell>
        </row>
        <row r="213">
          <cell r="B213" t="str">
            <v>Electrical Works for new 33/11 kV Primary Substation</v>
          </cell>
        </row>
        <row r="214">
          <cell r="B214" t="str">
            <v>Mechanical Works for new 33/11 kV Primary Substation</v>
          </cell>
        </row>
        <row r="215">
          <cell r="B215" t="str">
            <v>Civil Works for new 33/11 kV Primary Substation Building</v>
          </cell>
        </row>
      </sheetData>
      <sheetData sheetId="2">
        <row r="71">
          <cell r="B71" t="str">
            <v>Interconnecting Cables between Grid Station and the new Primary Substation and Load Diversion works</v>
          </cell>
        </row>
      </sheetData>
      <sheetData sheetId="3">
        <row r="21">
          <cell r="B21" t="str">
            <v>Dismantling, Decommissioning &amp; Demolition Works of existing old 33/11kV primary substation (SHBPRY)</v>
          </cell>
        </row>
        <row r="22">
          <cell r="B22" t="str">
            <v>Dismantling &amp; Decommissioning Works of old 2 nos. Package Units  (SHBPRY2 &amp; SHBPRY3)</v>
          </cell>
        </row>
        <row r="23">
          <cell r="B23" t="str">
            <v>33kV OHL Modification works for SHBPRY</v>
          </cell>
        </row>
        <row r="24">
          <cell r="B24" t="str">
            <v>Shifting of existing 11kV TRM (GIS name: OKH12) to a location near existing TRM (DHS08) to connect Radial Transformer (SHB02) into a ring feeder</v>
          </cell>
        </row>
      </sheetData>
      <sheetData sheetId="4">
        <row r="156">
          <cell r="B156" t="str">
            <v>Spare Parts &amp; Tools (Optional)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view="pageBreakPreview" topLeftCell="A3" zoomScale="84" zoomScaleNormal="100" zoomScaleSheetLayoutView="84" workbookViewId="0">
      <selection activeCell="E15" sqref="E15"/>
    </sheetView>
  </sheetViews>
  <sheetFormatPr defaultRowHeight="15.75" x14ac:dyDescent="0.25"/>
  <cols>
    <col min="1" max="1" width="10" style="3" customWidth="1"/>
    <col min="2" max="2" width="66.28515625" style="3" customWidth="1"/>
    <col min="3" max="5" width="26.140625" style="3" customWidth="1"/>
    <col min="6" max="6" width="34.140625" style="3" customWidth="1"/>
    <col min="7" max="7" width="12.85546875" style="3" customWidth="1"/>
    <col min="8" max="8" width="5.42578125" style="3" bestFit="1" customWidth="1"/>
    <col min="9" max="9" width="5.5703125" style="3" bestFit="1" customWidth="1"/>
    <col min="10" max="10" width="5.42578125" style="3" bestFit="1" customWidth="1"/>
    <col min="11" max="11" width="5.5703125" style="3" bestFit="1" customWidth="1"/>
    <col min="12" max="12" width="5.42578125" style="3" bestFit="1" customWidth="1"/>
    <col min="13" max="13" width="5.5703125" style="3" bestFit="1" customWidth="1"/>
    <col min="14" max="14" width="18.5703125" style="3" bestFit="1" customWidth="1"/>
    <col min="15" max="16" width="8.85546875" style="3"/>
    <col min="17" max="17" width="44.140625" style="3" customWidth="1"/>
    <col min="18" max="255" width="8.85546875" style="3"/>
    <col min="256" max="256" width="3.85546875" style="3" customWidth="1"/>
    <col min="257" max="257" width="0" style="3" hidden="1" customWidth="1"/>
    <col min="258" max="258" width="10" style="3" customWidth="1"/>
    <col min="259" max="259" width="49.28515625" style="3" customWidth="1"/>
    <col min="260" max="260" width="34.140625" style="3" customWidth="1"/>
    <col min="261" max="261" width="49.28515625" style="3" customWidth="1"/>
    <col min="262" max="262" width="34.140625" style="3" customWidth="1"/>
    <col min="263" max="263" width="12.85546875" style="3" customWidth="1"/>
    <col min="264" max="264" width="5.42578125" style="3" bestFit="1" customWidth="1"/>
    <col min="265" max="265" width="5.5703125" style="3" bestFit="1" customWidth="1"/>
    <col min="266" max="266" width="5.42578125" style="3" bestFit="1" customWidth="1"/>
    <col min="267" max="267" width="5.5703125" style="3" bestFit="1" customWidth="1"/>
    <col min="268" max="268" width="5.42578125" style="3" bestFit="1" customWidth="1"/>
    <col min="269" max="269" width="5.5703125" style="3" bestFit="1" customWidth="1"/>
    <col min="270" max="270" width="18.5703125" style="3" bestFit="1" customWidth="1"/>
    <col min="271" max="272" width="8.85546875" style="3"/>
    <col min="273" max="273" width="44.140625" style="3" customWidth="1"/>
    <col min="274" max="511" width="8.85546875" style="3"/>
    <col min="512" max="512" width="3.85546875" style="3" customWidth="1"/>
    <col min="513" max="513" width="0" style="3" hidden="1" customWidth="1"/>
    <col min="514" max="514" width="10" style="3" customWidth="1"/>
    <col min="515" max="515" width="49.28515625" style="3" customWidth="1"/>
    <col min="516" max="516" width="34.140625" style="3" customWidth="1"/>
    <col min="517" max="517" width="49.28515625" style="3" customWidth="1"/>
    <col min="518" max="518" width="34.140625" style="3" customWidth="1"/>
    <col min="519" max="519" width="12.85546875" style="3" customWidth="1"/>
    <col min="520" max="520" width="5.42578125" style="3" bestFit="1" customWidth="1"/>
    <col min="521" max="521" width="5.5703125" style="3" bestFit="1" customWidth="1"/>
    <col min="522" max="522" width="5.42578125" style="3" bestFit="1" customWidth="1"/>
    <col min="523" max="523" width="5.5703125" style="3" bestFit="1" customWidth="1"/>
    <col min="524" max="524" width="5.42578125" style="3" bestFit="1" customWidth="1"/>
    <col min="525" max="525" width="5.5703125" style="3" bestFit="1" customWidth="1"/>
    <col min="526" max="526" width="18.5703125" style="3" bestFit="1" customWidth="1"/>
    <col min="527" max="528" width="8.85546875" style="3"/>
    <col min="529" max="529" width="44.140625" style="3" customWidth="1"/>
    <col min="530" max="767" width="8.85546875" style="3"/>
    <col min="768" max="768" width="3.85546875" style="3" customWidth="1"/>
    <col min="769" max="769" width="0" style="3" hidden="1" customWidth="1"/>
    <col min="770" max="770" width="10" style="3" customWidth="1"/>
    <col min="771" max="771" width="49.28515625" style="3" customWidth="1"/>
    <col min="772" max="772" width="34.140625" style="3" customWidth="1"/>
    <col min="773" max="773" width="49.28515625" style="3" customWidth="1"/>
    <col min="774" max="774" width="34.140625" style="3" customWidth="1"/>
    <col min="775" max="775" width="12.85546875" style="3" customWidth="1"/>
    <col min="776" max="776" width="5.42578125" style="3" bestFit="1" customWidth="1"/>
    <col min="777" max="777" width="5.5703125" style="3" bestFit="1" customWidth="1"/>
    <col min="778" max="778" width="5.42578125" style="3" bestFit="1" customWidth="1"/>
    <col min="779" max="779" width="5.5703125" style="3" bestFit="1" customWidth="1"/>
    <col min="780" max="780" width="5.42578125" style="3" bestFit="1" customWidth="1"/>
    <col min="781" max="781" width="5.5703125" style="3" bestFit="1" customWidth="1"/>
    <col min="782" max="782" width="18.5703125" style="3" bestFit="1" customWidth="1"/>
    <col min="783" max="784" width="8.85546875" style="3"/>
    <col min="785" max="785" width="44.140625" style="3" customWidth="1"/>
    <col min="786" max="1023" width="8.85546875" style="3"/>
    <col min="1024" max="1024" width="3.85546875" style="3" customWidth="1"/>
    <col min="1025" max="1025" width="0" style="3" hidden="1" customWidth="1"/>
    <col min="1026" max="1026" width="10" style="3" customWidth="1"/>
    <col min="1027" max="1027" width="49.28515625" style="3" customWidth="1"/>
    <col min="1028" max="1028" width="34.140625" style="3" customWidth="1"/>
    <col min="1029" max="1029" width="49.28515625" style="3" customWidth="1"/>
    <col min="1030" max="1030" width="34.140625" style="3" customWidth="1"/>
    <col min="1031" max="1031" width="12.85546875" style="3" customWidth="1"/>
    <col min="1032" max="1032" width="5.42578125" style="3" bestFit="1" customWidth="1"/>
    <col min="1033" max="1033" width="5.5703125" style="3" bestFit="1" customWidth="1"/>
    <col min="1034" max="1034" width="5.42578125" style="3" bestFit="1" customWidth="1"/>
    <col min="1035" max="1035" width="5.5703125" style="3" bestFit="1" customWidth="1"/>
    <col min="1036" max="1036" width="5.42578125" style="3" bestFit="1" customWidth="1"/>
    <col min="1037" max="1037" width="5.5703125" style="3" bestFit="1" customWidth="1"/>
    <col min="1038" max="1038" width="18.5703125" style="3" bestFit="1" customWidth="1"/>
    <col min="1039" max="1040" width="8.85546875" style="3"/>
    <col min="1041" max="1041" width="44.140625" style="3" customWidth="1"/>
    <col min="1042" max="1279" width="8.85546875" style="3"/>
    <col min="1280" max="1280" width="3.85546875" style="3" customWidth="1"/>
    <col min="1281" max="1281" width="0" style="3" hidden="1" customWidth="1"/>
    <col min="1282" max="1282" width="10" style="3" customWidth="1"/>
    <col min="1283" max="1283" width="49.28515625" style="3" customWidth="1"/>
    <col min="1284" max="1284" width="34.140625" style="3" customWidth="1"/>
    <col min="1285" max="1285" width="49.28515625" style="3" customWidth="1"/>
    <col min="1286" max="1286" width="34.140625" style="3" customWidth="1"/>
    <col min="1287" max="1287" width="12.85546875" style="3" customWidth="1"/>
    <col min="1288" max="1288" width="5.42578125" style="3" bestFit="1" customWidth="1"/>
    <col min="1289" max="1289" width="5.5703125" style="3" bestFit="1" customWidth="1"/>
    <col min="1290" max="1290" width="5.42578125" style="3" bestFit="1" customWidth="1"/>
    <col min="1291" max="1291" width="5.5703125" style="3" bestFit="1" customWidth="1"/>
    <col min="1292" max="1292" width="5.42578125" style="3" bestFit="1" customWidth="1"/>
    <col min="1293" max="1293" width="5.5703125" style="3" bestFit="1" customWidth="1"/>
    <col min="1294" max="1294" width="18.5703125" style="3" bestFit="1" customWidth="1"/>
    <col min="1295" max="1296" width="8.85546875" style="3"/>
    <col min="1297" max="1297" width="44.140625" style="3" customWidth="1"/>
    <col min="1298" max="1535" width="8.85546875" style="3"/>
    <col min="1536" max="1536" width="3.85546875" style="3" customWidth="1"/>
    <col min="1537" max="1537" width="0" style="3" hidden="1" customWidth="1"/>
    <col min="1538" max="1538" width="10" style="3" customWidth="1"/>
    <col min="1539" max="1539" width="49.28515625" style="3" customWidth="1"/>
    <col min="1540" max="1540" width="34.140625" style="3" customWidth="1"/>
    <col min="1541" max="1541" width="49.28515625" style="3" customWidth="1"/>
    <col min="1542" max="1542" width="34.140625" style="3" customWidth="1"/>
    <col min="1543" max="1543" width="12.85546875" style="3" customWidth="1"/>
    <col min="1544" max="1544" width="5.42578125" style="3" bestFit="1" customWidth="1"/>
    <col min="1545" max="1545" width="5.5703125" style="3" bestFit="1" customWidth="1"/>
    <col min="1546" max="1546" width="5.42578125" style="3" bestFit="1" customWidth="1"/>
    <col min="1547" max="1547" width="5.5703125" style="3" bestFit="1" customWidth="1"/>
    <col min="1548" max="1548" width="5.42578125" style="3" bestFit="1" customWidth="1"/>
    <col min="1549" max="1549" width="5.5703125" style="3" bestFit="1" customWidth="1"/>
    <col min="1550" max="1550" width="18.5703125" style="3" bestFit="1" customWidth="1"/>
    <col min="1551" max="1552" width="8.85546875" style="3"/>
    <col min="1553" max="1553" width="44.140625" style="3" customWidth="1"/>
    <col min="1554" max="1791" width="8.85546875" style="3"/>
    <col min="1792" max="1792" width="3.85546875" style="3" customWidth="1"/>
    <col min="1793" max="1793" width="0" style="3" hidden="1" customWidth="1"/>
    <col min="1794" max="1794" width="10" style="3" customWidth="1"/>
    <col min="1795" max="1795" width="49.28515625" style="3" customWidth="1"/>
    <col min="1796" max="1796" width="34.140625" style="3" customWidth="1"/>
    <col min="1797" max="1797" width="49.28515625" style="3" customWidth="1"/>
    <col min="1798" max="1798" width="34.140625" style="3" customWidth="1"/>
    <col min="1799" max="1799" width="12.85546875" style="3" customWidth="1"/>
    <col min="1800" max="1800" width="5.42578125" style="3" bestFit="1" customWidth="1"/>
    <col min="1801" max="1801" width="5.5703125" style="3" bestFit="1" customWidth="1"/>
    <col min="1802" max="1802" width="5.42578125" style="3" bestFit="1" customWidth="1"/>
    <col min="1803" max="1803" width="5.5703125" style="3" bestFit="1" customWidth="1"/>
    <col min="1804" max="1804" width="5.42578125" style="3" bestFit="1" customWidth="1"/>
    <col min="1805" max="1805" width="5.5703125" style="3" bestFit="1" customWidth="1"/>
    <col min="1806" max="1806" width="18.5703125" style="3" bestFit="1" customWidth="1"/>
    <col min="1807" max="1808" width="8.85546875" style="3"/>
    <col min="1809" max="1809" width="44.140625" style="3" customWidth="1"/>
    <col min="1810" max="2047" width="8.85546875" style="3"/>
    <col min="2048" max="2048" width="3.85546875" style="3" customWidth="1"/>
    <col min="2049" max="2049" width="0" style="3" hidden="1" customWidth="1"/>
    <col min="2050" max="2050" width="10" style="3" customWidth="1"/>
    <col min="2051" max="2051" width="49.28515625" style="3" customWidth="1"/>
    <col min="2052" max="2052" width="34.140625" style="3" customWidth="1"/>
    <col min="2053" max="2053" width="49.28515625" style="3" customWidth="1"/>
    <col min="2054" max="2054" width="34.140625" style="3" customWidth="1"/>
    <col min="2055" max="2055" width="12.85546875" style="3" customWidth="1"/>
    <col min="2056" max="2056" width="5.42578125" style="3" bestFit="1" customWidth="1"/>
    <col min="2057" max="2057" width="5.5703125" style="3" bestFit="1" customWidth="1"/>
    <col min="2058" max="2058" width="5.42578125" style="3" bestFit="1" customWidth="1"/>
    <col min="2059" max="2059" width="5.5703125" style="3" bestFit="1" customWidth="1"/>
    <col min="2060" max="2060" width="5.42578125" style="3" bestFit="1" customWidth="1"/>
    <col min="2061" max="2061" width="5.5703125" style="3" bestFit="1" customWidth="1"/>
    <col min="2062" max="2062" width="18.5703125" style="3" bestFit="1" customWidth="1"/>
    <col min="2063" max="2064" width="8.85546875" style="3"/>
    <col min="2065" max="2065" width="44.140625" style="3" customWidth="1"/>
    <col min="2066" max="2303" width="8.85546875" style="3"/>
    <col min="2304" max="2304" width="3.85546875" style="3" customWidth="1"/>
    <col min="2305" max="2305" width="0" style="3" hidden="1" customWidth="1"/>
    <col min="2306" max="2306" width="10" style="3" customWidth="1"/>
    <col min="2307" max="2307" width="49.28515625" style="3" customWidth="1"/>
    <col min="2308" max="2308" width="34.140625" style="3" customWidth="1"/>
    <col min="2309" max="2309" width="49.28515625" style="3" customWidth="1"/>
    <col min="2310" max="2310" width="34.140625" style="3" customWidth="1"/>
    <col min="2311" max="2311" width="12.85546875" style="3" customWidth="1"/>
    <col min="2312" max="2312" width="5.42578125" style="3" bestFit="1" customWidth="1"/>
    <col min="2313" max="2313" width="5.5703125" style="3" bestFit="1" customWidth="1"/>
    <col min="2314" max="2314" width="5.42578125" style="3" bestFit="1" customWidth="1"/>
    <col min="2315" max="2315" width="5.5703125" style="3" bestFit="1" customWidth="1"/>
    <col min="2316" max="2316" width="5.42578125" style="3" bestFit="1" customWidth="1"/>
    <col min="2317" max="2317" width="5.5703125" style="3" bestFit="1" customWidth="1"/>
    <col min="2318" max="2318" width="18.5703125" style="3" bestFit="1" customWidth="1"/>
    <col min="2319" max="2320" width="8.85546875" style="3"/>
    <col min="2321" max="2321" width="44.140625" style="3" customWidth="1"/>
    <col min="2322" max="2559" width="8.85546875" style="3"/>
    <col min="2560" max="2560" width="3.85546875" style="3" customWidth="1"/>
    <col min="2561" max="2561" width="0" style="3" hidden="1" customWidth="1"/>
    <col min="2562" max="2562" width="10" style="3" customWidth="1"/>
    <col min="2563" max="2563" width="49.28515625" style="3" customWidth="1"/>
    <col min="2564" max="2564" width="34.140625" style="3" customWidth="1"/>
    <col min="2565" max="2565" width="49.28515625" style="3" customWidth="1"/>
    <col min="2566" max="2566" width="34.140625" style="3" customWidth="1"/>
    <col min="2567" max="2567" width="12.85546875" style="3" customWidth="1"/>
    <col min="2568" max="2568" width="5.42578125" style="3" bestFit="1" customWidth="1"/>
    <col min="2569" max="2569" width="5.5703125" style="3" bestFit="1" customWidth="1"/>
    <col min="2570" max="2570" width="5.42578125" style="3" bestFit="1" customWidth="1"/>
    <col min="2571" max="2571" width="5.5703125" style="3" bestFit="1" customWidth="1"/>
    <col min="2572" max="2572" width="5.42578125" style="3" bestFit="1" customWidth="1"/>
    <col min="2573" max="2573" width="5.5703125" style="3" bestFit="1" customWidth="1"/>
    <col min="2574" max="2574" width="18.5703125" style="3" bestFit="1" customWidth="1"/>
    <col min="2575" max="2576" width="8.85546875" style="3"/>
    <col min="2577" max="2577" width="44.140625" style="3" customWidth="1"/>
    <col min="2578" max="2815" width="8.85546875" style="3"/>
    <col min="2816" max="2816" width="3.85546875" style="3" customWidth="1"/>
    <col min="2817" max="2817" width="0" style="3" hidden="1" customWidth="1"/>
    <col min="2818" max="2818" width="10" style="3" customWidth="1"/>
    <col min="2819" max="2819" width="49.28515625" style="3" customWidth="1"/>
    <col min="2820" max="2820" width="34.140625" style="3" customWidth="1"/>
    <col min="2821" max="2821" width="49.28515625" style="3" customWidth="1"/>
    <col min="2822" max="2822" width="34.140625" style="3" customWidth="1"/>
    <col min="2823" max="2823" width="12.85546875" style="3" customWidth="1"/>
    <col min="2824" max="2824" width="5.42578125" style="3" bestFit="1" customWidth="1"/>
    <col min="2825" max="2825" width="5.5703125" style="3" bestFit="1" customWidth="1"/>
    <col min="2826" max="2826" width="5.42578125" style="3" bestFit="1" customWidth="1"/>
    <col min="2827" max="2827" width="5.5703125" style="3" bestFit="1" customWidth="1"/>
    <col min="2828" max="2828" width="5.42578125" style="3" bestFit="1" customWidth="1"/>
    <col min="2829" max="2829" width="5.5703125" style="3" bestFit="1" customWidth="1"/>
    <col min="2830" max="2830" width="18.5703125" style="3" bestFit="1" customWidth="1"/>
    <col min="2831" max="2832" width="8.85546875" style="3"/>
    <col min="2833" max="2833" width="44.140625" style="3" customWidth="1"/>
    <col min="2834" max="3071" width="8.85546875" style="3"/>
    <col min="3072" max="3072" width="3.85546875" style="3" customWidth="1"/>
    <col min="3073" max="3073" width="0" style="3" hidden="1" customWidth="1"/>
    <col min="3074" max="3074" width="10" style="3" customWidth="1"/>
    <col min="3075" max="3075" width="49.28515625" style="3" customWidth="1"/>
    <col min="3076" max="3076" width="34.140625" style="3" customWidth="1"/>
    <col min="3077" max="3077" width="49.28515625" style="3" customWidth="1"/>
    <col min="3078" max="3078" width="34.140625" style="3" customWidth="1"/>
    <col min="3079" max="3079" width="12.85546875" style="3" customWidth="1"/>
    <col min="3080" max="3080" width="5.42578125" style="3" bestFit="1" customWidth="1"/>
    <col min="3081" max="3081" width="5.5703125" style="3" bestFit="1" customWidth="1"/>
    <col min="3082" max="3082" width="5.42578125" style="3" bestFit="1" customWidth="1"/>
    <col min="3083" max="3083" width="5.5703125" style="3" bestFit="1" customWidth="1"/>
    <col min="3084" max="3084" width="5.42578125" style="3" bestFit="1" customWidth="1"/>
    <col min="3085" max="3085" width="5.5703125" style="3" bestFit="1" customWidth="1"/>
    <col min="3086" max="3086" width="18.5703125" style="3" bestFit="1" customWidth="1"/>
    <col min="3087" max="3088" width="8.85546875" style="3"/>
    <col min="3089" max="3089" width="44.140625" style="3" customWidth="1"/>
    <col min="3090" max="3327" width="8.85546875" style="3"/>
    <col min="3328" max="3328" width="3.85546875" style="3" customWidth="1"/>
    <col min="3329" max="3329" width="0" style="3" hidden="1" customWidth="1"/>
    <col min="3330" max="3330" width="10" style="3" customWidth="1"/>
    <col min="3331" max="3331" width="49.28515625" style="3" customWidth="1"/>
    <col min="3332" max="3332" width="34.140625" style="3" customWidth="1"/>
    <col min="3333" max="3333" width="49.28515625" style="3" customWidth="1"/>
    <col min="3334" max="3334" width="34.140625" style="3" customWidth="1"/>
    <col min="3335" max="3335" width="12.85546875" style="3" customWidth="1"/>
    <col min="3336" max="3336" width="5.42578125" style="3" bestFit="1" customWidth="1"/>
    <col min="3337" max="3337" width="5.5703125" style="3" bestFit="1" customWidth="1"/>
    <col min="3338" max="3338" width="5.42578125" style="3" bestFit="1" customWidth="1"/>
    <col min="3339" max="3339" width="5.5703125" style="3" bestFit="1" customWidth="1"/>
    <col min="3340" max="3340" width="5.42578125" style="3" bestFit="1" customWidth="1"/>
    <col min="3341" max="3341" width="5.5703125" style="3" bestFit="1" customWidth="1"/>
    <col min="3342" max="3342" width="18.5703125" style="3" bestFit="1" customWidth="1"/>
    <col min="3343" max="3344" width="8.85546875" style="3"/>
    <col min="3345" max="3345" width="44.140625" style="3" customWidth="1"/>
    <col min="3346" max="3583" width="8.85546875" style="3"/>
    <col min="3584" max="3584" width="3.85546875" style="3" customWidth="1"/>
    <col min="3585" max="3585" width="0" style="3" hidden="1" customWidth="1"/>
    <col min="3586" max="3586" width="10" style="3" customWidth="1"/>
    <col min="3587" max="3587" width="49.28515625" style="3" customWidth="1"/>
    <col min="3588" max="3588" width="34.140625" style="3" customWidth="1"/>
    <col min="3589" max="3589" width="49.28515625" style="3" customWidth="1"/>
    <col min="3590" max="3590" width="34.140625" style="3" customWidth="1"/>
    <col min="3591" max="3591" width="12.85546875" style="3" customWidth="1"/>
    <col min="3592" max="3592" width="5.42578125" style="3" bestFit="1" customWidth="1"/>
    <col min="3593" max="3593" width="5.5703125" style="3" bestFit="1" customWidth="1"/>
    <col min="3594" max="3594" width="5.42578125" style="3" bestFit="1" customWidth="1"/>
    <col min="3595" max="3595" width="5.5703125" style="3" bestFit="1" customWidth="1"/>
    <col min="3596" max="3596" width="5.42578125" style="3" bestFit="1" customWidth="1"/>
    <col min="3597" max="3597" width="5.5703125" style="3" bestFit="1" customWidth="1"/>
    <col min="3598" max="3598" width="18.5703125" style="3" bestFit="1" customWidth="1"/>
    <col min="3599" max="3600" width="8.85546875" style="3"/>
    <col min="3601" max="3601" width="44.140625" style="3" customWidth="1"/>
    <col min="3602" max="3839" width="8.85546875" style="3"/>
    <col min="3840" max="3840" width="3.85546875" style="3" customWidth="1"/>
    <col min="3841" max="3841" width="0" style="3" hidden="1" customWidth="1"/>
    <col min="3842" max="3842" width="10" style="3" customWidth="1"/>
    <col min="3843" max="3843" width="49.28515625" style="3" customWidth="1"/>
    <col min="3844" max="3844" width="34.140625" style="3" customWidth="1"/>
    <col min="3845" max="3845" width="49.28515625" style="3" customWidth="1"/>
    <col min="3846" max="3846" width="34.140625" style="3" customWidth="1"/>
    <col min="3847" max="3847" width="12.85546875" style="3" customWidth="1"/>
    <col min="3848" max="3848" width="5.42578125" style="3" bestFit="1" customWidth="1"/>
    <col min="3849" max="3849" width="5.5703125" style="3" bestFit="1" customWidth="1"/>
    <col min="3850" max="3850" width="5.42578125" style="3" bestFit="1" customWidth="1"/>
    <col min="3851" max="3851" width="5.5703125" style="3" bestFit="1" customWidth="1"/>
    <col min="3852" max="3852" width="5.42578125" style="3" bestFit="1" customWidth="1"/>
    <col min="3853" max="3853" width="5.5703125" style="3" bestFit="1" customWidth="1"/>
    <col min="3854" max="3854" width="18.5703125" style="3" bestFit="1" customWidth="1"/>
    <col min="3855" max="3856" width="8.85546875" style="3"/>
    <col min="3857" max="3857" width="44.140625" style="3" customWidth="1"/>
    <col min="3858" max="4095" width="8.85546875" style="3"/>
    <col min="4096" max="4096" width="3.85546875" style="3" customWidth="1"/>
    <col min="4097" max="4097" width="0" style="3" hidden="1" customWidth="1"/>
    <col min="4098" max="4098" width="10" style="3" customWidth="1"/>
    <col min="4099" max="4099" width="49.28515625" style="3" customWidth="1"/>
    <col min="4100" max="4100" width="34.140625" style="3" customWidth="1"/>
    <col min="4101" max="4101" width="49.28515625" style="3" customWidth="1"/>
    <col min="4102" max="4102" width="34.140625" style="3" customWidth="1"/>
    <col min="4103" max="4103" width="12.85546875" style="3" customWidth="1"/>
    <col min="4104" max="4104" width="5.42578125" style="3" bestFit="1" customWidth="1"/>
    <col min="4105" max="4105" width="5.5703125" style="3" bestFit="1" customWidth="1"/>
    <col min="4106" max="4106" width="5.42578125" style="3" bestFit="1" customWidth="1"/>
    <col min="4107" max="4107" width="5.5703125" style="3" bestFit="1" customWidth="1"/>
    <col min="4108" max="4108" width="5.42578125" style="3" bestFit="1" customWidth="1"/>
    <col min="4109" max="4109" width="5.5703125" style="3" bestFit="1" customWidth="1"/>
    <col min="4110" max="4110" width="18.5703125" style="3" bestFit="1" customWidth="1"/>
    <col min="4111" max="4112" width="8.85546875" style="3"/>
    <col min="4113" max="4113" width="44.140625" style="3" customWidth="1"/>
    <col min="4114" max="4351" width="8.85546875" style="3"/>
    <col min="4352" max="4352" width="3.85546875" style="3" customWidth="1"/>
    <col min="4353" max="4353" width="0" style="3" hidden="1" customWidth="1"/>
    <col min="4354" max="4354" width="10" style="3" customWidth="1"/>
    <col min="4355" max="4355" width="49.28515625" style="3" customWidth="1"/>
    <col min="4356" max="4356" width="34.140625" style="3" customWidth="1"/>
    <col min="4357" max="4357" width="49.28515625" style="3" customWidth="1"/>
    <col min="4358" max="4358" width="34.140625" style="3" customWidth="1"/>
    <col min="4359" max="4359" width="12.85546875" style="3" customWidth="1"/>
    <col min="4360" max="4360" width="5.42578125" style="3" bestFit="1" customWidth="1"/>
    <col min="4361" max="4361" width="5.5703125" style="3" bestFit="1" customWidth="1"/>
    <col min="4362" max="4362" width="5.42578125" style="3" bestFit="1" customWidth="1"/>
    <col min="4363" max="4363" width="5.5703125" style="3" bestFit="1" customWidth="1"/>
    <col min="4364" max="4364" width="5.42578125" style="3" bestFit="1" customWidth="1"/>
    <col min="4365" max="4365" width="5.5703125" style="3" bestFit="1" customWidth="1"/>
    <col min="4366" max="4366" width="18.5703125" style="3" bestFit="1" customWidth="1"/>
    <col min="4367" max="4368" width="8.85546875" style="3"/>
    <col min="4369" max="4369" width="44.140625" style="3" customWidth="1"/>
    <col min="4370" max="4607" width="8.85546875" style="3"/>
    <col min="4608" max="4608" width="3.85546875" style="3" customWidth="1"/>
    <col min="4609" max="4609" width="0" style="3" hidden="1" customWidth="1"/>
    <col min="4610" max="4610" width="10" style="3" customWidth="1"/>
    <col min="4611" max="4611" width="49.28515625" style="3" customWidth="1"/>
    <col min="4612" max="4612" width="34.140625" style="3" customWidth="1"/>
    <col min="4613" max="4613" width="49.28515625" style="3" customWidth="1"/>
    <col min="4614" max="4614" width="34.140625" style="3" customWidth="1"/>
    <col min="4615" max="4615" width="12.85546875" style="3" customWidth="1"/>
    <col min="4616" max="4616" width="5.42578125" style="3" bestFit="1" customWidth="1"/>
    <col min="4617" max="4617" width="5.5703125" style="3" bestFit="1" customWidth="1"/>
    <col min="4618" max="4618" width="5.42578125" style="3" bestFit="1" customWidth="1"/>
    <col min="4619" max="4619" width="5.5703125" style="3" bestFit="1" customWidth="1"/>
    <col min="4620" max="4620" width="5.42578125" style="3" bestFit="1" customWidth="1"/>
    <col min="4621" max="4621" width="5.5703125" style="3" bestFit="1" customWidth="1"/>
    <col min="4622" max="4622" width="18.5703125" style="3" bestFit="1" customWidth="1"/>
    <col min="4623" max="4624" width="8.85546875" style="3"/>
    <col min="4625" max="4625" width="44.140625" style="3" customWidth="1"/>
    <col min="4626" max="4863" width="8.85546875" style="3"/>
    <col min="4864" max="4864" width="3.85546875" style="3" customWidth="1"/>
    <col min="4865" max="4865" width="0" style="3" hidden="1" customWidth="1"/>
    <col min="4866" max="4866" width="10" style="3" customWidth="1"/>
    <col min="4867" max="4867" width="49.28515625" style="3" customWidth="1"/>
    <col min="4868" max="4868" width="34.140625" style="3" customWidth="1"/>
    <col min="4869" max="4869" width="49.28515625" style="3" customWidth="1"/>
    <col min="4870" max="4870" width="34.140625" style="3" customWidth="1"/>
    <col min="4871" max="4871" width="12.85546875" style="3" customWidth="1"/>
    <col min="4872" max="4872" width="5.42578125" style="3" bestFit="1" customWidth="1"/>
    <col min="4873" max="4873" width="5.5703125" style="3" bestFit="1" customWidth="1"/>
    <col min="4874" max="4874" width="5.42578125" style="3" bestFit="1" customWidth="1"/>
    <col min="4875" max="4875" width="5.5703125" style="3" bestFit="1" customWidth="1"/>
    <col min="4876" max="4876" width="5.42578125" style="3" bestFit="1" customWidth="1"/>
    <col min="4877" max="4877" width="5.5703125" style="3" bestFit="1" customWidth="1"/>
    <col min="4878" max="4878" width="18.5703125" style="3" bestFit="1" customWidth="1"/>
    <col min="4879" max="4880" width="8.85546875" style="3"/>
    <col min="4881" max="4881" width="44.140625" style="3" customWidth="1"/>
    <col min="4882" max="5119" width="8.85546875" style="3"/>
    <col min="5120" max="5120" width="3.85546875" style="3" customWidth="1"/>
    <col min="5121" max="5121" width="0" style="3" hidden="1" customWidth="1"/>
    <col min="5122" max="5122" width="10" style="3" customWidth="1"/>
    <col min="5123" max="5123" width="49.28515625" style="3" customWidth="1"/>
    <col min="5124" max="5124" width="34.140625" style="3" customWidth="1"/>
    <col min="5125" max="5125" width="49.28515625" style="3" customWidth="1"/>
    <col min="5126" max="5126" width="34.140625" style="3" customWidth="1"/>
    <col min="5127" max="5127" width="12.85546875" style="3" customWidth="1"/>
    <col min="5128" max="5128" width="5.42578125" style="3" bestFit="1" customWidth="1"/>
    <col min="5129" max="5129" width="5.5703125" style="3" bestFit="1" customWidth="1"/>
    <col min="5130" max="5130" width="5.42578125" style="3" bestFit="1" customWidth="1"/>
    <col min="5131" max="5131" width="5.5703125" style="3" bestFit="1" customWidth="1"/>
    <col min="5132" max="5132" width="5.42578125" style="3" bestFit="1" customWidth="1"/>
    <col min="5133" max="5133" width="5.5703125" style="3" bestFit="1" customWidth="1"/>
    <col min="5134" max="5134" width="18.5703125" style="3" bestFit="1" customWidth="1"/>
    <col min="5135" max="5136" width="8.85546875" style="3"/>
    <col min="5137" max="5137" width="44.140625" style="3" customWidth="1"/>
    <col min="5138" max="5375" width="8.85546875" style="3"/>
    <col min="5376" max="5376" width="3.85546875" style="3" customWidth="1"/>
    <col min="5377" max="5377" width="0" style="3" hidden="1" customWidth="1"/>
    <col min="5378" max="5378" width="10" style="3" customWidth="1"/>
    <col min="5379" max="5379" width="49.28515625" style="3" customWidth="1"/>
    <col min="5380" max="5380" width="34.140625" style="3" customWidth="1"/>
    <col min="5381" max="5381" width="49.28515625" style="3" customWidth="1"/>
    <col min="5382" max="5382" width="34.140625" style="3" customWidth="1"/>
    <col min="5383" max="5383" width="12.85546875" style="3" customWidth="1"/>
    <col min="5384" max="5384" width="5.42578125" style="3" bestFit="1" customWidth="1"/>
    <col min="5385" max="5385" width="5.5703125" style="3" bestFit="1" customWidth="1"/>
    <col min="5386" max="5386" width="5.42578125" style="3" bestFit="1" customWidth="1"/>
    <col min="5387" max="5387" width="5.5703125" style="3" bestFit="1" customWidth="1"/>
    <col min="5388" max="5388" width="5.42578125" style="3" bestFit="1" customWidth="1"/>
    <col min="5389" max="5389" width="5.5703125" style="3" bestFit="1" customWidth="1"/>
    <col min="5390" max="5390" width="18.5703125" style="3" bestFit="1" customWidth="1"/>
    <col min="5391" max="5392" width="8.85546875" style="3"/>
    <col min="5393" max="5393" width="44.140625" style="3" customWidth="1"/>
    <col min="5394" max="5631" width="8.85546875" style="3"/>
    <col min="5632" max="5632" width="3.85546875" style="3" customWidth="1"/>
    <col min="5633" max="5633" width="0" style="3" hidden="1" customWidth="1"/>
    <col min="5634" max="5634" width="10" style="3" customWidth="1"/>
    <col min="5635" max="5635" width="49.28515625" style="3" customWidth="1"/>
    <col min="5636" max="5636" width="34.140625" style="3" customWidth="1"/>
    <col min="5637" max="5637" width="49.28515625" style="3" customWidth="1"/>
    <col min="5638" max="5638" width="34.140625" style="3" customWidth="1"/>
    <col min="5639" max="5639" width="12.85546875" style="3" customWidth="1"/>
    <col min="5640" max="5640" width="5.42578125" style="3" bestFit="1" customWidth="1"/>
    <col min="5641" max="5641" width="5.5703125" style="3" bestFit="1" customWidth="1"/>
    <col min="5642" max="5642" width="5.42578125" style="3" bestFit="1" customWidth="1"/>
    <col min="5643" max="5643" width="5.5703125" style="3" bestFit="1" customWidth="1"/>
    <col min="5644" max="5644" width="5.42578125" style="3" bestFit="1" customWidth="1"/>
    <col min="5645" max="5645" width="5.5703125" style="3" bestFit="1" customWidth="1"/>
    <col min="5646" max="5646" width="18.5703125" style="3" bestFit="1" customWidth="1"/>
    <col min="5647" max="5648" width="8.85546875" style="3"/>
    <col min="5649" max="5649" width="44.140625" style="3" customWidth="1"/>
    <col min="5650" max="5887" width="8.85546875" style="3"/>
    <col min="5888" max="5888" width="3.85546875" style="3" customWidth="1"/>
    <col min="5889" max="5889" width="0" style="3" hidden="1" customWidth="1"/>
    <col min="5890" max="5890" width="10" style="3" customWidth="1"/>
    <col min="5891" max="5891" width="49.28515625" style="3" customWidth="1"/>
    <col min="5892" max="5892" width="34.140625" style="3" customWidth="1"/>
    <col min="5893" max="5893" width="49.28515625" style="3" customWidth="1"/>
    <col min="5894" max="5894" width="34.140625" style="3" customWidth="1"/>
    <col min="5895" max="5895" width="12.85546875" style="3" customWidth="1"/>
    <col min="5896" max="5896" width="5.42578125" style="3" bestFit="1" customWidth="1"/>
    <col min="5897" max="5897" width="5.5703125" style="3" bestFit="1" customWidth="1"/>
    <col min="5898" max="5898" width="5.42578125" style="3" bestFit="1" customWidth="1"/>
    <col min="5899" max="5899" width="5.5703125" style="3" bestFit="1" customWidth="1"/>
    <col min="5900" max="5900" width="5.42578125" style="3" bestFit="1" customWidth="1"/>
    <col min="5901" max="5901" width="5.5703125" style="3" bestFit="1" customWidth="1"/>
    <col min="5902" max="5902" width="18.5703125" style="3" bestFit="1" customWidth="1"/>
    <col min="5903" max="5904" width="8.85546875" style="3"/>
    <col min="5905" max="5905" width="44.140625" style="3" customWidth="1"/>
    <col min="5906" max="6143" width="8.85546875" style="3"/>
    <col min="6144" max="6144" width="3.85546875" style="3" customWidth="1"/>
    <col min="6145" max="6145" width="0" style="3" hidden="1" customWidth="1"/>
    <col min="6146" max="6146" width="10" style="3" customWidth="1"/>
    <col min="6147" max="6147" width="49.28515625" style="3" customWidth="1"/>
    <col min="6148" max="6148" width="34.140625" style="3" customWidth="1"/>
    <col min="6149" max="6149" width="49.28515625" style="3" customWidth="1"/>
    <col min="6150" max="6150" width="34.140625" style="3" customWidth="1"/>
    <col min="6151" max="6151" width="12.85546875" style="3" customWidth="1"/>
    <col min="6152" max="6152" width="5.42578125" style="3" bestFit="1" customWidth="1"/>
    <col min="6153" max="6153" width="5.5703125" style="3" bestFit="1" customWidth="1"/>
    <col min="6154" max="6154" width="5.42578125" style="3" bestFit="1" customWidth="1"/>
    <col min="6155" max="6155" width="5.5703125" style="3" bestFit="1" customWidth="1"/>
    <col min="6156" max="6156" width="5.42578125" style="3" bestFit="1" customWidth="1"/>
    <col min="6157" max="6157" width="5.5703125" style="3" bestFit="1" customWidth="1"/>
    <col min="6158" max="6158" width="18.5703125" style="3" bestFit="1" customWidth="1"/>
    <col min="6159" max="6160" width="8.85546875" style="3"/>
    <col min="6161" max="6161" width="44.140625" style="3" customWidth="1"/>
    <col min="6162" max="6399" width="8.85546875" style="3"/>
    <col min="6400" max="6400" width="3.85546875" style="3" customWidth="1"/>
    <col min="6401" max="6401" width="0" style="3" hidden="1" customWidth="1"/>
    <col min="6402" max="6402" width="10" style="3" customWidth="1"/>
    <col min="6403" max="6403" width="49.28515625" style="3" customWidth="1"/>
    <col min="6404" max="6404" width="34.140625" style="3" customWidth="1"/>
    <col min="6405" max="6405" width="49.28515625" style="3" customWidth="1"/>
    <col min="6406" max="6406" width="34.140625" style="3" customWidth="1"/>
    <col min="6407" max="6407" width="12.85546875" style="3" customWidth="1"/>
    <col min="6408" max="6408" width="5.42578125" style="3" bestFit="1" customWidth="1"/>
    <col min="6409" max="6409" width="5.5703125" style="3" bestFit="1" customWidth="1"/>
    <col min="6410" max="6410" width="5.42578125" style="3" bestFit="1" customWidth="1"/>
    <col min="6411" max="6411" width="5.5703125" style="3" bestFit="1" customWidth="1"/>
    <col min="6412" max="6412" width="5.42578125" style="3" bestFit="1" customWidth="1"/>
    <col min="6413" max="6413" width="5.5703125" style="3" bestFit="1" customWidth="1"/>
    <col min="6414" max="6414" width="18.5703125" style="3" bestFit="1" customWidth="1"/>
    <col min="6415" max="6416" width="8.85546875" style="3"/>
    <col min="6417" max="6417" width="44.140625" style="3" customWidth="1"/>
    <col min="6418" max="6655" width="8.85546875" style="3"/>
    <col min="6656" max="6656" width="3.85546875" style="3" customWidth="1"/>
    <col min="6657" max="6657" width="0" style="3" hidden="1" customWidth="1"/>
    <col min="6658" max="6658" width="10" style="3" customWidth="1"/>
    <col min="6659" max="6659" width="49.28515625" style="3" customWidth="1"/>
    <col min="6660" max="6660" width="34.140625" style="3" customWidth="1"/>
    <col min="6661" max="6661" width="49.28515625" style="3" customWidth="1"/>
    <col min="6662" max="6662" width="34.140625" style="3" customWidth="1"/>
    <col min="6663" max="6663" width="12.85546875" style="3" customWidth="1"/>
    <col min="6664" max="6664" width="5.42578125" style="3" bestFit="1" customWidth="1"/>
    <col min="6665" max="6665" width="5.5703125" style="3" bestFit="1" customWidth="1"/>
    <col min="6666" max="6666" width="5.42578125" style="3" bestFit="1" customWidth="1"/>
    <col min="6667" max="6667" width="5.5703125" style="3" bestFit="1" customWidth="1"/>
    <col min="6668" max="6668" width="5.42578125" style="3" bestFit="1" customWidth="1"/>
    <col min="6669" max="6669" width="5.5703125" style="3" bestFit="1" customWidth="1"/>
    <col min="6670" max="6670" width="18.5703125" style="3" bestFit="1" customWidth="1"/>
    <col min="6671" max="6672" width="8.85546875" style="3"/>
    <col min="6673" max="6673" width="44.140625" style="3" customWidth="1"/>
    <col min="6674" max="6911" width="8.85546875" style="3"/>
    <col min="6912" max="6912" width="3.85546875" style="3" customWidth="1"/>
    <col min="6913" max="6913" width="0" style="3" hidden="1" customWidth="1"/>
    <col min="6914" max="6914" width="10" style="3" customWidth="1"/>
    <col min="6915" max="6915" width="49.28515625" style="3" customWidth="1"/>
    <col min="6916" max="6916" width="34.140625" style="3" customWidth="1"/>
    <col min="6917" max="6917" width="49.28515625" style="3" customWidth="1"/>
    <col min="6918" max="6918" width="34.140625" style="3" customWidth="1"/>
    <col min="6919" max="6919" width="12.85546875" style="3" customWidth="1"/>
    <col min="6920" max="6920" width="5.42578125" style="3" bestFit="1" customWidth="1"/>
    <col min="6921" max="6921" width="5.5703125" style="3" bestFit="1" customWidth="1"/>
    <col min="6922" max="6922" width="5.42578125" style="3" bestFit="1" customWidth="1"/>
    <col min="6923" max="6923" width="5.5703125" style="3" bestFit="1" customWidth="1"/>
    <col min="6924" max="6924" width="5.42578125" style="3" bestFit="1" customWidth="1"/>
    <col min="6925" max="6925" width="5.5703125" style="3" bestFit="1" customWidth="1"/>
    <col min="6926" max="6926" width="18.5703125" style="3" bestFit="1" customWidth="1"/>
    <col min="6927" max="6928" width="8.85546875" style="3"/>
    <col min="6929" max="6929" width="44.140625" style="3" customWidth="1"/>
    <col min="6930" max="7167" width="8.85546875" style="3"/>
    <col min="7168" max="7168" width="3.85546875" style="3" customWidth="1"/>
    <col min="7169" max="7169" width="0" style="3" hidden="1" customWidth="1"/>
    <col min="7170" max="7170" width="10" style="3" customWidth="1"/>
    <col min="7171" max="7171" width="49.28515625" style="3" customWidth="1"/>
    <col min="7172" max="7172" width="34.140625" style="3" customWidth="1"/>
    <col min="7173" max="7173" width="49.28515625" style="3" customWidth="1"/>
    <col min="7174" max="7174" width="34.140625" style="3" customWidth="1"/>
    <col min="7175" max="7175" width="12.85546875" style="3" customWidth="1"/>
    <col min="7176" max="7176" width="5.42578125" style="3" bestFit="1" customWidth="1"/>
    <col min="7177" max="7177" width="5.5703125" style="3" bestFit="1" customWidth="1"/>
    <col min="7178" max="7178" width="5.42578125" style="3" bestFit="1" customWidth="1"/>
    <col min="7179" max="7179" width="5.5703125" style="3" bestFit="1" customWidth="1"/>
    <col min="7180" max="7180" width="5.42578125" style="3" bestFit="1" customWidth="1"/>
    <col min="7181" max="7181" width="5.5703125" style="3" bestFit="1" customWidth="1"/>
    <col min="7182" max="7182" width="18.5703125" style="3" bestFit="1" customWidth="1"/>
    <col min="7183" max="7184" width="8.85546875" style="3"/>
    <col min="7185" max="7185" width="44.140625" style="3" customWidth="1"/>
    <col min="7186" max="7423" width="8.85546875" style="3"/>
    <col min="7424" max="7424" width="3.85546875" style="3" customWidth="1"/>
    <col min="7425" max="7425" width="0" style="3" hidden="1" customWidth="1"/>
    <col min="7426" max="7426" width="10" style="3" customWidth="1"/>
    <col min="7427" max="7427" width="49.28515625" style="3" customWidth="1"/>
    <col min="7428" max="7428" width="34.140625" style="3" customWidth="1"/>
    <col min="7429" max="7429" width="49.28515625" style="3" customWidth="1"/>
    <col min="7430" max="7430" width="34.140625" style="3" customWidth="1"/>
    <col min="7431" max="7431" width="12.85546875" style="3" customWidth="1"/>
    <col min="7432" max="7432" width="5.42578125" style="3" bestFit="1" customWidth="1"/>
    <col min="7433" max="7433" width="5.5703125" style="3" bestFit="1" customWidth="1"/>
    <col min="7434" max="7434" width="5.42578125" style="3" bestFit="1" customWidth="1"/>
    <col min="7435" max="7435" width="5.5703125" style="3" bestFit="1" customWidth="1"/>
    <col min="7436" max="7436" width="5.42578125" style="3" bestFit="1" customWidth="1"/>
    <col min="7437" max="7437" width="5.5703125" style="3" bestFit="1" customWidth="1"/>
    <col min="7438" max="7438" width="18.5703125" style="3" bestFit="1" customWidth="1"/>
    <col min="7439" max="7440" width="8.85546875" style="3"/>
    <col min="7441" max="7441" width="44.140625" style="3" customWidth="1"/>
    <col min="7442" max="7679" width="8.85546875" style="3"/>
    <col min="7680" max="7680" width="3.85546875" style="3" customWidth="1"/>
    <col min="7681" max="7681" width="0" style="3" hidden="1" customWidth="1"/>
    <col min="7682" max="7682" width="10" style="3" customWidth="1"/>
    <col min="7683" max="7683" width="49.28515625" style="3" customWidth="1"/>
    <col min="7684" max="7684" width="34.140625" style="3" customWidth="1"/>
    <col min="7685" max="7685" width="49.28515625" style="3" customWidth="1"/>
    <col min="7686" max="7686" width="34.140625" style="3" customWidth="1"/>
    <col min="7687" max="7687" width="12.85546875" style="3" customWidth="1"/>
    <col min="7688" max="7688" width="5.42578125" style="3" bestFit="1" customWidth="1"/>
    <col min="7689" max="7689" width="5.5703125" style="3" bestFit="1" customWidth="1"/>
    <col min="7690" max="7690" width="5.42578125" style="3" bestFit="1" customWidth="1"/>
    <col min="7691" max="7691" width="5.5703125" style="3" bestFit="1" customWidth="1"/>
    <col min="7692" max="7692" width="5.42578125" style="3" bestFit="1" customWidth="1"/>
    <col min="7693" max="7693" width="5.5703125" style="3" bestFit="1" customWidth="1"/>
    <col min="7694" max="7694" width="18.5703125" style="3" bestFit="1" customWidth="1"/>
    <col min="7695" max="7696" width="8.85546875" style="3"/>
    <col min="7697" max="7697" width="44.140625" style="3" customWidth="1"/>
    <col min="7698" max="7935" width="8.85546875" style="3"/>
    <col min="7936" max="7936" width="3.85546875" style="3" customWidth="1"/>
    <col min="7937" max="7937" width="0" style="3" hidden="1" customWidth="1"/>
    <col min="7938" max="7938" width="10" style="3" customWidth="1"/>
    <col min="7939" max="7939" width="49.28515625" style="3" customWidth="1"/>
    <col min="7940" max="7940" width="34.140625" style="3" customWidth="1"/>
    <col min="7941" max="7941" width="49.28515625" style="3" customWidth="1"/>
    <col min="7942" max="7942" width="34.140625" style="3" customWidth="1"/>
    <col min="7943" max="7943" width="12.85546875" style="3" customWidth="1"/>
    <col min="7944" max="7944" width="5.42578125" style="3" bestFit="1" customWidth="1"/>
    <col min="7945" max="7945" width="5.5703125" style="3" bestFit="1" customWidth="1"/>
    <col min="7946" max="7946" width="5.42578125" style="3" bestFit="1" customWidth="1"/>
    <col min="7947" max="7947" width="5.5703125" style="3" bestFit="1" customWidth="1"/>
    <col min="7948" max="7948" width="5.42578125" style="3" bestFit="1" customWidth="1"/>
    <col min="7949" max="7949" width="5.5703125" style="3" bestFit="1" customWidth="1"/>
    <col min="7950" max="7950" width="18.5703125" style="3" bestFit="1" customWidth="1"/>
    <col min="7951" max="7952" width="8.85546875" style="3"/>
    <col min="7953" max="7953" width="44.140625" style="3" customWidth="1"/>
    <col min="7954" max="8191" width="8.85546875" style="3"/>
    <col min="8192" max="8192" width="3.85546875" style="3" customWidth="1"/>
    <col min="8193" max="8193" width="0" style="3" hidden="1" customWidth="1"/>
    <col min="8194" max="8194" width="10" style="3" customWidth="1"/>
    <col min="8195" max="8195" width="49.28515625" style="3" customWidth="1"/>
    <col min="8196" max="8196" width="34.140625" style="3" customWidth="1"/>
    <col min="8197" max="8197" width="49.28515625" style="3" customWidth="1"/>
    <col min="8198" max="8198" width="34.140625" style="3" customWidth="1"/>
    <col min="8199" max="8199" width="12.85546875" style="3" customWidth="1"/>
    <col min="8200" max="8200" width="5.42578125" style="3" bestFit="1" customWidth="1"/>
    <col min="8201" max="8201" width="5.5703125" style="3" bestFit="1" customWidth="1"/>
    <col min="8202" max="8202" width="5.42578125" style="3" bestFit="1" customWidth="1"/>
    <col min="8203" max="8203" width="5.5703125" style="3" bestFit="1" customWidth="1"/>
    <col min="8204" max="8204" width="5.42578125" style="3" bestFit="1" customWidth="1"/>
    <col min="8205" max="8205" width="5.5703125" style="3" bestFit="1" customWidth="1"/>
    <col min="8206" max="8206" width="18.5703125" style="3" bestFit="1" customWidth="1"/>
    <col min="8207" max="8208" width="8.85546875" style="3"/>
    <col min="8209" max="8209" width="44.140625" style="3" customWidth="1"/>
    <col min="8210" max="8447" width="8.85546875" style="3"/>
    <col min="8448" max="8448" width="3.85546875" style="3" customWidth="1"/>
    <col min="8449" max="8449" width="0" style="3" hidden="1" customWidth="1"/>
    <col min="8450" max="8450" width="10" style="3" customWidth="1"/>
    <col min="8451" max="8451" width="49.28515625" style="3" customWidth="1"/>
    <col min="8452" max="8452" width="34.140625" style="3" customWidth="1"/>
    <col min="8453" max="8453" width="49.28515625" style="3" customWidth="1"/>
    <col min="8454" max="8454" width="34.140625" style="3" customWidth="1"/>
    <col min="8455" max="8455" width="12.85546875" style="3" customWidth="1"/>
    <col min="8456" max="8456" width="5.42578125" style="3" bestFit="1" customWidth="1"/>
    <col min="8457" max="8457" width="5.5703125" style="3" bestFit="1" customWidth="1"/>
    <col min="8458" max="8458" width="5.42578125" style="3" bestFit="1" customWidth="1"/>
    <col min="8459" max="8459" width="5.5703125" style="3" bestFit="1" customWidth="1"/>
    <col min="8460" max="8460" width="5.42578125" style="3" bestFit="1" customWidth="1"/>
    <col min="8461" max="8461" width="5.5703125" style="3" bestFit="1" customWidth="1"/>
    <col min="8462" max="8462" width="18.5703125" style="3" bestFit="1" customWidth="1"/>
    <col min="8463" max="8464" width="8.85546875" style="3"/>
    <col min="8465" max="8465" width="44.140625" style="3" customWidth="1"/>
    <col min="8466" max="8703" width="8.85546875" style="3"/>
    <col min="8704" max="8704" width="3.85546875" style="3" customWidth="1"/>
    <col min="8705" max="8705" width="0" style="3" hidden="1" customWidth="1"/>
    <col min="8706" max="8706" width="10" style="3" customWidth="1"/>
    <col min="8707" max="8707" width="49.28515625" style="3" customWidth="1"/>
    <col min="8708" max="8708" width="34.140625" style="3" customWidth="1"/>
    <col min="8709" max="8709" width="49.28515625" style="3" customWidth="1"/>
    <col min="8710" max="8710" width="34.140625" style="3" customWidth="1"/>
    <col min="8711" max="8711" width="12.85546875" style="3" customWidth="1"/>
    <col min="8712" max="8712" width="5.42578125" style="3" bestFit="1" customWidth="1"/>
    <col min="8713" max="8713" width="5.5703125" style="3" bestFit="1" customWidth="1"/>
    <col min="8714" max="8714" width="5.42578125" style="3" bestFit="1" customWidth="1"/>
    <col min="8715" max="8715" width="5.5703125" style="3" bestFit="1" customWidth="1"/>
    <col min="8716" max="8716" width="5.42578125" style="3" bestFit="1" customWidth="1"/>
    <col min="8717" max="8717" width="5.5703125" style="3" bestFit="1" customWidth="1"/>
    <col min="8718" max="8718" width="18.5703125" style="3" bestFit="1" customWidth="1"/>
    <col min="8719" max="8720" width="8.85546875" style="3"/>
    <col min="8721" max="8721" width="44.140625" style="3" customWidth="1"/>
    <col min="8722" max="8959" width="8.85546875" style="3"/>
    <col min="8960" max="8960" width="3.85546875" style="3" customWidth="1"/>
    <col min="8961" max="8961" width="0" style="3" hidden="1" customWidth="1"/>
    <col min="8962" max="8962" width="10" style="3" customWidth="1"/>
    <col min="8963" max="8963" width="49.28515625" style="3" customWidth="1"/>
    <col min="8964" max="8964" width="34.140625" style="3" customWidth="1"/>
    <col min="8965" max="8965" width="49.28515625" style="3" customWidth="1"/>
    <col min="8966" max="8966" width="34.140625" style="3" customWidth="1"/>
    <col min="8967" max="8967" width="12.85546875" style="3" customWidth="1"/>
    <col min="8968" max="8968" width="5.42578125" style="3" bestFit="1" customWidth="1"/>
    <col min="8969" max="8969" width="5.5703125" style="3" bestFit="1" customWidth="1"/>
    <col min="8970" max="8970" width="5.42578125" style="3" bestFit="1" customWidth="1"/>
    <col min="8971" max="8971" width="5.5703125" style="3" bestFit="1" customWidth="1"/>
    <col min="8972" max="8972" width="5.42578125" style="3" bestFit="1" customWidth="1"/>
    <col min="8973" max="8973" width="5.5703125" style="3" bestFit="1" customWidth="1"/>
    <col min="8974" max="8974" width="18.5703125" style="3" bestFit="1" customWidth="1"/>
    <col min="8975" max="8976" width="8.85546875" style="3"/>
    <col min="8977" max="8977" width="44.140625" style="3" customWidth="1"/>
    <col min="8978" max="9215" width="8.85546875" style="3"/>
    <col min="9216" max="9216" width="3.85546875" style="3" customWidth="1"/>
    <col min="9217" max="9217" width="0" style="3" hidden="1" customWidth="1"/>
    <col min="9218" max="9218" width="10" style="3" customWidth="1"/>
    <col min="9219" max="9219" width="49.28515625" style="3" customWidth="1"/>
    <col min="9220" max="9220" width="34.140625" style="3" customWidth="1"/>
    <col min="9221" max="9221" width="49.28515625" style="3" customWidth="1"/>
    <col min="9222" max="9222" width="34.140625" style="3" customWidth="1"/>
    <col min="9223" max="9223" width="12.85546875" style="3" customWidth="1"/>
    <col min="9224" max="9224" width="5.42578125" style="3" bestFit="1" customWidth="1"/>
    <col min="9225" max="9225" width="5.5703125" style="3" bestFit="1" customWidth="1"/>
    <col min="9226" max="9226" width="5.42578125" style="3" bestFit="1" customWidth="1"/>
    <col min="9227" max="9227" width="5.5703125" style="3" bestFit="1" customWidth="1"/>
    <col min="9228" max="9228" width="5.42578125" style="3" bestFit="1" customWidth="1"/>
    <col min="9229" max="9229" width="5.5703125" style="3" bestFit="1" customWidth="1"/>
    <col min="9230" max="9230" width="18.5703125" style="3" bestFit="1" customWidth="1"/>
    <col min="9231" max="9232" width="8.85546875" style="3"/>
    <col min="9233" max="9233" width="44.140625" style="3" customWidth="1"/>
    <col min="9234" max="9471" width="8.85546875" style="3"/>
    <col min="9472" max="9472" width="3.85546875" style="3" customWidth="1"/>
    <col min="9473" max="9473" width="0" style="3" hidden="1" customWidth="1"/>
    <col min="9474" max="9474" width="10" style="3" customWidth="1"/>
    <col min="9475" max="9475" width="49.28515625" style="3" customWidth="1"/>
    <col min="9476" max="9476" width="34.140625" style="3" customWidth="1"/>
    <col min="9477" max="9477" width="49.28515625" style="3" customWidth="1"/>
    <col min="9478" max="9478" width="34.140625" style="3" customWidth="1"/>
    <col min="9479" max="9479" width="12.85546875" style="3" customWidth="1"/>
    <col min="9480" max="9480" width="5.42578125" style="3" bestFit="1" customWidth="1"/>
    <col min="9481" max="9481" width="5.5703125" style="3" bestFit="1" customWidth="1"/>
    <col min="9482" max="9482" width="5.42578125" style="3" bestFit="1" customWidth="1"/>
    <col min="9483" max="9483" width="5.5703125" style="3" bestFit="1" customWidth="1"/>
    <col min="9484" max="9484" width="5.42578125" style="3" bestFit="1" customWidth="1"/>
    <col min="9485" max="9485" width="5.5703125" style="3" bestFit="1" customWidth="1"/>
    <col min="9486" max="9486" width="18.5703125" style="3" bestFit="1" customWidth="1"/>
    <col min="9487" max="9488" width="8.85546875" style="3"/>
    <col min="9489" max="9489" width="44.140625" style="3" customWidth="1"/>
    <col min="9490" max="9727" width="8.85546875" style="3"/>
    <col min="9728" max="9728" width="3.85546875" style="3" customWidth="1"/>
    <col min="9729" max="9729" width="0" style="3" hidden="1" customWidth="1"/>
    <col min="9730" max="9730" width="10" style="3" customWidth="1"/>
    <col min="9731" max="9731" width="49.28515625" style="3" customWidth="1"/>
    <col min="9732" max="9732" width="34.140625" style="3" customWidth="1"/>
    <col min="9733" max="9733" width="49.28515625" style="3" customWidth="1"/>
    <col min="9734" max="9734" width="34.140625" style="3" customWidth="1"/>
    <col min="9735" max="9735" width="12.85546875" style="3" customWidth="1"/>
    <col min="9736" max="9736" width="5.42578125" style="3" bestFit="1" customWidth="1"/>
    <col min="9737" max="9737" width="5.5703125" style="3" bestFit="1" customWidth="1"/>
    <col min="9738" max="9738" width="5.42578125" style="3" bestFit="1" customWidth="1"/>
    <col min="9739" max="9739" width="5.5703125" style="3" bestFit="1" customWidth="1"/>
    <col min="9740" max="9740" width="5.42578125" style="3" bestFit="1" customWidth="1"/>
    <col min="9741" max="9741" width="5.5703125" style="3" bestFit="1" customWidth="1"/>
    <col min="9742" max="9742" width="18.5703125" style="3" bestFit="1" customWidth="1"/>
    <col min="9743" max="9744" width="8.85546875" style="3"/>
    <col min="9745" max="9745" width="44.140625" style="3" customWidth="1"/>
    <col min="9746" max="9983" width="8.85546875" style="3"/>
    <col min="9984" max="9984" width="3.85546875" style="3" customWidth="1"/>
    <col min="9985" max="9985" width="0" style="3" hidden="1" customWidth="1"/>
    <col min="9986" max="9986" width="10" style="3" customWidth="1"/>
    <col min="9987" max="9987" width="49.28515625" style="3" customWidth="1"/>
    <col min="9988" max="9988" width="34.140625" style="3" customWidth="1"/>
    <col min="9989" max="9989" width="49.28515625" style="3" customWidth="1"/>
    <col min="9990" max="9990" width="34.140625" style="3" customWidth="1"/>
    <col min="9991" max="9991" width="12.85546875" style="3" customWidth="1"/>
    <col min="9992" max="9992" width="5.42578125" style="3" bestFit="1" customWidth="1"/>
    <col min="9993" max="9993" width="5.5703125" style="3" bestFit="1" customWidth="1"/>
    <col min="9994" max="9994" width="5.42578125" style="3" bestFit="1" customWidth="1"/>
    <col min="9995" max="9995" width="5.5703125" style="3" bestFit="1" customWidth="1"/>
    <col min="9996" max="9996" width="5.42578125" style="3" bestFit="1" customWidth="1"/>
    <col min="9997" max="9997" width="5.5703125" style="3" bestFit="1" customWidth="1"/>
    <col min="9998" max="9998" width="18.5703125" style="3" bestFit="1" customWidth="1"/>
    <col min="9999" max="10000" width="8.85546875" style="3"/>
    <col min="10001" max="10001" width="44.140625" style="3" customWidth="1"/>
    <col min="10002" max="10239" width="8.85546875" style="3"/>
    <col min="10240" max="10240" width="3.85546875" style="3" customWidth="1"/>
    <col min="10241" max="10241" width="0" style="3" hidden="1" customWidth="1"/>
    <col min="10242" max="10242" width="10" style="3" customWidth="1"/>
    <col min="10243" max="10243" width="49.28515625" style="3" customWidth="1"/>
    <col min="10244" max="10244" width="34.140625" style="3" customWidth="1"/>
    <col min="10245" max="10245" width="49.28515625" style="3" customWidth="1"/>
    <col min="10246" max="10246" width="34.140625" style="3" customWidth="1"/>
    <col min="10247" max="10247" width="12.85546875" style="3" customWidth="1"/>
    <col min="10248" max="10248" width="5.42578125" style="3" bestFit="1" customWidth="1"/>
    <col min="10249" max="10249" width="5.5703125" style="3" bestFit="1" customWidth="1"/>
    <col min="10250" max="10250" width="5.42578125" style="3" bestFit="1" customWidth="1"/>
    <col min="10251" max="10251" width="5.5703125" style="3" bestFit="1" customWidth="1"/>
    <col min="10252" max="10252" width="5.42578125" style="3" bestFit="1" customWidth="1"/>
    <col min="10253" max="10253" width="5.5703125" style="3" bestFit="1" customWidth="1"/>
    <col min="10254" max="10254" width="18.5703125" style="3" bestFit="1" customWidth="1"/>
    <col min="10255" max="10256" width="8.85546875" style="3"/>
    <col min="10257" max="10257" width="44.140625" style="3" customWidth="1"/>
    <col min="10258" max="10495" width="8.85546875" style="3"/>
    <col min="10496" max="10496" width="3.85546875" style="3" customWidth="1"/>
    <col min="10497" max="10497" width="0" style="3" hidden="1" customWidth="1"/>
    <col min="10498" max="10498" width="10" style="3" customWidth="1"/>
    <col min="10499" max="10499" width="49.28515625" style="3" customWidth="1"/>
    <col min="10500" max="10500" width="34.140625" style="3" customWidth="1"/>
    <col min="10501" max="10501" width="49.28515625" style="3" customWidth="1"/>
    <col min="10502" max="10502" width="34.140625" style="3" customWidth="1"/>
    <col min="10503" max="10503" width="12.85546875" style="3" customWidth="1"/>
    <col min="10504" max="10504" width="5.42578125" style="3" bestFit="1" customWidth="1"/>
    <col min="10505" max="10505" width="5.5703125" style="3" bestFit="1" customWidth="1"/>
    <col min="10506" max="10506" width="5.42578125" style="3" bestFit="1" customWidth="1"/>
    <col min="10507" max="10507" width="5.5703125" style="3" bestFit="1" customWidth="1"/>
    <col min="10508" max="10508" width="5.42578125" style="3" bestFit="1" customWidth="1"/>
    <col min="10509" max="10509" width="5.5703125" style="3" bestFit="1" customWidth="1"/>
    <col min="10510" max="10510" width="18.5703125" style="3" bestFit="1" customWidth="1"/>
    <col min="10511" max="10512" width="8.85546875" style="3"/>
    <col min="10513" max="10513" width="44.140625" style="3" customWidth="1"/>
    <col min="10514" max="10751" width="8.85546875" style="3"/>
    <col min="10752" max="10752" width="3.85546875" style="3" customWidth="1"/>
    <col min="10753" max="10753" width="0" style="3" hidden="1" customWidth="1"/>
    <col min="10754" max="10754" width="10" style="3" customWidth="1"/>
    <col min="10755" max="10755" width="49.28515625" style="3" customWidth="1"/>
    <col min="10756" max="10756" width="34.140625" style="3" customWidth="1"/>
    <col min="10757" max="10757" width="49.28515625" style="3" customWidth="1"/>
    <col min="10758" max="10758" width="34.140625" style="3" customWidth="1"/>
    <col min="10759" max="10759" width="12.85546875" style="3" customWidth="1"/>
    <col min="10760" max="10760" width="5.42578125" style="3" bestFit="1" customWidth="1"/>
    <col min="10761" max="10761" width="5.5703125" style="3" bestFit="1" customWidth="1"/>
    <col min="10762" max="10762" width="5.42578125" style="3" bestFit="1" customWidth="1"/>
    <col min="10763" max="10763" width="5.5703125" style="3" bestFit="1" customWidth="1"/>
    <col min="10764" max="10764" width="5.42578125" style="3" bestFit="1" customWidth="1"/>
    <col min="10765" max="10765" width="5.5703125" style="3" bestFit="1" customWidth="1"/>
    <col min="10766" max="10766" width="18.5703125" style="3" bestFit="1" customWidth="1"/>
    <col min="10767" max="10768" width="8.85546875" style="3"/>
    <col min="10769" max="10769" width="44.140625" style="3" customWidth="1"/>
    <col min="10770" max="11007" width="8.85546875" style="3"/>
    <col min="11008" max="11008" width="3.85546875" style="3" customWidth="1"/>
    <col min="11009" max="11009" width="0" style="3" hidden="1" customWidth="1"/>
    <col min="11010" max="11010" width="10" style="3" customWidth="1"/>
    <col min="11011" max="11011" width="49.28515625" style="3" customWidth="1"/>
    <col min="11012" max="11012" width="34.140625" style="3" customWidth="1"/>
    <col min="11013" max="11013" width="49.28515625" style="3" customWidth="1"/>
    <col min="11014" max="11014" width="34.140625" style="3" customWidth="1"/>
    <col min="11015" max="11015" width="12.85546875" style="3" customWidth="1"/>
    <col min="11016" max="11016" width="5.42578125" style="3" bestFit="1" customWidth="1"/>
    <col min="11017" max="11017" width="5.5703125" style="3" bestFit="1" customWidth="1"/>
    <col min="11018" max="11018" width="5.42578125" style="3" bestFit="1" customWidth="1"/>
    <col min="11019" max="11019" width="5.5703125" style="3" bestFit="1" customWidth="1"/>
    <col min="11020" max="11020" width="5.42578125" style="3" bestFit="1" customWidth="1"/>
    <col min="11021" max="11021" width="5.5703125" style="3" bestFit="1" customWidth="1"/>
    <col min="11022" max="11022" width="18.5703125" style="3" bestFit="1" customWidth="1"/>
    <col min="11023" max="11024" width="8.85546875" style="3"/>
    <col min="11025" max="11025" width="44.140625" style="3" customWidth="1"/>
    <col min="11026" max="11263" width="8.85546875" style="3"/>
    <col min="11264" max="11264" width="3.85546875" style="3" customWidth="1"/>
    <col min="11265" max="11265" width="0" style="3" hidden="1" customWidth="1"/>
    <col min="11266" max="11266" width="10" style="3" customWidth="1"/>
    <col min="11267" max="11267" width="49.28515625" style="3" customWidth="1"/>
    <col min="11268" max="11268" width="34.140625" style="3" customWidth="1"/>
    <col min="11269" max="11269" width="49.28515625" style="3" customWidth="1"/>
    <col min="11270" max="11270" width="34.140625" style="3" customWidth="1"/>
    <col min="11271" max="11271" width="12.85546875" style="3" customWidth="1"/>
    <col min="11272" max="11272" width="5.42578125" style="3" bestFit="1" customWidth="1"/>
    <col min="11273" max="11273" width="5.5703125" style="3" bestFit="1" customWidth="1"/>
    <col min="11274" max="11274" width="5.42578125" style="3" bestFit="1" customWidth="1"/>
    <col min="11275" max="11275" width="5.5703125" style="3" bestFit="1" customWidth="1"/>
    <col min="11276" max="11276" width="5.42578125" style="3" bestFit="1" customWidth="1"/>
    <col min="11277" max="11277" width="5.5703125" style="3" bestFit="1" customWidth="1"/>
    <col min="11278" max="11278" width="18.5703125" style="3" bestFit="1" customWidth="1"/>
    <col min="11279" max="11280" width="8.85546875" style="3"/>
    <col min="11281" max="11281" width="44.140625" style="3" customWidth="1"/>
    <col min="11282" max="11519" width="8.85546875" style="3"/>
    <col min="11520" max="11520" width="3.85546875" style="3" customWidth="1"/>
    <col min="11521" max="11521" width="0" style="3" hidden="1" customWidth="1"/>
    <col min="11522" max="11522" width="10" style="3" customWidth="1"/>
    <col min="11523" max="11523" width="49.28515625" style="3" customWidth="1"/>
    <col min="11524" max="11524" width="34.140625" style="3" customWidth="1"/>
    <col min="11525" max="11525" width="49.28515625" style="3" customWidth="1"/>
    <col min="11526" max="11526" width="34.140625" style="3" customWidth="1"/>
    <col min="11527" max="11527" width="12.85546875" style="3" customWidth="1"/>
    <col min="11528" max="11528" width="5.42578125" style="3" bestFit="1" customWidth="1"/>
    <col min="11529" max="11529" width="5.5703125" style="3" bestFit="1" customWidth="1"/>
    <col min="11530" max="11530" width="5.42578125" style="3" bestFit="1" customWidth="1"/>
    <col min="11531" max="11531" width="5.5703125" style="3" bestFit="1" customWidth="1"/>
    <col min="11532" max="11532" width="5.42578125" style="3" bestFit="1" customWidth="1"/>
    <col min="11533" max="11533" width="5.5703125" style="3" bestFit="1" customWidth="1"/>
    <col min="11534" max="11534" width="18.5703125" style="3" bestFit="1" customWidth="1"/>
    <col min="11535" max="11536" width="8.85546875" style="3"/>
    <col min="11537" max="11537" width="44.140625" style="3" customWidth="1"/>
    <col min="11538" max="11775" width="8.85546875" style="3"/>
    <col min="11776" max="11776" width="3.85546875" style="3" customWidth="1"/>
    <col min="11777" max="11777" width="0" style="3" hidden="1" customWidth="1"/>
    <col min="11778" max="11778" width="10" style="3" customWidth="1"/>
    <col min="11779" max="11779" width="49.28515625" style="3" customWidth="1"/>
    <col min="11780" max="11780" width="34.140625" style="3" customWidth="1"/>
    <col min="11781" max="11781" width="49.28515625" style="3" customWidth="1"/>
    <col min="11782" max="11782" width="34.140625" style="3" customWidth="1"/>
    <col min="11783" max="11783" width="12.85546875" style="3" customWidth="1"/>
    <col min="11784" max="11784" width="5.42578125" style="3" bestFit="1" customWidth="1"/>
    <col min="11785" max="11785" width="5.5703125" style="3" bestFit="1" customWidth="1"/>
    <col min="11786" max="11786" width="5.42578125" style="3" bestFit="1" customWidth="1"/>
    <col min="11787" max="11787" width="5.5703125" style="3" bestFit="1" customWidth="1"/>
    <col min="11788" max="11788" width="5.42578125" style="3" bestFit="1" customWidth="1"/>
    <col min="11789" max="11789" width="5.5703125" style="3" bestFit="1" customWidth="1"/>
    <col min="11790" max="11790" width="18.5703125" style="3" bestFit="1" customWidth="1"/>
    <col min="11791" max="11792" width="8.85546875" style="3"/>
    <col min="11793" max="11793" width="44.140625" style="3" customWidth="1"/>
    <col min="11794" max="12031" width="8.85546875" style="3"/>
    <col min="12032" max="12032" width="3.85546875" style="3" customWidth="1"/>
    <col min="12033" max="12033" width="0" style="3" hidden="1" customWidth="1"/>
    <col min="12034" max="12034" width="10" style="3" customWidth="1"/>
    <col min="12035" max="12035" width="49.28515625" style="3" customWidth="1"/>
    <col min="12036" max="12036" width="34.140625" style="3" customWidth="1"/>
    <col min="12037" max="12037" width="49.28515625" style="3" customWidth="1"/>
    <col min="12038" max="12038" width="34.140625" style="3" customWidth="1"/>
    <col min="12039" max="12039" width="12.85546875" style="3" customWidth="1"/>
    <col min="12040" max="12040" width="5.42578125" style="3" bestFit="1" customWidth="1"/>
    <col min="12041" max="12041" width="5.5703125" style="3" bestFit="1" customWidth="1"/>
    <col min="12042" max="12042" width="5.42578125" style="3" bestFit="1" customWidth="1"/>
    <col min="12043" max="12043" width="5.5703125" style="3" bestFit="1" customWidth="1"/>
    <col min="12044" max="12044" width="5.42578125" style="3" bestFit="1" customWidth="1"/>
    <col min="12045" max="12045" width="5.5703125" style="3" bestFit="1" customWidth="1"/>
    <col min="12046" max="12046" width="18.5703125" style="3" bestFit="1" customWidth="1"/>
    <col min="12047" max="12048" width="8.85546875" style="3"/>
    <col min="12049" max="12049" width="44.140625" style="3" customWidth="1"/>
    <col min="12050" max="12287" width="8.85546875" style="3"/>
    <col min="12288" max="12288" width="3.85546875" style="3" customWidth="1"/>
    <col min="12289" max="12289" width="0" style="3" hidden="1" customWidth="1"/>
    <col min="12290" max="12290" width="10" style="3" customWidth="1"/>
    <col min="12291" max="12291" width="49.28515625" style="3" customWidth="1"/>
    <col min="12292" max="12292" width="34.140625" style="3" customWidth="1"/>
    <col min="12293" max="12293" width="49.28515625" style="3" customWidth="1"/>
    <col min="12294" max="12294" width="34.140625" style="3" customWidth="1"/>
    <col min="12295" max="12295" width="12.85546875" style="3" customWidth="1"/>
    <col min="12296" max="12296" width="5.42578125" style="3" bestFit="1" customWidth="1"/>
    <col min="12297" max="12297" width="5.5703125" style="3" bestFit="1" customWidth="1"/>
    <col min="12298" max="12298" width="5.42578125" style="3" bestFit="1" customWidth="1"/>
    <col min="12299" max="12299" width="5.5703125" style="3" bestFit="1" customWidth="1"/>
    <col min="12300" max="12300" width="5.42578125" style="3" bestFit="1" customWidth="1"/>
    <col min="12301" max="12301" width="5.5703125" style="3" bestFit="1" customWidth="1"/>
    <col min="12302" max="12302" width="18.5703125" style="3" bestFit="1" customWidth="1"/>
    <col min="12303" max="12304" width="8.85546875" style="3"/>
    <col min="12305" max="12305" width="44.140625" style="3" customWidth="1"/>
    <col min="12306" max="12543" width="8.85546875" style="3"/>
    <col min="12544" max="12544" width="3.85546875" style="3" customWidth="1"/>
    <col min="12545" max="12545" width="0" style="3" hidden="1" customWidth="1"/>
    <col min="12546" max="12546" width="10" style="3" customWidth="1"/>
    <col min="12547" max="12547" width="49.28515625" style="3" customWidth="1"/>
    <col min="12548" max="12548" width="34.140625" style="3" customWidth="1"/>
    <col min="12549" max="12549" width="49.28515625" style="3" customWidth="1"/>
    <col min="12550" max="12550" width="34.140625" style="3" customWidth="1"/>
    <col min="12551" max="12551" width="12.85546875" style="3" customWidth="1"/>
    <col min="12552" max="12552" width="5.42578125" style="3" bestFit="1" customWidth="1"/>
    <col min="12553" max="12553" width="5.5703125" style="3" bestFit="1" customWidth="1"/>
    <col min="12554" max="12554" width="5.42578125" style="3" bestFit="1" customWidth="1"/>
    <col min="12555" max="12555" width="5.5703125" style="3" bestFit="1" customWidth="1"/>
    <col min="12556" max="12556" width="5.42578125" style="3" bestFit="1" customWidth="1"/>
    <col min="12557" max="12557" width="5.5703125" style="3" bestFit="1" customWidth="1"/>
    <col min="12558" max="12558" width="18.5703125" style="3" bestFit="1" customWidth="1"/>
    <col min="12559" max="12560" width="8.85546875" style="3"/>
    <col min="12561" max="12561" width="44.140625" style="3" customWidth="1"/>
    <col min="12562" max="12799" width="8.85546875" style="3"/>
    <col min="12800" max="12800" width="3.85546875" style="3" customWidth="1"/>
    <col min="12801" max="12801" width="0" style="3" hidden="1" customWidth="1"/>
    <col min="12802" max="12802" width="10" style="3" customWidth="1"/>
    <col min="12803" max="12803" width="49.28515625" style="3" customWidth="1"/>
    <col min="12804" max="12804" width="34.140625" style="3" customWidth="1"/>
    <col min="12805" max="12805" width="49.28515625" style="3" customWidth="1"/>
    <col min="12806" max="12806" width="34.140625" style="3" customWidth="1"/>
    <col min="12807" max="12807" width="12.85546875" style="3" customWidth="1"/>
    <col min="12808" max="12808" width="5.42578125" style="3" bestFit="1" customWidth="1"/>
    <col min="12809" max="12809" width="5.5703125" style="3" bestFit="1" customWidth="1"/>
    <col min="12810" max="12810" width="5.42578125" style="3" bestFit="1" customWidth="1"/>
    <col min="12811" max="12811" width="5.5703125" style="3" bestFit="1" customWidth="1"/>
    <col min="12812" max="12812" width="5.42578125" style="3" bestFit="1" customWidth="1"/>
    <col min="12813" max="12813" width="5.5703125" style="3" bestFit="1" customWidth="1"/>
    <col min="12814" max="12814" width="18.5703125" style="3" bestFit="1" customWidth="1"/>
    <col min="12815" max="12816" width="8.85546875" style="3"/>
    <col min="12817" max="12817" width="44.140625" style="3" customWidth="1"/>
    <col min="12818" max="13055" width="8.85546875" style="3"/>
    <col min="13056" max="13056" width="3.85546875" style="3" customWidth="1"/>
    <col min="13057" max="13057" width="0" style="3" hidden="1" customWidth="1"/>
    <col min="13058" max="13058" width="10" style="3" customWidth="1"/>
    <col min="13059" max="13059" width="49.28515625" style="3" customWidth="1"/>
    <col min="13060" max="13060" width="34.140625" style="3" customWidth="1"/>
    <col min="13061" max="13061" width="49.28515625" style="3" customWidth="1"/>
    <col min="13062" max="13062" width="34.140625" style="3" customWidth="1"/>
    <col min="13063" max="13063" width="12.85546875" style="3" customWidth="1"/>
    <col min="13064" max="13064" width="5.42578125" style="3" bestFit="1" customWidth="1"/>
    <col min="13065" max="13065" width="5.5703125" style="3" bestFit="1" customWidth="1"/>
    <col min="13066" max="13066" width="5.42578125" style="3" bestFit="1" customWidth="1"/>
    <col min="13067" max="13067" width="5.5703125" style="3" bestFit="1" customWidth="1"/>
    <col min="13068" max="13068" width="5.42578125" style="3" bestFit="1" customWidth="1"/>
    <col min="13069" max="13069" width="5.5703125" style="3" bestFit="1" customWidth="1"/>
    <col min="13070" max="13070" width="18.5703125" style="3" bestFit="1" customWidth="1"/>
    <col min="13071" max="13072" width="8.85546875" style="3"/>
    <col min="13073" max="13073" width="44.140625" style="3" customWidth="1"/>
    <col min="13074" max="13311" width="8.85546875" style="3"/>
    <col min="13312" max="13312" width="3.85546875" style="3" customWidth="1"/>
    <col min="13313" max="13313" width="0" style="3" hidden="1" customWidth="1"/>
    <col min="13314" max="13314" width="10" style="3" customWidth="1"/>
    <col min="13315" max="13315" width="49.28515625" style="3" customWidth="1"/>
    <col min="13316" max="13316" width="34.140625" style="3" customWidth="1"/>
    <col min="13317" max="13317" width="49.28515625" style="3" customWidth="1"/>
    <col min="13318" max="13318" width="34.140625" style="3" customWidth="1"/>
    <col min="13319" max="13319" width="12.85546875" style="3" customWidth="1"/>
    <col min="13320" max="13320" width="5.42578125" style="3" bestFit="1" customWidth="1"/>
    <col min="13321" max="13321" width="5.5703125" style="3" bestFit="1" customWidth="1"/>
    <col min="13322" max="13322" width="5.42578125" style="3" bestFit="1" customWidth="1"/>
    <col min="13323" max="13323" width="5.5703125" style="3" bestFit="1" customWidth="1"/>
    <col min="13324" max="13324" width="5.42578125" style="3" bestFit="1" customWidth="1"/>
    <col min="13325" max="13325" width="5.5703125" style="3" bestFit="1" customWidth="1"/>
    <col min="13326" max="13326" width="18.5703125" style="3" bestFit="1" customWidth="1"/>
    <col min="13327" max="13328" width="8.85546875" style="3"/>
    <col min="13329" max="13329" width="44.140625" style="3" customWidth="1"/>
    <col min="13330" max="13567" width="8.85546875" style="3"/>
    <col min="13568" max="13568" width="3.85546875" style="3" customWidth="1"/>
    <col min="13569" max="13569" width="0" style="3" hidden="1" customWidth="1"/>
    <col min="13570" max="13570" width="10" style="3" customWidth="1"/>
    <col min="13571" max="13571" width="49.28515625" style="3" customWidth="1"/>
    <col min="13572" max="13572" width="34.140625" style="3" customWidth="1"/>
    <col min="13573" max="13573" width="49.28515625" style="3" customWidth="1"/>
    <col min="13574" max="13574" width="34.140625" style="3" customWidth="1"/>
    <col min="13575" max="13575" width="12.85546875" style="3" customWidth="1"/>
    <col min="13576" max="13576" width="5.42578125" style="3" bestFit="1" customWidth="1"/>
    <col min="13577" max="13577" width="5.5703125" style="3" bestFit="1" customWidth="1"/>
    <col min="13578" max="13578" width="5.42578125" style="3" bestFit="1" customWidth="1"/>
    <col min="13579" max="13579" width="5.5703125" style="3" bestFit="1" customWidth="1"/>
    <col min="13580" max="13580" width="5.42578125" style="3" bestFit="1" customWidth="1"/>
    <col min="13581" max="13581" width="5.5703125" style="3" bestFit="1" customWidth="1"/>
    <col min="13582" max="13582" width="18.5703125" style="3" bestFit="1" customWidth="1"/>
    <col min="13583" max="13584" width="8.85546875" style="3"/>
    <col min="13585" max="13585" width="44.140625" style="3" customWidth="1"/>
    <col min="13586" max="13823" width="8.85546875" style="3"/>
    <col min="13824" max="13824" width="3.85546875" style="3" customWidth="1"/>
    <col min="13825" max="13825" width="0" style="3" hidden="1" customWidth="1"/>
    <col min="13826" max="13826" width="10" style="3" customWidth="1"/>
    <col min="13827" max="13827" width="49.28515625" style="3" customWidth="1"/>
    <col min="13828" max="13828" width="34.140625" style="3" customWidth="1"/>
    <col min="13829" max="13829" width="49.28515625" style="3" customWidth="1"/>
    <col min="13830" max="13830" width="34.140625" style="3" customWidth="1"/>
    <col min="13831" max="13831" width="12.85546875" style="3" customWidth="1"/>
    <col min="13832" max="13832" width="5.42578125" style="3" bestFit="1" customWidth="1"/>
    <col min="13833" max="13833" width="5.5703125" style="3" bestFit="1" customWidth="1"/>
    <col min="13834" max="13834" width="5.42578125" style="3" bestFit="1" customWidth="1"/>
    <col min="13835" max="13835" width="5.5703125" style="3" bestFit="1" customWidth="1"/>
    <col min="13836" max="13836" width="5.42578125" style="3" bestFit="1" customWidth="1"/>
    <col min="13837" max="13837" width="5.5703125" style="3" bestFit="1" customWidth="1"/>
    <col min="13838" max="13838" width="18.5703125" style="3" bestFit="1" customWidth="1"/>
    <col min="13839" max="13840" width="8.85546875" style="3"/>
    <col min="13841" max="13841" width="44.140625" style="3" customWidth="1"/>
    <col min="13842" max="14079" width="8.85546875" style="3"/>
    <col min="14080" max="14080" width="3.85546875" style="3" customWidth="1"/>
    <col min="14081" max="14081" width="0" style="3" hidden="1" customWidth="1"/>
    <col min="14082" max="14082" width="10" style="3" customWidth="1"/>
    <col min="14083" max="14083" width="49.28515625" style="3" customWidth="1"/>
    <col min="14084" max="14084" width="34.140625" style="3" customWidth="1"/>
    <col min="14085" max="14085" width="49.28515625" style="3" customWidth="1"/>
    <col min="14086" max="14086" width="34.140625" style="3" customWidth="1"/>
    <col min="14087" max="14087" width="12.85546875" style="3" customWidth="1"/>
    <col min="14088" max="14088" width="5.42578125" style="3" bestFit="1" customWidth="1"/>
    <col min="14089" max="14089" width="5.5703125" style="3" bestFit="1" customWidth="1"/>
    <col min="14090" max="14090" width="5.42578125" style="3" bestFit="1" customWidth="1"/>
    <col min="14091" max="14091" width="5.5703125" style="3" bestFit="1" customWidth="1"/>
    <col min="14092" max="14092" width="5.42578125" style="3" bestFit="1" customWidth="1"/>
    <col min="14093" max="14093" width="5.5703125" style="3" bestFit="1" customWidth="1"/>
    <col min="14094" max="14094" width="18.5703125" style="3" bestFit="1" customWidth="1"/>
    <col min="14095" max="14096" width="8.85546875" style="3"/>
    <col min="14097" max="14097" width="44.140625" style="3" customWidth="1"/>
    <col min="14098" max="14335" width="8.85546875" style="3"/>
    <col min="14336" max="14336" width="3.85546875" style="3" customWidth="1"/>
    <col min="14337" max="14337" width="0" style="3" hidden="1" customWidth="1"/>
    <col min="14338" max="14338" width="10" style="3" customWidth="1"/>
    <col min="14339" max="14339" width="49.28515625" style="3" customWidth="1"/>
    <col min="14340" max="14340" width="34.140625" style="3" customWidth="1"/>
    <col min="14341" max="14341" width="49.28515625" style="3" customWidth="1"/>
    <col min="14342" max="14342" width="34.140625" style="3" customWidth="1"/>
    <col min="14343" max="14343" width="12.85546875" style="3" customWidth="1"/>
    <col min="14344" max="14344" width="5.42578125" style="3" bestFit="1" customWidth="1"/>
    <col min="14345" max="14345" width="5.5703125" style="3" bestFit="1" customWidth="1"/>
    <col min="14346" max="14346" width="5.42578125" style="3" bestFit="1" customWidth="1"/>
    <col min="14347" max="14347" width="5.5703125" style="3" bestFit="1" customWidth="1"/>
    <col min="14348" max="14348" width="5.42578125" style="3" bestFit="1" customWidth="1"/>
    <col min="14349" max="14349" width="5.5703125" style="3" bestFit="1" customWidth="1"/>
    <col min="14350" max="14350" width="18.5703125" style="3" bestFit="1" customWidth="1"/>
    <col min="14351" max="14352" width="8.85546875" style="3"/>
    <col min="14353" max="14353" width="44.140625" style="3" customWidth="1"/>
    <col min="14354" max="14591" width="8.85546875" style="3"/>
    <col min="14592" max="14592" width="3.85546875" style="3" customWidth="1"/>
    <col min="14593" max="14593" width="0" style="3" hidden="1" customWidth="1"/>
    <col min="14594" max="14594" width="10" style="3" customWidth="1"/>
    <col min="14595" max="14595" width="49.28515625" style="3" customWidth="1"/>
    <col min="14596" max="14596" width="34.140625" style="3" customWidth="1"/>
    <col min="14597" max="14597" width="49.28515625" style="3" customWidth="1"/>
    <col min="14598" max="14598" width="34.140625" style="3" customWidth="1"/>
    <col min="14599" max="14599" width="12.85546875" style="3" customWidth="1"/>
    <col min="14600" max="14600" width="5.42578125" style="3" bestFit="1" customWidth="1"/>
    <col min="14601" max="14601" width="5.5703125" style="3" bestFit="1" customWidth="1"/>
    <col min="14602" max="14602" width="5.42578125" style="3" bestFit="1" customWidth="1"/>
    <col min="14603" max="14603" width="5.5703125" style="3" bestFit="1" customWidth="1"/>
    <col min="14604" max="14604" width="5.42578125" style="3" bestFit="1" customWidth="1"/>
    <col min="14605" max="14605" width="5.5703125" style="3" bestFit="1" customWidth="1"/>
    <col min="14606" max="14606" width="18.5703125" style="3" bestFit="1" customWidth="1"/>
    <col min="14607" max="14608" width="8.85546875" style="3"/>
    <col min="14609" max="14609" width="44.140625" style="3" customWidth="1"/>
    <col min="14610" max="14847" width="8.85546875" style="3"/>
    <col min="14848" max="14848" width="3.85546875" style="3" customWidth="1"/>
    <col min="14849" max="14849" width="0" style="3" hidden="1" customWidth="1"/>
    <col min="14850" max="14850" width="10" style="3" customWidth="1"/>
    <col min="14851" max="14851" width="49.28515625" style="3" customWidth="1"/>
    <col min="14852" max="14852" width="34.140625" style="3" customWidth="1"/>
    <col min="14853" max="14853" width="49.28515625" style="3" customWidth="1"/>
    <col min="14854" max="14854" width="34.140625" style="3" customWidth="1"/>
    <col min="14855" max="14855" width="12.85546875" style="3" customWidth="1"/>
    <col min="14856" max="14856" width="5.42578125" style="3" bestFit="1" customWidth="1"/>
    <col min="14857" max="14857" width="5.5703125" style="3" bestFit="1" customWidth="1"/>
    <col min="14858" max="14858" width="5.42578125" style="3" bestFit="1" customWidth="1"/>
    <col min="14859" max="14859" width="5.5703125" style="3" bestFit="1" customWidth="1"/>
    <col min="14860" max="14860" width="5.42578125" style="3" bestFit="1" customWidth="1"/>
    <col min="14861" max="14861" width="5.5703125" style="3" bestFit="1" customWidth="1"/>
    <col min="14862" max="14862" width="18.5703125" style="3" bestFit="1" customWidth="1"/>
    <col min="14863" max="14864" width="8.85546875" style="3"/>
    <col min="14865" max="14865" width="44.140625" style="3" customWidth="1"/>
    <col min="14866" max="15103" width="8.85546875" style="3"/>
    <col min="15104" max="15104" width="3.85546875" style="3" customWidth="1"/>
    <col min="15105" max="15105" width="0" style="3" hidden="1" customWidth="1"/>
    <col min="15106" max="15106" width="10" style="3" customWidth="1"/>
    <col min="15107" max="15107" width="49.28515625" style="3" customWidth="1"/>
    <col min="15108" max="15108" width="34.140625" style="3" customWidth="1"/>
    <col min="15109" max="15109" width="49.28515625" style="3" customWidth="1"/>
    <col min="15110" max="15110" width="34.140625" style="3" customWidth="1"/>
    <col min="15111" max="15111" width="12.85546875" style="3" customWidth="1"/>
    <col min="15112" max="15112" width="5.42578125" style="3" bestFit="1" customWidth="1"/>
    <col min="15113" max="15113" width="5.5703125" style="3" bestFit="1" customWidth="1"/>
    <col min="15114" max="15114" width="5.42578125" style="3" bestFit="1" customWidth="1"/>
    <col min="15115" max="15115" width="5.5703125" style="3" bestFit="1" customWidth="1"/>
    <col min="15116" max="15116" width="5.42578125" style="3" bestFit="1" customWidth="1"/>
    <col min="15117" max="15117" width="5.5703125" style="3" bestFit="1" customWidth="1"/>
    <col min="15118" max="15118" width="18.5703125" style="3" bestFit="1" customWidth="1"/>
    <col min="15119" max="15120" width="8.85546875" style="3"/>
    <col min="15121" max="15121" width="44.140625" style="3" customWidth="1"/>
    <col min="15122" max="15359" width="8.85546875" style="3"/>
    <col min="15360" max="15360" width="3.85546875" style="3" customWidth="1"/>
    <col min="15361" max="15361" width="0" style="3" hidden="1" customWidth="1"/>
    <col min="15362" max="15362" width="10" style="3" customWidth="1"/>
    <col min="15363" max="15363" width="49.28515625" style="3" customWidth="1"/>
    <col min="15364" max="15364" width="34.140625" style="3" customWidth="1"/>
    <col min="15365" max="15365" width="49.28515625" style="3" customWidth="1"/>
    <col min="15366" max="15366" width="34.140625" style="3" customWidth="1"/>
    <col min="15367" max="15367" width="12.85546875" style="3" customWidth="1"/>
    <col min="15368" max="15368" width="5.42578125" style="3" bestFit="1" customWidth="1"/>
    <col min="15369" max="15369" width="5.5703125" style="3" bestFit="1" customWidth="1"/>
    <col min="15370" max="15370" width="5.42578125" style="3" bestFit="1" customWidth="1"/>
    <col min="15371" max="15371" width="5.5703125" style="3" bestFit="1" customWidth="1"/>
    <col min="15372" max="15372" width="5.42578125" style="3" bestFit="1" customWidth="1"/>
    <col min="15373" max="15373" width="5.5703125" style="3" bestFit="1" customWidth="1"/>
    <col min="15374" max="15374" width="18.5703125" style="3" bestFit="1" customWidth="1"/>
    <col min="15375" max="15376" width="8.85546875" style="3"/>
    <col min="15377" max="15377" width="44.140625" style="3" customWidth="1"/>
    <col min="15378" max="15615" width="8.85546875" style="3"/>
    <col min="15616" max="15616" width="3.85546875" style="3" customWidth="1"/>
    <col min="15617" max="15617" width="0" style="3" hidden="1" customWidth="1"/>
    <col min="15618" max="15618" width="10" style="3" customWidth="1"/>
    <col min="15619" max="15619" width="49.28515625" style="3" customWidth="1"/>
    <col min="15620" max="15620" width="34.140625" style="3" customWidth="1"/>
    <col min="15621" max="15621" width="49.28515625" style="3" customWidth="1"/>
    <col min="15622" max="15622" width="34.140625" style="3" customWidth="1"/>
    <col min="15623" max="15623" width="12.85546875" style="3" customWidth="1"/>
    <col min="15624" max="15624" width="5.42578125" style="3" bestFit="1" customWidth="1"/>
    <col min="15625" max="15625" width="5.5703125" style="3" bestFit="1" customWidth="1"/>
    <col min="15626" max="15626" width="5.42578125" style="3" bestFit="1" customWidth="1"/>
    <col min="15627" max="15627" width="5.5703125" style="3" bestFit="1" customWidth="1"/>
    <col min="15628" max="15628" width="5.42578125" style="3" bestFit="1" customWidth="1"/>
    <col min="15629" max="15629" width="5.5703125" style="3" bestFit="1" customWidth="1"/>
    <col min="15630" max="15630" width="18.5703125" style="3" bestFit="1" customWidth="1"/>
    <col min="15631" max="15632" width="8.85546875" style="3"/>
    <col min="15633" max="15633" width="44.140625" style="3" customWidth="1"/>
    <col min="15634" max="15871" width="8.85546875" style="3"/>
    <col min="15872" max="15872" width="3.85546875" style="3" customWidth="1"/>
    <col min="15873" max="15873" width="0" style="3" hidden="1" customWidth="1"/>
    <col min="15874" max="15874" width="10" style="3" customWidth="1"/>
    <col min="15875" max="15875" width="49.28515625" style="3" customWidth="1"/>
    <col min="15876" max="15876" width="34.140625" style="3" customWidth="1"/>
    <col min="15877" max="15877" width="49.28515625" style="3" customWidth="1"/>
    <col min="15878" max="15878" width="34.140625" style="3" customWidth="1"/>
    <col min="15879" max="15879" width="12.85546875" style="3" customWidth="1"/>
    <col min="15880" max="15880" width="5.42578125" style="3" bestFit="1" customWidth="1"/>
    <col min="15881" max="15881" width="5.5703125" style="3" bestFit="1" customWidth="1"/>
    <col min="15882" max="15882" width="5.42578125" style="3" bestFit="1" customWidth="1"/>
    <col min="15883" max="15883" width="5.5703125" style="3" bestFit="1" customWidth="1"/>
    <col min="15884" max="15884" width="5.42578125" style="3" bestFit="1" customWidth="1"/>
    <col min="15885" max="15885" width="5.5703125" style="3" bestFit="1" customWidth="1"/>
    <col min="15886" max="15886" width="18.5703125" style="3" bestFit="1" customWidth="1"/>
    <col min="15887" max="15888" width="8.85546875" style="3"/>
    <col min="15889" max="15889" width="44.140625" style="3" customWidth="1"/>
    <col min="15890" max="16127" width="8.85546875" style="3"/>
    <col min="16128" max="16128" width="3.85546875" style="3" customWidth="1"/>
    <col min="16129" max="16129" width="0" style="3" hidden="1" customWidth="1"/>
    <col min="16130" max="16130" width="10" style="3" customWidth="1"/>
    <col min="16131" max="16131" width="49.28515625" style="3" customWidth="1"/>
    <col min="16132" max="16132" width="34.140625" style="3" customWidth="1"/>
    <col min="16133" max="16133" width="49.28515625" style="3" customWidth="1"/>
    <col min="16134" max="16134" width="34.140625" style="3" customWidth="1"/>
    <col min="16135" max="16135" width="12.85546875" style="3" customWidth="1"/>
    <col min="16136" max="16136" width="5.42578125" style="3" bestFit="1" customWidth="1"/>
    <col min="16137" max="16137" width="5.5703125" style="3" bestFit="1" customWidth="1"/>
    <col min="16138" max="16138" width="5.42578125" style="3" bestFit="1" customWidth="1"/>
    <col min="16139" max="16139" width="5.5703125" style="3" bestFit="1" customWidth="1"/>
    <col min="16140" max="16140" width="5.42578125" style="3" bestFit="1" customWidth="1"/>
    <col min="16141" max="16141" width="5.5703125" style="3" bestFit="1" customWidth="1"/>
    <col min="16142" max="16142" width="18.5703125" style="3" bestFit="1" customWidth="1"/>
    <col min="16143" max="16144" width="8.85546875" style="3"/>
    <col min="16145" max="16145" width="44.140625" style="3" customWidth="1"/>
    <col min="16146" max="16384" width="8.85546875" style="3"/>
  </cols>
  <sheetData>
    <row r="1" spans="1:7" x14ac:dyDescent="0.25">
      <c r="A1" s="1"/>
      <c r="B1" s="1"/>
      <c r="C1" s="1"/>
      <c r="D1" s="1"/>
      <c r="E1" s="1"/>
      <c r="F1" s="2"/>
    </row>
    <row r="2" spans="1:7" ht="20.25" x14ac:dyDescent="0.25">
      <c r="A2" s="170" t="s">
        <v>0</v>
      </c>
      <c r="B2" s="171"/>
      <c r="C2" s="171"/>
      <c r="D2" s="171"/>
      <c r="E2" s="172"/>
      <c r="F2" s="4"/>
    </row>
    <row r="3" spans="1:7" x14ac:dyDescent="0.25">
      <c r="A3" s="5"/>
      <c r="B3" s="6"/>
      <c r="C3" s="7"/>
      <c r="D3" s="7"/>
      <c r="E3" s="7"/>
    </row>
    <row r="4" spans="1:7" x14ac:dyDescent="0.25">
      <c r="A4" s="173" t="s">
        <v>1</v>
      </c>
      <c r="B4" s="175" t="s">
        <v>2</v>
      </c>
      <c r="C4" s="175" t="s">
        <v>3</v>
      </c>
      <c r="D4" s="175"/>
      <c r="E4" s="173" t="s">
        <v>4</v>
      </c>
    </row>
    <row r="5" spans="1:7" x14ac:dyDescent="0.25">
      <c r="A5" s="174"/>
      <c r="B5" s="176"/>
      <c r="C5" s="8" t="s">
        <v>5</v>
      </c>
      <c r="D5" s="8" t="s">
        <v>6</v>
      </c>
      <c r="E5" s="176"/>
    </row>
    <row r="6" spans="1:7" ht="25.15" customHeight="1" x14ac:dyDescent="0.25">
      <c r="A6" s="9">
        <v>1</v>
      </c>
      <c r="B6" s="10" t="str">
        <f>'[1]Items 1,2,3-Construction Works'!B213</f>
        <v>Electrical Works for new 33/11 kV Primary Substation</v>
      </c>
      <c r="C6" s="11">
        <f>+'Items 1,2,3-Construction Works'!F213</f>
        <v>23787065.996635005</v>
      </c>
      <c r="D6" s="11">
        <f>+'Items 1,2,3-Construction Works'!H213</f>
        <v>4573689.0333649991</v>
      </c>
      <c r="E6" s="11">
        <f>C6+D6</f>
        <v>28360755.030000005</v>
      </c>
    </row>
    <row r="7" spans="1:7" ht="25.15" customHeight="1" x14ac:dyDescent="0.25">
      <c r="A7" s="9">
        <v>2</v>
      </c>
      <c r="B7" s="10" t="str">
        <f>'[1]Items 1,2,3-Construction Works'!B214</f>
        <v>Mechanical Works for new 33/11 kV Primary Substation</v>
      </c>
      <c r="C7" s="11">
        <f>+'Items 1,2,3-Construction Works'!F214</f>
        <v>4554179.8666666681</v>
      </c>
      <c r="D7" s="11">
        <f>+'Items 1,2,3-Construction Works'!H214</f>
        <v>1043644.7799999993</v>
      </c>
      <c r="E7" s="11">
        <f t="shared" ref="E7:E13" si="0">C7+D7</f>
        <v>5597824.6466666674</v>
      </c>
    </row>
    <row r="8" spans="1:7" ht="25.15" customHeight="1" x14ac:dyDescent="0.25">
      <c r="A8" s="9">
        <v>3</v>
      </c>
      <c r="B8" s="10" t="str">
        <f>'[1]Items 1,2,3-Construction Works'!B215</f>
        <v>Civil Works for new 33/11 kV Primary Substation Building</v>
      </c>
      <c r="C8" s="11">
        <f>+'Items 1,2,3-Construction Works'!F215</f>
        <v>0</v>
      </c>
      <c r="D8" s="11">
        <f>+'Items 1,2,3-Construction Works'!H215</f>
        <v>16229499.67</v>
      </c>
      <c r="E8" s="11">
        <f t="shared" si="0"/>
        <v>16229499.67</v>
      </c>
    </row>
    <row r="9" spans="1:7" ht="31.5" x14ac:dyDescent="0.25">
      <c r="A9" s="9">
        <v>4</v>
      </c>
      <c r="B9" s="10" t="str">
        <f>'[1]Items 4-Load Diversion Works'!B71</f>
        <v>Interconnecting Cables between Grid Station and the new Primary Substation and Load Diversion works</v>
      </c>
      <c r="C9" s="11">
        <f>+'Items 4-Load Diversion Works'!F73</f>
        <v>0</v>
      </c>
      <c r="D9" s="11">
        <f>+'Items 4-Load Diversion Works'!H73</f>
        <v>1389385.777</v>
      </c>
      <c r="E9" s="11">
        <f t="shared" si="0"/>
        <v>1389385.777</v>
      </c>
    </row>
    <row r="10" spans="1:7" ht="31.5" x14ac:dyDescent="0.25">
      <c r="A10" s="9">
        <v>5</v>
      </c>
      <c r="B10" s="10" t="str">
        <f>'[1]Items 5-8 Dismantl &amp; Modif work'!B21</f>
        <v>Dismantling, Decommissioning &amp; Demolition Works of existing old 33/11kV primary substation (SHBPRY)</v>
      </c>
      <c r="C10" s="11">
        <f>+'Items 5-8 Dismantl &amp; Modif work'!F21</f>
        <v>0</v>
      </c>
      <c r="D10" s="11">
        <f>+'Items 5-8 Dismantl &amp; Modif work'!H21</f>
        <v>193226.5</v>
      </c>
      <c r="E10" s="11">
        <f t="shared" si="0"/>
        <v>193226.5</v>
      </c>
    </row>
    <row r="11" spans="1:7" ht="31.5" x14ac:dyDescent="0.25">
      <c r="A11" s="9">
        <v>6</v>
      </c>
      <c r="B11" s="10" t="str">
        <f>'[1]Items 5-8 Dismantl &amp; Modif work'!B22</f>
        <v>Dismantling &amp; Decommissioning Works of old 2 nos. Package Units  (SHBPRY2 &amp; SHBPRY3)</v>
      </c>
      <c r="C11" s="11">
        <f>+'Items 5-8 Dismantl &amp; Modif work'!F22</f>
        <v>0</v>
      </c>
      <c r="D11" s="11">
        <f>+'Items 5-8 Dismantl &amp; Modif work'!H22</f>
        <v>27020.51</v>
      </c>
      <c r="E11" s="11">
        <f t="shared" si="0"/>
        <v>27020.51</v>
      </c>
    </row>
    <row r="12" spans="1:7" x14ac:dyDescent="0.25">
      <c r="A12" s="9">
        <v>7</v>
      </c>
      <c r="B12" s="10" t="str">
        <f>'[1]Items 5-8 Dismantl &amp; Modif work'!B23</f>
        <v>33kV OHL Modification works for SHBPRY</v>
      </c>
      <c r="C12" s="11">
        <f>+'Items 5-8 Dismantl &amp; Modif work'!F23</f>
        <v>0</v>
      </c>
      <c r="D12" s="11">
        <f>+'Items 5-8 Dismantl &amp; Modif work'!H23</f>
        <v>915054.9</v>
      </c>
      <c r="E12" s="11">
        <f t="shared" si="0"/>
        <v>915054.9</v>
      </c>
    </row>
    <row r="13" spans="1:7" ht="47.25" x14ac:dyDescent="0.25">
      <c r="A13" s="9">
        <v>8</v>
      </c>
      <c r="B13" s="10" t="str">
        <f>'[1]Items 5-8 Dismantl &amp; Modif work'!B24</f>
        <v>Shifting of existing 11kV TRM (GIS name: OKH12) to a location near existing TRM (DHS08) to connect Radial Transformer (SHB02) into a ring feeder</v>
      </c>
      <c r="C13" s="11">
        <f>+'Items 5-8 Dismantl &amp; Modif work'!F24</f>
        <v>0</v>
      </c>
      <c r="D13" s="11">
        <f>+'Items 5-8 Dismantl &amp; Modif work'!H24</f>
        <v>5000</v>
      </c>
      <c r="E13" s="11">
        <f t="shared" si="0"/>
        <v>5000</v>
      </c>
    </row>
    <row r="14" spans="1:7" x14ac:dyDescent="0.25">
      <c r="A14" s="9">
        <v>9</v>
      </c>
      <c r="B14" s="10" t="str">
        <f>'[1]Items 9- Spare Parts (Optional)'!B156</f>
        <v>Spare Parts &amp; Tools (Optional)</v>
      </c>
      <c r="C14" s="11">
        <f>+'Items 9- Spare Parts (Optional)'!F158</f>
        <v>924738.15333333344</v>
      </c>
      <c r="D14" s="165" t="s">
        <v>7</v>
      </c>
      <c r="E14" s="11">
        <f>C14</f>
        <v>924738.15333333344</v>
      </c>
    </row>
    <row r="15" spans="1:7" x14ac:dyDescent="0.25">
      <c r="A15" s="12"/>
      <c r="B15" s="13" t="s">
        <v>8</v>
      </c>
      <c r="C15" s="14">
        <f>SUM(C6:C14)</f>
        <v>29265984.016635004</v>
      </c>
      <c r="D15" s="14">
        <f>SUM(D6:D13)</f>
        <v>24376521.170364998</v>
      </c>
      <c r="E15" s="14">
        <f>SUM(E6:E14)</f>
        <v>53642505.187000006</v>
      </c>
      <c r="F15" s="166"/>
      <c r="G15" s="167"/>
    </row>
    <row r="16" spans="1:7" x14ac:dyDescent="0.25">
      <c r="A16" s="169" t="s">
        <v>9</v>
      </c>
      <c r="B16" s="169"/>
      <c r="C16" s="169"/>
      <c r="D16" s="15"/>
      <c r="E16" s="15"/>
      <c r="F16" s="16"/>
    </row>
    <row r="18" spans="1:2" x14ac:dyDescent="0.25">
      <c r="A18" s="17"/>
      <c r="B18" s="17"/>
    </row>
  </sheetData>
  <mergeCells count="6">
    <mergeCell ref="A16:C16"/>
    <mergeCell ref="A2:E2"/>
    <mergeCell ref="A4:A5"/>
    <mergeCell ref="B4:B5"/>
    <mergeCell ref="C4:D4"/>
    <mergeCell ref="E4:E5"/>
  </mergeCells>
  <pageMargins left="0.70866141732283472" right="0.70866141732283472" top="0.74803149606299213" bottom="0.74803149606299213" header="0.31496062992125984" footer="0.31496062992125984"/>
  <pageSetup paperSize="9" scale="84" orientation="landscape" verticalDpi="0" r:id="rId1"/>
  <ignoredErrors>
    <ignoredError sqref="D1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8"/>
  <sheetViews>
    <sheetView view="pageBreakPreview" zoomScale="60" zoomScaleNormal="60" workbookViewId="0">
      <pane ySplit="7" topLeftCell="A8" activePane="bottomLeft" state="frozen"/>
      <selection pane="bottomLeft" activeCell="E37" sqref="E37"/>
    </sheetView>
  </sheetViews>
  <sheetFormatPr defaultRowHeight="18.75" x14ac:dyDescent="0.25"/>
  <cols>
    <col min="1" max="1" width="15" style="18" customWidth="1"/>
    <col min="2" max="2" width="95" style="21" customWidth="1"/>
    <col min="3" max="3" width="13" style="19" customWidth="1"/>
    <col min="4" max="4" width="17.5703125" style="19" customWidth="1"/>
    <col min="5" max="5" width="22.42578125" style="28" customWidth="1"/>
    <col min="6" max="6" width="26.28515625" style="28" bestFit="1" customWidth="1"/>
    <col min="7" max="7" width="18.7109375" style="28" customWidth="1"/>
    <col min="8" max="8" width="26.28515625" style="28" bestFit="1" customWidth="1"/>
    <col min="9" max="9" width="29.85546875" style="91" customWidth="1"/>
    <col min="10" max="240" width="8.85546875" style="28"/>
    <col min="241" max="241" width="7.7109375" style="28" bestFit="1" customWidth="1"/>
    <col min="242" max="242" width="88.28515625" style="28" customWidth="1"/>
    <col min="243" max="243" width="13" style="28" customWidth="1"/>
    <col min="244" max="244" width="18" style="28" customWidth="1"/>
    <col min="245" max="245" width="17" style="28" customWidth="1"/>
    <col min="246" max="246" width="17.85546875" style="28" customWidth="1"/>
    <col min="247" max="247" width="20.42578125" style="28" customWidth="1"/>
    <col min="248" max="248" width="14.85546875" style="28" customWidth="1"/>
    <col min="249" max="251" width="18.140625" style="28" customWidth="1"/>
    <col min="252" max="252" width="20.42578125" style="28" customWidth="1"/>
    <col min="253" max="253" width="14.140625" style="28" bestFit="1" customWidth="1"/>
    <col min="254" max="254" width="10" style="28" bestFit="1" customWidth="1"/>
    <col min="255" max="496" width="8.85546875" style="28"/>
    <col min="497" max="497" width="7.7109375" style="28" bestFit="1" customWidth="1"/>
    <col min="498" max="498" width="88.28515625" style="28" customWidth="1"/>
    <col min="499" max="499" width="13" style="28" customWidth="1"/>
    <col min="500" max="500" width="18" style="28" customWidth="1"/>
    <col min="501" max="501" width="17" style="28" customWidth="1"/>
    <col min="502" max="502" width="17.85546875" style="28" customWidth="1"/>
    <col min="503" max="503" width="20.42578125" style="28" customWidth="1"/>
    <col min="504" max="504" width="14.85546875" style="28" customWidth="1"/>
    <col min="505" max="507" width="18.140625" style="28" customWidth="1"/>
    <col min="508" max="508" width="20.42578125" style="28" customWidth="1"/>
    <col min="509" max="509" width="14.140625" style="28" bestFit="1" customWidth="1"/>
    <col min="510" max="510" width="10" style="28" bestFit="1" customWidth="1"/>
    <col min="511" max="752" width="8.85546875" style="28"/>
    <col min="753" max="753" width="7.7109375" style="28" bestFit="1" customWidth="1"/>
    <col min="754" max="754" width="88.28515625" style="28" customWidth="1"/>
    <col min="755" max="755" width="13" style="28" customWidth="1"/>
    <col min="756" max="756" width="18" style="28" customWidth="1"/>
    <col min="757" max="757" width="17" style="28" customWidth="1"/>
    <col min="758" max="758" width="17.85546875" style="28" customWidth="1"/>
    <col min="759" max="759" width="20.42578125" style="28" customWidth="1"/>
    <col min="760" max="760" width="14.85546875" style="28" customWidth="1"/>
    <col min="761" max="763" width="18.140625" style="28" customWidth="1"/>
    <col min="764" max="764" width="20.42578125" style="28" customWidth="1"/>
    <col min="765" max="765" width="14.140625" style="28" bestFit="1" customWidth="1"/>
    <col min="766" max="766" width="10" style="28" bestFit="1" customWidth="1"/>
    <col min="767" max="1008" width="8.85546875" style="28"/>
    <col min="1009" max="1009" width="7.7109375" style="28" bestFit="1" customWidth="1"/>
    <col min="1010" max="1010" width="88.28515625" style="28" customWidth="1"/>
    <col min="1011" max="1011" width="13" style="28" customWidth="1"/>
    <col min="1012" max="1012" width="18" style="28" customWidth="1"/>
    <col min="1013" max="1013" width="17" style="28" customWidth="1"/>
    <col min="1014" max="1014" width="17.85546875" style="28" customWidth="1"/>
    <col min="1015" max="1015" width="20.42578125" style="28" customWidth="1"/>
    <col min="1016" max="1016" width="14.85546875" style="28" customWidth="1"/>
    <col min="1017" max="1019" width="18.140625" style="28" customWidth="1"/>
    <col min="1020" max="1020" width="20.42578125" style="28" customWidth="1"/>
    <col min="1021" max="1021" width="14.140625" style="28" bestFit="1" customWidth="1"/>
    <col min="1022" max="1022" width="10" style="28" bestFit="1" customWidth="1"/>
    <col min="1023" max="1264" width="8.85546875" style="28"/>
    <col min="1265" max="1265" width="7.7109375" style="28" bestFit="1" customWidth="1"/>
    <col min="1266" max="1266" width="88.28515625" style="28" customWidth="1"/>
    <col min="1267" max="1267" width="13" style="28" customWidth="1"/>
    <col min="1268" max="1268" width="18" style="28" customWidth="1"/>
    <col min="1269" max="1269" width="17" style="28" customWidth="1"/>
    <col min="1270" max="1270" width="17.85546875" style="28" customWidth="1"/>
    <col min="1271" max="1271" width="20.42578125" style="28" customWidth="1"/>
    <col min="1272" max="1272" width="14.85546875" style="28" customWidth="1"/>
    <col min="1273" max="1275" width="18.140625" style="28" customWidth="1"/>
    <col min="1276" max="1276" width="20.42578125" style="28" customWidth="1"/>
    <col min="1277" max="1277" width="14.140625" style="28" bestFit="1" customWidth="1"/>
    <col min="1278" max="1278" width="10" style="28" bestFit="1" customWidth="1"/>
    <col min="1279" max="1520" width="8.85546875" style="28"/>
    <col min="1521" max="1521" width="7.7109375" style="28" bestFit="1" customWidth="1"/>
    <col min="1522" max="1522" width="88.28515625" style="28" customWidth="1"/>
    <col min="1523" max="1523" width="13" style="28" customWidth="1"/>
    <col min="1524" max="1524" width="18" style="28" customWidth="1"/>
    <col min="1525" max="1525" width="17" style="28" customWidth="1"/>
    <col min="1526" max="1526" width="17.85546875" style="28" customWidth="1"/>
    <col min="1527" max="1527" width="20.42578125" style="28" customWidth="1"/>
    <col min="1528" max="1528" width="14.85546875" style="28" customWidth="1"/>
    <col min="1529" max="1531" width="18.140625" style="28" customWidth="1"/>
    <col min="1532" max="1532" width="20.42578125" style="28" customWidth="1"/>
    <col min="1533" max="1533" width="14.140625" style="28" bestFit="1" customWidth="1"/>
    <col min="1534" max="1534" width="10" style="28" bestFit="1" customWidth="1"/>
    <col min="1535" max="1776" width="8.85546875" style="28"/>
    <col min="1777" max="1777" width="7.7109375" style="28" bestFit="1" customWidth="1"/>
    <col min="1778" max="1778" width="88.28515625" style="28" customWidth="1"/>
    <col min="1779" max="1779" width="13" style="28" customWidth="1"/>
    <col min="1780" max="1780" width="18" style="28" customWidth="1"/>
    <col min="1781" max="1781" width="17" style="28" customWidth="1"/>
    <col min="1782" max="1782" width="17.85546875" style="28" customWidth="1"/>
    <col min="1783" max="1783" width="20.42578125" style="28" customWidth="1"/>
    <col min="1784" max="1784" width="14.85546875" style="28" customWidth="1"/>
    <col min="1785" max="1787" width="18.140625" style="28" customWidth="1"/>
    <col min="1788" max="1788" width="20.42578125" style="28" customWidth="1"/>
    <col min="1789" max="1789" width="14.140625" style="28" bestFit="1" customWidth="1"/>
    <col min="1790" max="1790" width="10" style="28" bestFit="1" customWidth="1"/>
    <col min="1791" max="2032" width="8.85546875" style="28"/>
    <col min="2033" max="2033" width="7.7109375" style="28" bestFit="1" customWidth="1"/>
    <col min="2034" max="2034" width="88.28515625" style="28" customWidth="1"/>
    <col min="2035" max="2035" width="13" style="28" customWidth="1"/>
    <col min="2036" max="2036" width="18" style="28" customWidth="1"/>
    <col min="2037" max="2037" width="17" style="28" customWidth="1"/>
    <col min="2038" max="2038" width="17.85546875" style="28" customWidth="1"/>
    <col min="2039" max="2039" width="20.42578125" style="28" customWidth="1"/>
    <col min="2040" max="2040" width="14.85546875" style="28" customWidth="1"/>
    <col min="2041" max="2043" width="18.140625" style="28" customWidth="1"/>
    <col min="2044" max="2044" width="20.42578125" style="28" customWidth="1"/>
    <col min="2045" max="2045" width="14.140625" style="28" bestFit="1" customWidth="1"/>
    <col min="2046" max="2046" width="10" style="28" bestFit="1" customWidth="1"/>
    <col min="2047" max="2288" width="8.85546875" style="28"/>
    <col min="2289" max="2289" width="7.7109375" style="28" bestFit="1" customWidth="1"/>
    <col min="2290" max="2290" width="88.28515625" style="28" customWidth="1"/>
    <col min="2291" max="2291" width="13" style="28" customWidth="1"/>
    <col min="2292" max="2292" width="18" style="28" customWidth="1"/>
    <col min="2293" max="2293" width="17" style="28" customWidth="1"/>
    <col min="2294" max="2294" width="17.85546875" style="28" customWidth="1"/>
    <col min="2295" max="2295" width="20.42578125" style="28" customWidth="1"/>
    <col min="2296" max="2296" width="14.85546875" style="28" customWidth="1"/>
    <col min="2297" max="2299" width="18.140625" style="28" customWidth="1"/>
    <col min="2300" max="2300" width="20.42578125" style="28" customWidth="1"/>
    <col min="2301" max="2301" width="14.140625" style="28" bestFit="1" customWidth="1"/>
    <col min="2302" max="2302" width="10" style="28" bestFit="1" customWidth="1"/>
    <col min="2303" max="2544" width="8.85546875" style="28"/>
    <col min="2545" max="2545" width="7.7109375" style="28" bestFit="1" customWidth="1"/>
    <col min="2546" max="2546" width="88.28515625" style="28" customWidth="1"/>
    <col min="2547" max="2547" width="13" style="28" customWidth="1"/>
    <col min="2548" max="2548" width="18" style="28" customWidth="1"/>
    <col min="2549" max="2549" width="17" style="28" customWidth="1"/>
    <col min="2550" max="2550" width="17.85546875" style="28" customWidth="1"/>
    <col min="2551" max="2551" width="20.42578125" style="28" customWidth="1"/>
    <col min="2552" max="2552" width="14.85546875" style="28" customWidth="1"/>
    <col min="2553" max="2555" width="18.140625" style="28" customWidth="1"/>
    <col min="2556" max="2556" width="20.42578125" style="28" customWidth="1"/>
    <col min="2557" max="2557" width="14.140625" style="28" bestFit="1" customWidth="1"/>
    <col min="2558" max="2558" width="10" style="28" bestFit="1" customWidth="1"/>
    <col min="2559" max="2800" width="8.85546875" style="28"/>
    <col min="2801" max="2801" width="7.7109375" style="28" bestFit="1" customWidth="1"/>
    <col min="2802" max="2802" width="88.28515625" style="28" customWidth="1"/>
    <col min="2803" max="2803" width="13" style="28" customWidth="1"/>
    <col min="2804" max="2804" width="18" style="28" customWidth="1"/>
    <col min="2805" max="2805" width="17" style="28" customWidth="1"/>
    <col min="2806" max="2806" width="17.85546875" style="28" customWidth="1"/>
    <col min="2807" max="2807" width="20.42578125" style="28" customWidth="1"/>
    <col min="2808" max="2808" width="14.85546875" style="28" customWidth="1"/>
    <col min="2809" max="2811" width="18.140625" style="28" customWidth="1"/>
    <col min="2812" max="2812" width="20.42578125" style="28" customWidth="1"/>
    <col min="2813" max="2813" width="14.140625" style="28" bestFit="1" customWidth="1"/>
    <col min="2814" max="2814" width="10" style="28" bestFit="1" customWidth="1"/>
    <col min="2815" max="3056" width="8.85546875" style="28"/>
    <col min="3057" max="3057" width="7.7109375" style="28" bestFit="1" customWidth="1"/>
    <col min="3058" max="3058" width="88.28515625" style="28" customWidth="1"/>
    <col min="3059" max="3059" width="13" style="28" customWidth="1"/>
    <col min="3060" max="3060" width="18" style="28" customWidth="1"/>
    <col min="3061" max="3061" width="17" style="28" customWidth="1"/>
    <col min="3062" max="3062" width="17.85546875" style="28" customWidth="1"/>
    <col min="3063" max="3063" width="20.42578125" style="28" customWidth="1"/>
    <col min="3064" max="3064" width="14.85546875" style="28" customWidth="1"/>
    <col min="3065" max="3067" width="18.140625" style="28" customWidth="1"/>
    <col min="3068" max="3068" width="20.42578125" style="28" customWidth="1"/>
    <col min="3069" max="3069" width="14.140625" style="28" bestFit="1" customWidth="1"/>
    <col min="3070" max="3070" width="10" style="28" bestFit="1" customWidth="1"/>
    <col min="3071" max="3312" width="8.85546875" style="28"/>
    <col min="3313" max="3313" width="7.7109375" style="28" bestFit="1" customWidth="1"/>
    <col min="3314" max="3314" width="88.28515625" style="28" customWidth="1"/>
    <col min="3315" max="3315" width="13" style="28" customWidth="1"/>
    <col min="3316" max="3316" width="18" style="28" customWidth="1"/>
    <col min="3317" max="3317" width="17" style="28" customWidth="1"/>
    <col min="3318" max="3318" width="17.85546875" style="28" customWidth="1"/>
    <col min="3319" max="3319" width="20.42578125" style="28" customWidth="1"/>
    <col min="3320" max="3320" width="14.85546875" style="28" customWidth="1"/>
    <col min="3321" max="3323" width="18.140625" style="28" customWidth="1"/>
    <col min="3324" max="3324" width="20.42578125" style="28" customWidth="1"/>
    <col min="3325" max="3325" width="14.140625" style="28" bestFit="1" customWidth="1"/>
    <col min="3326" max="3326" width="10" style="28" bestFit="1" customWidth="1"/>
    <col min="3327" max="3568" width="8.85546875" style="28"/>
    <col min="3569" max="3569" width="7.7109375" style="28" bestFit="1" customWidth="1"/>
    <col min="3570" max="3570" width="88.28515625" style="28" customWidth="1"/>
    <col min="3571" max="3571" width="13" style="28" customWidth="1"/>
    <col min="3572" max="3572" width="18" style="28" customWidth="1"/>
    <col min="3573" max="3573" width="17" style="28" customWidth="1"/>
    <col min="3574" max="3574" width="17.85546875" style="28" customWidth="1"/>
    <col min="3575" max="3575" width="20.42578125" style="28" customWidth="1"/>
    <col min="3576" max="3576" width="14.85546875" style="28" customWidth="1"/>
    <col min="3577" max="3579" width="18.140625" style="28" customWidth="1"/>
    <col min="3580" max="3580" width="20.42578125" style="28" customWidth="1"/>
    <col min="3581" max="3581" width="14.140625" style="28" bestFit="1" customWidth="1"/>
    <col min="3582" max="3582" width="10" style="28" bestFit="1" customWidth="1"/>
    <col min="3583" max="3824" width="8.85546875" style="28"/>
    <col min="3825" max="3825" width="7.7109375" style="28" bestFit="1" customWidth="1"/>
    <col min="3826" max="3826" width="88.28515625" style="28" customWidth="1"/>
    <col min="3827" max="3827" width="13" style="28" customWidth="1"/>
    <col min="3828" max="3828" width="18" style="28" customWidth="1"/>
    <col min="3829" max="3829" width="17" style="28" customWidth="1"/>
    <col min="3830" max="3830" width="17.85546875" style="28" customWidth="1"/>
    <col min="3831" max="3831" width="20.42578125" style="28" customWidth="1"/>
    <col min="3832" max="3832" width="14.85546875" style="28" customWidth="1"/>
    <col min="3833" max="3835" width="18.140625" style="28" customWidth="1"/>
    <col min="3836" max="3836" width="20.42578125" style="28" customWidth="1"/>
    <col min="3837" max="3837" width="14.140625" style="28" bestFit="1" customWidth="1"/>
    <col min="3838" max="3838" width="10" style="28" bestFit="1" customWidth="1"/>
    <col min="3839" max="4080" width="8.85546875" style="28"/>
    <col min="4081" max="4081" width="7.7109375" style="28" bestFit="1" customWidth="1"/>
    <col min="4082" max="4082" width="88.28515625" style="28" customWidth="1"/>
    <col min="4083" max="4083" width="13" style="28" customWidth="1"/>
    <col min="4084" max="4084" width="18" style="28" customWidth="1"/>
    <col min="4085" max="4085" width="17" style="28" customWidth="1"/>
    <col min="4086" max="4086" width="17.85546875" style="28" customWidth="1"/>
    <col min="4087" max="4087" width="20.42578125" style="28" customWidth="1"/>
    <col min="4088" max="4088" width="14.85546875" style="28" customWidth="1"/>
    <col min="4089" max="4091" width="18.140625" style="28" customWidth="1"/>
    <col min="4092" max="4092" width="20.42578125" style="28" customWidth="1"/>
    <col min="4093" max="4093" width="14.140625" style="28" bestFit="1" customWidth="1"/>
    <col min="4094" max="4094" width="10" style="28" bestFit="1" customWidth="1"/>
    <col min="4095" max="4336" width="8.85546875" style="28"/>
    <col min="4337" max="4337" width="7.7109375" style="28" bestFit="1" customWidth="1"/>
    <col min="4338" max="4338" width="88.28515625" style="28" customWidth="1"/>
    <col min="4339" max="4339" width="13" style="28" customWidth="1"/>
    <col min="4340" max="4340" width="18" style="28" customWidth="1"/>
    <col min="4341" max="4341" width="17" style="28" customWidth="1"/>
    <col min="4342" max="4342" width="17.85546875" style="28" customWidth="1"/>
    <col min="4343" max="4343" width="20.42578125" style="28" customWidth="1"/>
    <col min="4344" max="4344" width="14.85546875" style="28" customWidth="1"/>
    <col min="4345" max="4347" width="18.140625" style="28" customWidth="1"/>
    <col min="4348" max="4348" width="20.42578125" style="28" customWidth="1"/>
    <col min="4349" max="4349" width="14.140625" style="28" bestFit="1" customWidth="1"/>
    <col min="4350" max="4350" width="10" style="28" bestFit="1" customWidth="1"/>
    <col min="4351" max="4592" width="8.85546875" style="28"/>
    <col min="4593" max="4593" width="7.7109375" style="28" bestFit="1" customWidth="1"/>
    <col min="4594" max="4594" width="88.28515625" style="28" customWidth="1"/>
    <col min="4595" max="4595" width="13" style="28" customWidth="1"/>
    <col min="4596" max="4596" width="18" style="28" customWidth="1"/>
    <col min="4597" max="4597" width="17" style="28" customWidth="1"/>
    <col min="4598" max="4598" width="17.85546875" style="28" customWidth="1"/>
    <col min="4599" max="4599" width="20.42578125" style="28" customWidth="1"/>
    <col min="4600" max="4600" width="14.85546875" style="28" customWidth="1"/>
    <col min="4601" max="4603" width="18.140625" style="28" customWidth="1"/>
    <col min="4604" max="4604" width="20.42578125" style="28" customWidth="1"/>
    <col min="4605" max="4605" width="14.140625" style="28" bestFit="1" customWidth="1"/>
    <col min="4606" max="4606" width="10" style="28" bestFit="1" customWidth="1"/>
    <col min="4607" max="4848" width="8.85546875" style="28"/>
    <col min="4849" max="4849" width="7.7109375" style="28" bestFit="1" customWidth="1"/>
    <col min="4850" max="4850" width="88.28515625" style="28" customWidth="1"/>
    <col min="4851" max="4851" width="13" style="28" customWidth="1"/>
    <col min="4852" max="4852" width="18" style="28" customWidth="1"/>
    <col min="4853" max="4853" width="17" style="28" customWidth="1"/>
    <col min="4854" max="4854" width="17.85546875" style="28" customWidth="1"/>
    <col min="4855" max="4855" width="20.42578125" style="28" customWidth="1"/>
    <col min="4856" max="4856" width="14.85546875" style="28" customWidth="1"/>
    <col min="4857" max="4859" width="18.140625" style="28" customWidth="1"/>
    <col min="4860" max="4860" width="20.42578125" style="28" customWidth="1"/>
    <col min="4861" max="4861" width="14.140625" style="28" bestFit="1" customWidth="1"/>
    <col min="4862" max="4862" width="10" style="28" bestFit="1" customWidth="1"/>
    <col min="4863" max="5104" width="8.85546875" style="28"/>
    <col min="5105" max="5105" width="7.7109375" style="28" bestFit="1" customWidth="1"/>
    <col min="5106" max="5106" width="88.28515625" style="28" customWidth="1"/>
    <col min="5107" max="5107" width="13" style="28" customWidth="1"/>
    <col min="5108" max="5108" width="18" style="28" customWidth="1"/>
    <col min="5109" max="5109" width="17" style="28" customWidth="1"/>
    <col min="5110" max="5110" width="17.85546875" style="28" customWidth="1"/>
    <col min="5111" max="5111" width="20.42578125" style="28" customWidth="1"/>
    <col min="5112" max="5112" width="14.85546875" style="28" customWidth="1"/>
    <col min="5113" max="5115" width="18.140625" style="28" customWidth="1"/>
    <col min="5116" max="5116" width="20.42578125" style="28" customWidth="1"/>
    <col min="5117" max="5117" width="14.140625" style="28" bestFit="1" customWidth="1"/>
    <col min="5118" max="5118" width="10" style="28" bestFit="1" customWidth="1"/>
    <col min="5119" max="5360" width="8.85546875" style="28"/>
    <col min="5361" max="5361" width="7.7109375" style="28" bestFit="1" customWidth="1"/>
    <col min="5362" max="5362" width="88.28515625" style="28" customWidth="1"/>
    <col min="5363" max="5363" width="13" style="28" customWidth="1"/>
    <col min="5364" max="5364" width="18" style="28" customWidth="1"/>
    <col min="5365" max="5365" width="17" style="28" customWidth="1"/>
    <col min="5366" max="5366" width="17.85546875" style="28" customWidth="1"/>
    <col min="5367" max="5367" width="20.42578125" style="28" customWidth="1"/>
    <col min="5368" max="5368" width="14.85546875" style="28" customWidth="1"/>
    <col min="5369" max="5371" width="18.140625" style="28" customWidth="1"/>
    <col min="5372" max="5372" width="20.42578125" style="28" customWidth="1"/>
    <col min="5373" max="5373" width="14.140625" style="28" bestFit="1" customWidth="1"/>
    <col min="5374" max="5374" width="10" style="28" bestFit="1" customWidth="1"/>
    <col min="5375" max="5616" width="8.85546875" style="28"/>
    <col min="5617" max="5617" width="7.7109375" style="28" bestFit="1" customWidth="1"/>
    <col min="5618" max="5618" width="88.28515625" style="28" customWidth="1"/>
    <col min="5619" max="5619" width="13" style="28" customWidth="1"/>
    <col min="5620" max="5620" width="18" style="28" customWidth="1"/>
    <col min="5621" max="5621" width="17" style="28" customWidth="1"/>
    <col min="5622" max="5622" width="17.85546875" style="28" customWidth="1"/>
    <col min="5623" max="5623" width="20.42578125" style="28" customWidth="1"/>
    <col min="5624" max="5624" width="14.85546875" style="28" customWidth="1"/>
    <col min="5625" max="5627" width="18.140625" style="28" customWidth="1"/>
    <col min="5628" max="5628" width="20.42578125" style="28" customWidth="1"/>
    <col min="5629" max="5629" width="14.140625" style="28" bestFit="1" customWidth="1"/>
    <col min="5630" max="5630" width="10" style="28" bestFit="1" customWidth="1"/>
    <col min="5631" max="5872" width="8.85546875" style="28"/>
    <col min="5873" max="5873" width="7.7109375" style="28" bestFit="1" customWidth="1"/>
    <col min="5874" max="5874" width="88.28515625" style="28" customWidth="1"/>
    <col min="5875" max="5875" width="13" style="28" customWidth="1"/>
    <col min="5876" max="5876" width="18" style="28" customWidth="1"/>
    <col min="5877" max="5877" width="17" style="28" customWidth="1"/>
    <col min="5878" max="5878" width="17.85546875" style="28" customWidth="1"/>
    <col min="5879" max="5879" width="20.42578125" style="28" customWidth="1"/>
    <col min="5880" max="5880" width="14.85546875" style="28" customWidth="1"/>
    <col min="5881" max="5883" width="18.140625" style="28" customWidth="1"/>
    <col min="5884" max="5884" width="20.42578125" style="28" customWidth="1"/>
    <col min="5885" max="5885" width="14.140625" style="28" bestFit="1" customWidth="1"/>
    <col min="5886" max="5886" width="10" style="28" bestFit="1" customWidth="1"/>
    <col min="5887" max="6128" width="8.85546875" style="28"/>
    <col min="6129" max="6129" width="7.7109375" style="28" bestFit="1" customWidth="1"/>
    <col min="6130" max="6130" width="88.28515625" style="28" customWidth="1"/>
    <col min="6131" max="6131" width="13" style="28" customWidth="1"/>
    <col min="6132" max="6132" width="18" style="28" customWidth="1"/>
    <col min="6133" max="6133" width="17" style="28" customWidth="1"/>
    <col min="6134" max="6134" width="17.85546875" style="28" customWidth="1"/>
    <col min="6135" max="6135" width="20.42578125" style="28" customWidth="1"/>
    <col min="6136" max="6136" width="14.85546875" style="28" customWidth="1"/>
    <col min="6137" max="6139" width="18.140625" style="28" customWidth="1"/>
    <col min="6140" max="6140" width="20.42578125" style="28" customWidth="1"/>
    <col min="6141" max="6141" width="14.140625" style="28" bestFit="1" customWidth="1"/>
    <col min="6142" max="6142" width="10" style="28" bestFit="1" customWidth="1"/>
    <col min="6143" max="6384" width="8.85546875" style="28"/>
    <col min="6385" max="6385" width="7.7109375" style="28" bestFit="1" customWidth="1"/>
    <col min="6386" max="6386" width="88.28515625" style="28" customWidth="1"/>
    <col min="6387" max="6387" width="13" style="28" customWidth="1"/>
    <col min="6388" max="6388" width="18" style="28" customWidth="1"/>
    <col min="6389" max="6389" width="17" style="28" customWidth="1"/>
    <col min="6390" max="6390" width="17.85546875" style="28" customWidth="1"/>
    <col min="6391" max="6391" width="20.42578125" style="28" customWidth="1"/>
    <col min="6392" max="6392" width="14.85546875" style="28" customWidth="1"/>
    <col min="6393" max="6395" width="18.140625" style="28" customWidth="1"/>
    <col min="6396" max="6396" width="20.42578125" style="28" customWidth="1"/>
    <col min="6397" max="6397" width="14.140625" style="28" bestFit="1" customWidth="1"/>
    <col min="6398" max="6398" width="10" style="28" bestFit="1" customWidth="1"/>
    <col min="6399" max="6640" width="8.85546875" style="28"/>
    <col min="6641" max="6641" width="7.7109375" style="28" bestFit="1" customWidth="1"/>
    <col min="6642" max="6642" width="88.28515625" style="28" customWidth="1"/>
    <col min="6643" max="6643" width="13" style="28" customWidth="1"/>
    <col min="6644" max="6644" width="18" style="28" customWidth="1"/>
    <col min="6645" max="6645" width="17" style="28" customWidth="1"/>
    <col min="6646" max="6646" width="17.85546875" style="28" customWidth="1"/>
    <col min="6647" max="6647" width="20.42578125" style="28" customWidth="1"/>
    <col min="6648" max="6648" width="14.85546875" style="28" customWidth="1"/>
    <col min="6649" max="6651" width="18.140625" style="28" customWidth="1"/>
    <col min="6652" max="6652" width="20.42578125" style="28" customWidth="1"/>
    <col min="6653" max="6653" width="14.140625" style="28" bestFit="1" customWidth="1"/>
    <col min="6654" max="6654" width="10" style="28" bestFit="1" customWidth="1"/>
    <col min="6655" max="6896" width="8.85546875" style="28"/>
    <col min="6897" max="6897" width="7.7109375" style="28" bestFit="1" customWidth="1"/>
    <col min="6898" max="6898" width="88.28515625" style="28" customWidth="1"/>
    <col min="6899" max="6899" width="13" style="28" customWidth="1"/>
    <col min="6900" max="6900" width="18" style="28" customWidth="1"/>
    <col min="6901" max="6901" width="17" style="28" customWidth="1"/>
    <col min="6902" max="6902" width="17.85546875" style="28" customWidth="1"/>
    <col min="6903" max="6903" width="20.42578125" style="28" customWidth="1"/>
    <col min="6904" max="6904" width="14.85546875" style="28" customWidth="1"/>
    <col min="6905" max="6907" width="18.140625" style="28" customWidth="1"/>
    <col min="6908" max="6908" width="20.42578125" style="28" customWidth="1"/>
    <col min="6909" max="6909" width="14.140625" style="28" bestFit="1" customWidth="1"/>
    <col min="6910" max="6910" width="10" style="28" bestFit="1" customWidth="1"/>
    <col min="6911" max="7152" width="8.85546875" style="28"/>
    <col min="7153" max="7153" width="7.7109375" style="28" bestFit="1" customWidth="1"/>
    <col min="7154" max="7154" width="88.28515625" style="28" customWidth="1"/>
    <col min="7155" max="7155" width="13" style="28" customWidth="1"/>
    <col min="7156" max="7156" width="18" style="28" customWidth="1"/>
    <col min="7157" max="7157" width="17" style="28" customWidth="1"/>
    <col min="7158" max="7158" width="17.85546875" style="28" customWidth="1"/>
    <col min="7159" max="7159" width="20.42578125" style="28" customWidth="1"/>
    <col min="7160" max="7160" width="14.85546875" style="28" customWidth="1"/>
    <col min="7161" max="7163" width="18.140625" style="28" customWidth="1"/>
    <col min="7164" max="7164" width="20.42578125" style="28" customWidth="1"/>
    <col min="7165" max="7165" width="14.140625" style="28" bestFit="1" customWidth="1"/>
    <col min="7166" max="7166" width="10" style="28" bestFit="1" customWidth="1"/>
    <col min="7167" max="7408" width="8.85546875" style="28"/>
    <col min="7409" max="7409" width="7.7109375" style="28" bestFit="1" customWidth="1"/>
    <col min="7410" max="7410" width="88.28515625" style="28" customWidth="1"/>
    <col min="7411" max="7411" width="13" style="28" customWidth="1"/>
    <col min="7412" max="7412" width="18" style="28" customWidth="1"/>
    <col min="7413" max="7413" width="17" style="28" customWidth="1"/>
    <col min="7414" max="7414" width="17.85546875" style="28" customWidth="1"/>
    <col min="7415" max="7415" width="20.42578125" style="28" customWidth="1"/>
    <col min="7416" max="7416" width="14.85546875" style="28" customWidth="1"/>
    <col min="7417" max="7419" width="18.140625" style="28" customWidth="1"/>
    <col min="7420" max="7420" width="20.42578125" style="28" customWidth="1"/>
    <col min="7421" max="7421" width="14.140625" style="28" bestFit="1" customWidth="1"/>
    <col min="7422" max="7422" width="10" style="28" bestFit="1" customWidth="1"/>
    <col min="7423" max="7664" width="8.85546875" style="28"/>
    <col min="7665" max="7665" width="7.7109375" style="28" bestFit="1" customWidth="1"/>
    <col min="7666" max="7666" width="88.28515625" style="28" customWidth="1"/>
    <col min="7667" max="7667" width="13" style="28" customWidth="1"/>
    <col min="7668" max="7668" width="18" style="28" customWidth="1"/>
    <col min="7669" max="7669" width="17" style="28" customWidth="1"/>
    <col min="7670" max="7670" width="17.85546875" style="28" customWidth="1"/>
    <col min="7671" max="7671" width="20.42578125" style="28" customWidth="1"/>
    <col min="7672" max="7672" width="14.85546875" style="28" customWidth="1"/>
    <col min="7673" max="7675" width="18.140625" style="28" customWidth="1"/>
    <col min="7676" max="7676" width="20.42578125" style="28" customWidth="1"/>
    <col min="7677" max="7677" width="14.140625" style="28" bestFit="1" customWidth="1"/>
    <col min="7678" max="7678" width="10" style="28" bestFit="1" customWidth="1"/>
    <col min="7679" max="7920" width="8.85546875" style="28"/>
    <col min="7921" max="7921" width="7.7109375" style="28" bestFit="1" customWidth="1"/>
    <col min="7922" max="7922" width="88.28515625" style="28" customWidth="1"/>
    <col min="7923" max="7923" width="13" style="28" customWidth="1"/>
    <col min="7924" max="7924" width="18" style="28" customWidth="1"/>
    <col min="7925" max="7925" width="17" style="28" customWidth="1"/>
    <col min="7926" max="7926" width="17.85546875" style="28" customWidth="1"/>
    <col min="7927" max="7927" width="20.42578125" style="28" customWidth="1"/>
    <col min="7928" max="7928" width="14.85546875" style="28" customWidth="1"/>
    <col min="7929" max="7931" width="18.140625" style="28" customWidth="1"/>
    <col min="7932" max="7932" width="20.42578125" style="28" customWidth="1"/>
    <col min="7933" max="7933" width="14.140625" style="28" bestFit="1" customWidth="1"/>
    <col min="7934" max="7934" width="10" style="28" bestFit="1" customWidth="1"/>
    <col min="7935" max="8176" width="8.85546875" style="28"/>
    <col min="8177" max="8177" width="7.7109375" style="28" bestFit="1" customWidth="1"/>
    <col min="8178" max="8178" width="88.28515625" style="28" customWidth="1"/>
    <col min="8179" max="8179" width="13" style="28" customWidth="1"/>
    <col min="8180" max="8180" width="18" style="28" customWidth="1"/>
    <col min="8181" max="8181" width="17" style="28" customWidth="1"/>
    <col min="8182" max="8182" width="17.85546875" style="28" customWidth="1"/>
    <col min="8183" max="8183" width="20.42578125" style="28" customWidth="1"/>
    <col min="8184" max="8184" width="14.85546875" style="28" customWidth="1"/>
    <col min="8185" max="8187" width="18.140625" style="28" customWidth="1"/>
    <col min="8188" max="8188" width="20.42578125" style="28" customWidth="1"/>
    <col min="8189" max="8189" width="14.140625" style="28" bestFit="1" customWidth="1"/>
    <col min="8190" max="8190" width="10" style="28" bestFit="1" customWidth="1"/>
    <col min="8191" max="8432" width="8.85546875" style="28"/>
    <col min="8433" max="8433" width="7.7109375" style="28" bestFit="1" customWidth="1"/>
    <col min="8434" max="8434" width="88.28515625" style="28" customWidth="1"/>
    <col min="8435" max="8435" width="13" style="28" customWidth="1"/>
    <col min="8436" max="8436" width="18" style="28" customWidth="1"/>
    <col min="8437" max="8437" width="17" style="28" customWidth="1"/>
    <col min="8438" max="8438" width="17.85546875" style="28" customWidth="1"/>
    <col min="8439" max="8439" width="20.42578125" style="28" customWidth="1"/>
    <col min="8440" max="8440" width="14.85546875" style="28" customWidth="1"/>
    <col min="8441" max="8443" width="18.140625" style="28" customWidth="1"/>
    <col min="8444" max="8444" width="20.42578125" style="28" customWidth="1"/>
    <col min="8445" max="8445" width="14.140625" style="28" bestFit="1" customWidth="1"/>
    <col min="8446" max="8446" width="10" style="28" bestFit="1" customWidth="1"/>
    <col min="8447" max="8688" width="8.85546875" style="28"/>
    <col min="8689" max="8689" width="7.7109375" style="28" bestFit="1" customWidth="1"/>
    <col min="8690" max="8690" width="88.28515625" style="28" customWidth="1"/>
    <col min="8691" max="8691" width="13" style="28" customWidth="1"/>
    <col min="8692" max="8692" width="18" style="28" customWidth="1"/>
    <col min="8693" max="8693" width="17" style="28" customWidth="1"/>
    <col min="8694" max="8694" width="17.85546875" style="28" customWidth="1"/>
    <col min="8695" max="8695" width="20.42578125" style="28" customWidth="1"/>
    <col min="8696" max="8696" width="14.85546875" style="28" customWidth="1"/>
    <col min="8697" max="8699" width="18.140625" style="28" customWidth="1"/>
    <col min="8700" max="8700" width="20.42578125" style="28" customWidth="1"/>
    <col min="8701" max="8701" width="14.140625" style="28" bestFit="1" customWidth="1"/>
    <col min="8702" max="8702" width="10" style="28" bestFit="1" customWidth="1"/>
    <col min="8703" max="8944" width="8.85546875" style="28"/>
    <col min="8945" max="8945" width="7.7109375" style="28" bestFit="1" customWidth="1"/>
    <col min="8946" max="8946" width="88.28515625" style="28" customWidth="1"/>
    <col min="8947" max="8947" width="13" style="28" customWidth="1"/>
    <col min="8948" max="8948" width="18" style="28" customWidth="1"/>
    <col min="8949" max="8949" width="17" style="28" customWidth="1"/>
    <col min="8950" max="8950" width="17.85546875" style="28" customWidth="1"/>
    <col min="8951" max="8951" width="20.42578125" style="28" customWidth="1"/>
    <col min="8952" max="8952" width="14.85546875" style="28" customWidth="1"/>
    <col min="8953" max="8955" width="18.140625" style="28" customWidth="1"/>
    <col min="8956" max="8956" width="20.42578125" style="28" customWidth="1"/>
    <col min="8957" max="8957" width="14.140625" style="28" bestFit="1" customWidth="1"/>
    <col min="8958" max="8958" width="10" style="28" bestFit="1" customWidth="1"/>
    <col min="8959" max="9200" width="8.85546875" style="28"/>
    <col min="9201" max="9201" width="7.7109375" style="28" bestFit="1" customWidth="1"/>
    <col min="9202" max="9202" width="88.28515625" style="28" customWidth="1"/>
    <col min="9203" max="9203" width="13" style="28" customWidth="1"/>
    <col min="9204" max="9204" width="18" style="28" customWidth="1"/>
    <col min="9205" max="9205" width="17" style="28" customWidth="1"/>
    <col min="9206" max="9206" width="17.85546875" style="28" customWidth="1"/>
    <col min="9207" max="9207" width="20.42578125" style="28" customWidth="1"/>
    <col min="9208" max="9208" width="14.85546875" style="28" customWidth="1"/>
    <col min="9209" max="9211" width="18.140625" style="28" customWidth="1"/>
    <col min="9212" max="9212" width="20.42578125" style="28" customWidth="1"/>
    <col min="9213" max="9213" width="14.140625" style="28" bestFit="1" customWidth="1"/>
    <col min="9214" max="9214" width="10" style="28" bestFit="1" customWidth="1"/>
    <col min="9215" max="9456" width="8.85546875" style="28"/>
    <col min="9457" max="9457" width="7.7109375" style="28" bestFit="1" customWidth="1"/>
    <col min="9458" max="9458" width="88.28515625" style="28" customWidth="1"/>
    <col min="9459" max="9459" width="13" style="28" customWidth="1"/>
    <col min="9460" max="9460" width="18" style="28" customWidth="1"/>
    <col min="9461" max="9461" width="17" style="28" customWidth="1"/>
    <col min="9462" max="9462" width="17.85546875" style="28" customWidth="1"/>
    <col min="9463" max="9463" width="20.42578125" style="28" customWidth="1"/>
    <col min="9464" max="9464" width="14.85546875" style="28" customWidth="1"/>
    <col min="9465" max="9467" width="18.140625" style="28" customWidth="1"/>
    <col min="9468" max="9468" width="20.42578125" style="28" customWidth="1"/>
    <col min="9469" max="9469" width="14.140625" style="28" bestFit="1" customWidth="1"/>
    <col min="9470" max="9470" width="10" style="28" bestFit="1" customWidth="1"/>
    <col min="9471" max="9712" width="8.85546875" style="28"/>
    <col min="9713" max="9713" width="7.7109375" style="28" bestFit="1" customWidth="1"/>
    <col min="9714" max="9714" width="88.28515625" style="28" customWidth="1"/>
    <col min="9715" max="9715" width="13" style="28" customWidth="1"/>
    <col min="9716" max="9716" width="18" style="28" customWidth="1"/>
    <col min="9717" max="9717" width="17" style="28" customWidth="1"/>
    <col min="9718" max="9718" width="17.85546875" style="28" customWidth="1"/>
    <col min="9719" max="9719" width="20.42578125" style="28" customWidth="1"/>
    <col min="9720" max="9720" width="14.85546875" style="28" customWidth="1"/>
    <col min="9721" max="9723" width="18.140625" style="28" customWidth="1"/>
    <col min="9724" max="9724" width="20.42578125" style="28" customWidth="1"/>
    <col min="9725" max="9725" width="14.140625" style="28" bestFit="1" customWidth="1"/>
    <col min="9726" max="9726" width="10" style="28" bestFit="1" customWidth="1"/>
    <col min="9727" max="9968" width="8.85546875" style="28"/>
    <col min="9969" max="9969" width="7.7109375" style="28" bestFit="1" customWidth="1"/>
    <col min="9970" max="9970" width="88.28515625" style="28" customWidth="1"/>
    <col min="9971" max="9971" width="13" style="28" customWidth="1"/>
    <col min="9972" max="9972" width="18" style="28" customWidth="1"/>
    <col min="9973" max="9973" width="17" style="28" customWidth="1"/>
    <col min="9974" max="9974" width="17.85546875" style="28" customWidth="1"/>
    <col min="9975" max="9975" width="20.42578125" style="28" customWidth="1"/>
    <col min="9976" max="9976" width="14.85546875" style="28" customWidth="1"/>
    <col min="9977" max="9979" width="18.140625" style="28" customWidth="1"/>
    <col min="9980" max="9980" width="20.42578125" style="28" customWidth="1"/>
    <col min="9981" max="9981" width="14.140625" style="28" bestFit="1" customWidth="1"/>
    <col min="9982" max="9982" width="10" style="28" bestFit="1" customWidth="1"/>
    <col min="9983" max="10224" width="8.85546875" style="28"/>
    <col min="10225" max="10225" width="7.7109375" style="28" bestFit="1" customWidth="1"/>
    <col min="10226" max="10226" width="88.28515625" style="28" customWidth="1"/>
    <col min="10227" max="10227" width="13" style="28" customWidth="1"/>
    <col min="10228" max="10228" width="18" style="28" customWidth="1"/>
    <col min="10229" max="10229" width="17" style="28" customWidth="1"/>
    <col min="10230" max="10230" width="17.85546875" style="28" customWidth="1"/>
    <col min="10231" max="10231" width="20.42578125" style="28" customWidth="1"/>
    <col min="10232" max="10232" width="14.85546875" style="28" customWidth="1"/>
    <col min="10233" max="10235" width="18.140625" style="28" customWidth="1"/>
    <col min="10236" max="10236" width="20.42578125" style="28" customWidth="1"/>
    <col min="10237" max="10237" width="14.140625" style="28" bestFit="1" customWidth="1"/>
    <col min="10238" max="10238" width="10" style="28" bestFit="1" customWidth="1"/>
    <col min="10239" max="10480" width="8.85546875" style="28"/>
    <col min="10481" max="10481" width="7.7109375" style="28" bestFit="1" customWidth="1"/>
    <col min="10482" max="10482" width="88.28515625" style="28" customWidth="1"/>
    <col min="10483" max="10483" width="13" style="28" customWidth="1"/>
    <col min="10484" max="10484" width="18" style="28" customWidth="1"/>
    <col min="10485" max="10485" width="17" style="28" customWidth="1"/>
    <col min="10486" max="10486" width="17.85546875" style="28" customWidth="1"/>
    <col min="10487" max="10487" width="20.42578125" style="28" customWidth="1"/>
    <col min="10488" max="10488" width="14.85546875" style="28" customWidth="1"/>
    <col min="10489" max="10491" width="18.140625" style="28" customWidth="1"/>
    <col min="10492" max="10492" width="20.42578125" style="28" customWidth="1"/>
    <col min="10493" max="10493" width="14.140625" style="28" bestFit="1" customWidth="1"/>
    <col min="10494" max="10494" width="10" style="28" bestFit="1" customWidth="1"/>
    <col min="10495" max="10736" width="8.85546875" style="28"/>
    <col min="10737" max="10737" width="7.7109375" style="28" bestFit="1" customWidth="1"/>
    <col min="10738" max="10738" width="88.28515625" style="28" customWidth="1"/>
    <col min="10739" max="10739" width="13" style="28" customWidth="1"/>
    <col min="10740" max="10740" width="18" style="28" customWidth="1"/>
    <col min="10741" max="10741" width="17" style="28" customWidth="1"/>
    <col min="10742" max="10742" width="17.85546875" style="28" customWidth="1"/>
    <col min="10743" max="10743" width="20.42578125" style="28" customWidth="1"/>
    <col min="10744" max="10744" width="14.85546875" style="28" customWidth="1"/>
    <col min="10745" max="10747" width="18.140625" style="28" customWidth="1"/>
    <col min="10748" max="10748" width="20.42578125" style="28" customWidth="1"/>
    <col min="10749" max="10749" width="14.140625" style="28" bestFit="1" customWidth="1"/>
    <col min="10750" max="10750" width="10" style="28" bestFit="1" customWidth="1"/>
    <col min="10751" max="10992" width="8.85546875" style="28"/>
    <col min="10993" max="10993" width="7.7109375" style="28" bestFit="1" customWidth="1"/>
    <col min="10994" max="10994" width="88.28515625" style="28" customWidth="1"/>
    <col min="10995" max="10995" width="13" style="28" customWidth="1"/>
    <col min="10996" max="10996" width="18" style="28" customWidth="1"/>
    <col min="10997" max="10997" width="17" style="28" customWidth="1"/>
    <col min="10998" max="10998" width="17.85546875" style="28" customWidth="1"/>
    <col min="10999" max="10999" width="20.42578125" style="28" customWidth="1"/>
    <col min="11000" max="11000" width="14.85546875" style="28" customWidth="1"/>
    <col min="11001" max="11003" width="18.140625" style="28" customWidth="1"/>
    <col min="11004" max="11004" width="20.42578125" style="28" customWidth="1"/>
    <col min="11005" max="11005" width="14.140625" style="28" bestFit="1" customWidth="1"/>
    <col min="11006" max="11006" width="10" style="28" bestFit="1" customWidth="1"/>
    <col min="11007" max="11248" width="8.85546875" style="28"/>
    <col min="11249" max="11249" width="7.7109375" style="28" bestFit="1" customWidth="1"/>
    <col min="11250" max="11250" width="88.28515625" style="28" customWidth="1"/>
    <col min="11251" max="11251" width="13" style="28" customWidth="1"/>
    <col min="11252" max="11252" width="18" style="28" customWidth="1"/>
    <col min="11253" max="11253" width="17" style="28" customWidth="1"/>
    <col min="11254" max="11254" width="17.85546875" style="28" customWidth="1"/>
    <col min="11255" max="11255" width="20.42578125" style="28" customWidth="1"/>
    <col min="11256" max="11256" width="14.85546875" style="28" customWidth="1"/>
    <col min="11257" max="11259" width="18.140625" style="28" customWidth="1"/>
    <col min="11260" max="11260" width="20.42578125" style="28" customWidth="1"/>
    <col min="11261" max="11261" width="14.140625" style="28" bestFit="1" customWidth="1"/>
    <col min="11262" max="11262" width="10" style="28" bestFit="1" customWidth="1"/>
    <col min="11263" max="11504" width="8.85546875" style="28"/>
    <col min="11505" max="11505" width="7.7109375" style="28" bestFit="1" customWidth="1"/>
    <col min="11506" max="11506" width="88.28515625" style="28" customWidth="1"/>
    <col min="11507" max="11507" width="13" style="28" customWidth="1"/>
    <col min="11508" max="11508" width="18" style="28" customWidth="1"/>
    <col min="11509" max="11509" width="17" style="28" customWidth="1"/>
    <col min="11510" max="11510" width="17.85546875" style="28" customWidth="1"/>
    <col min="11511" max="11511" width="20.42578125" style="28" customWidth="1"/>
    <col min="11512" max="11512" width="14.85546875" style="28" customWidth="1"/>
    <col min="11513" max="11515" width="18.140625" style="28" customWidth="1"/>
    <col min="11516" max="11516" width="20.42578125" style="28" customWidth="1"/>
    <col min="11517" max="11517" width="14.140625" style="28" bestFit="1" customWidth="1"/>
    <col min="11518" max="11518" width="10" style="28" bestFit="1" customWidth="1"/>
    <col min="11519" max="11760" width="8.85546875" style="28"/>
    <col min="11761" max="11761" width="7.7109375" style="28" bestFit="1" customWidth="1"/>
    <col min="11762" max="11762" width="88.28515625" style="28" customWidth="1"/>
    <col min="11763" max="11763" width="13" style="28" customWidth="1"/>
    <col min="11764" max="11764" width="18" style="28" customWidth="1"/>
    <col min="11765" max="11765" width="17" style="28" customWidth="1"/>
    <col min="11766" max="11766" width="17.85546875" style="28" customWidth="1"/>
    <col min="11767" max="11767" width="20.42578125" style="28" customWidth="1"/>
    <col min="11768" max="11768" width="14.85546875" style="28" customWidth="1"/>
    <col min="11769" max="11771" width="18.140625" style="28" customWidth="1"/>
    <col min="11772" max="11772" width="20.42578125" style="28" customWidth="1"/>
    <col min="11773" max="11773" width="14.140625" style="28" bestFit="1" customWidth="1"/>
    <col min="11774" max="11774" width="10" style="28" bestFit="1" customWidth="1"/>
    <col min="11775" max="12016" width="8.85546875" style="28"/>
    <col min="12017" max="12017" width="7.7109375" style="28" bestFit="1" customWidth="1"/>
    <col min="12018" max="12018" width="88.28515625" style="28" customWidth="1"/>
    <col min="12019" max="12019" width="13" style="28" customWidth="1"/>
    <col min="12020" max="12020" width="18" style="28" customWidth="1"/>
    <col min="12021" max="12021" width="17" style="28" customWidth="1"/>
    <col min="12022" max="12022" width="17.85546875" style="28" customWidth="1"/>
    <col min="12023" max="12023" width="20.42578125" style="28" customWidth="1"/>
    <col min="12024" max="12024" width="14.85546875" style="28" customWidth="1"/>
    <col min="12025" max="12027" width="18.140625" style="28" customWidth="1"/>
    <col min="12028" max="12028" width="20.42578125" style="28" customWidth="1"/>
    <col min="12029" max="12029" width="14.140625" style="28" bestFit="1" customWidth="1"/>
    <col min="12030" max="12030" width="10" style="28" bestFit="1" customWidth="1"/>
    <col min="12031" max="12272" width="8.85546875" style="28"/>
    <col min="12273" max="12273" width="7.7109375" style="28" bestFit="1" customWidth="1"/>
    <col min="12274" max="12274" width="88.28515625" style="28" customWidth="1"/>
    <col min="12275" max="12275" width="13" style="28" customWidth="1"/>
    <col min="12276" max="12276" width="18" style="28" customWidth="1"/>
    <col min="12277" max="12277" width="17" style="28" customWidth="1"/>
    <col min="12278" max="12278" width="17.85546875" style="28" customWidth="1"/>
    <col min="12279" max="12279" width="20.42578125" style="28" customWidth="1"/>
    <col min="12280" max="12280" width="14.85546875" style="28" customWidth="1"/>
    <col min="12281" max="12283" width="18.140625" style="28" customWidth="1"/>
    <col min="12284" max="12284" width="20.42578125" style="28" customWidth="1"/>
    <col min="12285" max="12285" width="14.140625" style="28" bestFit="1" customWidth="1"/>
    <col min="12286" max="12286" width="10" style="28" bestFit="1" customWidth="1"/>
    <col min="12287" max="12528" width="8.85546875" style="28"/>
    <col min="12529" max="12529" width="7.7109375" style="28" bestFit="1" customWidth="1"/>
    <col min="12530" max="12530" width="88.28515625" style="28" customWidth="1"/>
    <col min="12531" max="12531" width="13" style="28" customWidth="1"/>
    <col min="12532" max="12532" width="18" style="28" customWidth="1"/>
    <col min="12533" max="12533" width="17" style="28" customWidth="1"/>
    <col min="12534" max="12534" width="17.85546875" style="28" customWidth="1"/>
    <col min="12535" max="12535" width="20.42578125" style="28" customWidth="1"/>
    <col min="12536" max="12536" width="14.85546875" style="28" customWidth="1"/>
    <col min="12537" max="12539" width="18.140625" style="28" customWidth="1"/>
    <col min="12540" max="12540" width="20.42578125" style="28" customWidth="1"/>
    <col min="12541" max="12541" width="14.140625" style="28" bestFit="1" customWidth="1"/>
    <col min="12542" max="12542" width="10" style="28" bestFit="1" customWidth="1"/>
    <col min="12543" max="12784" width="8.85546875" style="28"/>
    <col min="12785" max="12785" width="7.7109375" style="28" bestFit="1" customWidth="1"/>
    <col min="12786" max="12786" width="88.28515625" style="28" customWidth="1"/>
    <col min="12787" max="12787" width="13" style="28" customWidth="1"/>
    <col min="12788" max="12788" width="18" style="28" customWidth="1"/>
    <col min="12789" max="12789" width="17" style="28" customWidth="1"/>
    <col min="12790" max="12790" width="17.85546875" style="28" customWidth="1"/>
    <col min="12791" max="12791" width="20.42578125" style="28" customWidth="1"/>
    <col min="12792" max="12792" width="14.85546875" style="28" customWidth="1"/>
    <col min="12793" max="12795" width="18.140625" style="28" customWidth="1"/>
    <col min="12796" max="12796" width="20.42578125" style="28" customWidth="1"/>
    <col min="12797" max="12797" width="14.140625" style="28" bestFit="1" customWidth="1"/>
    <col min="12798" max="12798" width="10" style="28" bestFit="1" customWidth="1"/>
    <col min="12799" max="13040" width="8.85546875" style="28"/>
    <col min="13041" max="13041" width="7.7109375" style="28" bestFit="1" customWidth="1"/>
    <col min="13042" max="13042" width="88.28515625" style="28" customWidth="1"/>
    <col min="13043" max="13043" width="13" style="28" customWidth="1"/>
    <col min="13044" max="13044" width="18" style="28" customWidth="1"/>
    <col min="13045" max="13045" width="17" style="28" customWidth="1"/>
    <col min="13046" max="13046" width="17.85546875" style="28" customWidth="1"/>
    <col min="13047" max="13047" width="20.42578125" style="28" customWidth="1"/>
    <col min="13048" max="13048" width="14.85546875" style="28" customWidth="1"/>
    <col min="13049" max="13051" width="18.140625" style="28" customWidth="1"/>
    <col min="13052" max="13052" width="20.42578125" style="28" customWidth="1"/>
    <col min="13053" max="13053" width="14.140625" style="28" bestFit="1" customWidth="1"/>
    <col min="13054" max="13054" width="10" style="28" bestFit="1" customWidth="1"/>
    <col min="13055" max="13296" width="8.85546875" style="28"/>
    <col min="13297" max="13297" width="7.7109375" style="28" bestFit="1" customWidth="1"/>
    <col min="13298" max="13298" width="88.28515625" style="28" customWidth="1"/>
    <col min="13299" max="13299" width="13" style="28" customWidth="1"/>
    <col min="13300" max="13300" width="18" style="28" customWidth="1"/>
    <col min="13301" max="13301" width="17" style="28" customWidth="1"/>
    <col min="13302" max="13302" width="17.85546875" style="28" customWidth="1"/>
    <col min="13303" max="13303" width="20.42578125" style="28" customWidth="1"/>
    <col min="13304" max="13304" width="14.85546875" style="28" customWidth="1"/>
    <col min="13305" max="13307" width="18.140625" style="28" customWidth="1"/>
    <col min="13308" max="13308" width="20.42578125" style="28" customWidth="1"/>
    <col min="13309" max="13309" width="14.140625" style="28" bestFit="1" customWidth="1"/>
    <col min="13310" max="13310" width="10" style="28" bestFit="1" customWidth="1"/>
    <col min="13311" max="13552" width="8.85546875" style="28"/>
    <col min="13553" max="13553" width="7.7109375" style="28" bestFit="1" customWidth="1"/>
    <col min="13554" max="13554" width="88.28515625" style="28" customWidth="1"/>
    <col min="13555" max="13555" width="13" style="28" customWidth="1"/>
    <col min="13556" max="13556" width="18" style="28" customWidth="1"/>
    <col min="13557" max="13557" width="17" style="28" customWidth="1"/>
    <col min="13558" max="13558" width="17.85546875" style="28" customWidth="1"/>
    <col min="13559" max="13559" width="20.42578125" style="28" customWidth="1"/>
    <col min="13560" max="13560" width="14.85546875" style="28" customWidth="1"/>
    <col min="13561" max="13563" width="18.140625" style="28" customWidth="1"/>
    <col min="13564" max="13564" width="20.42578125" style="28" customWidth="1"/>
    <col min="13565" max="13565" width="14.140625" style="28" bestFit="1" customWidth="1"/>
    <col min="13566" max="13566" width="10" style="28" bestFit="1" customWidth="1"/>
    <col min="13567" max="13808" width="8.85546875" style="28"/>
    <col min="13809" max="13809" width="7.7109375" style="28" bestFit="1" customWidth="1"/>
    <col min="13810" max="13810" width="88.28515625" style="28" customWidth="1"/>
    <col min="13811" max="13811" width="13" style="28" customWidth="1"/>
    <col min="13812" max="13812" width="18" style="28" customWidth="1"/>
    <col min="13813" max="13813" width="17" style="28" customWidth="1"/>
    <col min="13814" max="13814" width="17.85546875" style="28" customWidth="1"/>
    <col min="13815" max="13815" width="20.42578125" style="28" customWidth="1"/>
    <col min="13816" max="13816" width="14.85546875" style="28" customWidth="1"/>
    <col min="13817" max="13819" width="18.140625" style="28" customWidth="1"/>
    <col min="13820" max="13820" width="20.42578125" style="28" customWidth="1"/>
    <col min="13821" max="13821" width="14.140625" style="28" bestFit="1" customWidth="1"/>
    <col min="13822" max="13822" width="10" style="28" bestFit="1" customWidth="1"/>
    <col min="13823" max="14064" width="8.85546875" style="28"/>
    <col min="14065" max="14065" width="7.7109375" style="28" bestFit="1" customWidth="1"/>
    <col min="14066" max="14066" width="88.28515625" style="28" customWidth="1"/>
    <col min="14067" max="14067" width="13" style="28" customWidth="1"/>
    <col min="14068" max="14068" width="18" style="28" customWidth="1"/>
    <col min="14069" max="14069" width="17" style="28" customWidth="1"/>
    <col min="14070" max="14070" width="17.85546875" style="28" customWidth="1"/>
    <col min="14071" max="14071" width="20.42578125" style="28" customWidth="1"/>
    <col min="14072" max="14072" width="14.85546875" style="28" customWidth="1"/>
    <col min="14073" max="14075" width="18.140625" style="28" customWidth="1"/>
    <col min="14076" max="14076" width="20.42578125" style="28" customWidth="1"/>
    <col min="14077" max="14077" width="14.140625" style="28" bestFit="1" customWidth="1"/>
    <col min="14078" max="14078" width="10" style="28" bestFit="1" customWidth="1"/>
    <col min="14079" max="14320" width="8.85546875" style="28"/>
    <col min="14321" max="14321" width="7.7109375" style="28" bestFit="1" customWidth="1"/>
    <col min="14322" max="14322" width="88.28515625" style="28" customWidth="1"/>
    <col min="14323" max="14323" width="13" style="28" customWidth="1"/>
    <col min="14324" max="14324" width="18" style="28" customWidth="1"/>
    <col min="14325" max="14325" width="17" style="28" customWidth="1"/>
    <col min="14326" max="14326" width="17.85546875" style="28" customWidth="1"/>
    <col min="14327" max="14327" width="20.42578125" style="28" customWidth="1"/>
    <col min="14328" max="14328" width="14.85546875" style="28" customWidth="1"/>
    <col min="14329" max="14331" width="18.140625" style="28" customWidth="1"/>
    <col min="14332" max="14332" width="20.42578125" style="28" customWidth="1"/>
    <col min="14333" max="14333" width="14.140625" style="28" bestFit="1" customWidth="1"/>
    <col min="14334" max="14334" width="10" style="28" bestFit="1" customWidth="1"/>
    <col min="14335" max="14576" width="8.85546875" style="28"/>
    <col min="14577" max="14577" width="7.7109375" style="28" bestFit="1" customWidth="1"/>
    <col min="14578" max="14578" width="88.28515625" style="28" customWidth="1"/>
    <col min="14579" max="14579" width="13" style="28" customWidth="1"/>
    <col min="14580" max="14580" width="18" style="28" customWidth="1"/>
    <col min="14581" max="14581" width="17" style="28" customWidth="1"/>
    <col min="14582" max="14582" width="17.85546875" style="28" customWidth="1"/>
    <col min="14583" max="14583" width="20.42578125" style="28" customWidth="1"/>
    <col min="14584" max="14584" width="14.85546875" style="28" customWidth="1"/>
    <col min="14585" max="14587" width="18.140625" style="28" customWidth="1"/>
    <col min="14588" max="14588" width="20.42578125" style="28" customWidth="1"/>
    <col min="14589" max="14589" width="14.140625" style="28" bestFit="1" customWidth="1"/>
    <col min="14590" max="14590" width="10" style="28" bestFit="1" customWidth="1"/>
    <col min="14591" max="14832" width="8.85546875" style="28"/>
    <col min="14833" max="14833" width="7.7109375" style="28" bestFit="1" customWidth="1"/>
    <col min="14834" max="14834" width="88.28515625" style="28" customWidth="1"/>
    <col min="14835" max="14835" width="13" style="28" customWidth="1"/>
    <col min="14836" max="14836" width="18" style="28" customWidth="1"/>
    <col min="14837" max="14837" width="17" style="28" customWidth="1"/>
    <col min="14838" max="14838" width="17.85546875" style="28" customWidth="1"/>
    <col min="14839" max="14839" width="20.42578125" style="28" customWidth="1"/>
    <col min="14840" max="14840" width="14.85546875" style="28" customWidth="1"/>
    <col min="14841" max="14843" width="18.140625" style="28" customWidth="1"/>
    <col min="14844" max="14844" width="20.42578125" style="28" customWidth="1"/>
    <col min="14845" max="14845" width="14.140625" style="28" bestFit="1" customWidth="1"/>
    <col min="14846" max="14846" width="10" style="28" bestFit="1" customWidth="1"/>
    <col min="14847" max="15088" width="8.85546875" style="28"/>
    <col min="15089" max="15089" width="7.7109375" style="28" bestFit="1" customWidth="1"/>
    <col min="15090" max="15090" width="88.28515625" style="28" customWidth="1"/>
    <col min="15091" max="15091" width="13" style="28" customWidth="1"/>
    <col min="15092" max="15092" width="18" style="28" customWidth="1"/>
    <col min="15093" max="15093" width="17" style="28" customWidth="1"/>
    <col min="15094" max="15094" width="17.85546875" style="28" customWidth="1"/>
    <col min="15095" max="15095" width="20.42578125" style="28" customWidth="1"/>
    <col min="15096" max="15096" width="14.85546875" style="28" customWidth="1"/>
    <col min="15097" max="15099" width="18.140625" style="28" customWidth="1"/>
    <col min="15100" max="15100" width="20.42578125" style="28" customWidth="1"/>
    <col min="15101" max="15101" width="14.140625" style="28" bestFit="1" customWidth="1"/>
    <col min="15102" max="15102" width="10" style="28" bestFit="1" customWidth="1"/>
    <col min="15103" max="15344" width="8.85546875" style="28"/>
    <col min="15345" max="15345" width="7.7109375" style="28" bestFit="1" customWidth="1"/>
    <col min="15346" max="15346" width="88.28515625" style="28" customWidth="1"/>
    <col min="15347" max="15347" width="13" style="28" customWidth="1"/>
    <col min="15348" max="15348" width="18" style="28" customWidth="1"/>
    <col min="15349" max="15349" width="17" style="28" customWidth="1"/>
    <col min="15350" max="15350" width="17.85546875" style="28" customWidth="1"/>
    <col min="15351" max="15351" width="20.42578125" style="28" customWidth="1"/>
    <col min="15352" max="15352" width="14.85546875" style="28" customWidth="1"/>
    <col min="15353" max="15355" width="18.140625" style="28" customWidth="1"/>
    <col min="15356" max="15356" width="20.42578125" style="28" customWidth="1"/>
    <col min="15357" max="15357" width="14.140625" style="28" bestFit="1" customWidth="1"/>
    <col min="15358" max="15358" width="10" style="28" bestFit="1" customWidth="1"/>
    <col min="15359" max="15600" width="8.85546875" style="28"/>
    <col min="15601" max="15601" width="7.7109375" style="28" bestFit="1" customWidth="1"/>
    <col min="15602" max="15602" width="88.28515625" style="28" customWidth="1"/>
    <col min="15603" max="15603" width="13" style="28" customWidth="1"/>
    <col min="15604" max="15604" width="18" style="28" customWidth="1"/>
    <col min="15605" max="15605" width="17" style="28" customWidth="1"/>
    <col min="15606" max="15606" width="17.85546875" style="28" customWidth="1"/>
    <col min="15607" max="15607" width="20.42578125" style="28" customWidth="1"/>
    <col min="15608" max="15608" width="14.85546875" style="28" customWidth="1"/>
    <col min="15609" max="15611" width="18.140625" style="28" customWidth="1"/>
    <col min="15612" max="15612" width="20.42578125" style="28" customWidth="1"/>
    <col min="15613" max="15613" width="14.140625" style="28" bestFit="1" customWidth="1"/>
    <col min="15614" max="15614" width="10" style="28" bestFit="1" customWidth="1"/>
    <col min="15615" max="15856" width="8.85546875" style="28"/>
    <col min="15857" max="15857" width="7.7109375" style="28" bestFit="1" customWidth="1"/>
    <col min="15858" max="15858" width="88.28515625" style="28" customWidth="1"/>
    <col min="15859" max="15859" width="13" style="28" customWidth="1"/>
    <col min="15860" max="15860" width="18" style="28" customWidth="1"/>
    <col min="15861" max="15861" width="17" style="28" customWidth="1"/>
    <col min="15862" max="15862" width="17.85546875" style="28" customWidth="1"/>
    <col min="15863" max="15863" width="20.42578125" style="28" customWidth="1"/>
    <col min="15864" max="15864" width="14.85546875" style="28" customWidth="1"/>
    <col min="15865" max="15867" width="18.140625" style="28" customWidth="1"/>
    <col min="15868" max="15868" width="20.42578125" style="28" customWidth="1"/>
    <col min="15869" max="15869" width="14.140625" style="28" bestFit="1" customWidth="1"/>
    <col min="15870" max="15870" width="10" style="28" bestFit="1" customWidth="1"/>
    <col min="15871" max="16112" width="8.85546875" style="28"/>
    <col min="16113" max="16113" width="7.7109375" style="28" bestFit="1" customWidth="1"/>
    <col min="16114" max="16114" width="88.28515625" style="28" customWidth="1"/>
    <col min="16115" max="16115" width="13" style="28" customWidth="1"/>
    <col min="16116" max="16116" width="18" style="28" customWidth="1"/>
    <col min="16117" max="16117" width="17" style="28" customWidth="1"/>
    <col min="16118" max="16118" width="17.85546875" style="28" customWidth="1"/>
    <col min="16119" max="16119" width="20.42578125" style="28" customWidth="1"/>
    <col min="16120" max="16120" width="14.85546875" style="28" customWidth="1"/>
    <col min="16121" max="16123" width="18.140625" style="28" customWidth="1"/>
    <col min="16124" max="16124" width="20.42578125" style="28" customWidth="1"/>
    <col min="16125" max="16125" width="14.140625" style="28" bestFit="1" customWidth="1"/>
    <col min="16126" max="16126" width="10" style="28" bestFit="1" customWidth="1"/>
    <col min="16127" max="16384" width="8.85546875" style="28"/>
  </cols>
  <sheetData>
    <row r="1" spans="1:9" s="21" customFormat="1" x14ac:dyDescent="0.25">
      <c r="A1" s="18" t="s">
        <v>10</v>
      </c>
      <c r="B1" s="19"/>
      <c r="C1" s="19"/>
      <c r="D1" s="19"/>
      <c r="E1" s="19"/>
      <c r="F1" s="19"/>
      <c r="G1" s="19"/>
      <c r="H1" s="19"/>
      <c r="I1" s="20"/>
    </row>
    <row r="2" spans="1:9" s="21" customFormat="1" x14ac:dyDescent="0.25">
      <c r="A2" s="18" t="s">
        <v>11</v>
      </c>
      <c r="B2" s="19"/>
      <c r="C2" s="19"/>
      <c r="D2" s="19"/>
      <c r="E2" s="19"/>
      <c r="F2" s="19"/>
      <c r="G2" s="19"/>
      <c r="H2" s="19"/>
      <c r="I2" s="20"/>
    </row>
    <row r="3" spans="1:9" s="21" customFormat="1" x14ac:dyDescent="0.25">
      <c r="A3" s="18" t="s">
        <v>12</v>
      </c>
      <c r="C3" s="20"/>
      <c r="D3" s="20"/>
      <c r="E3" s="18"/>
      <c r="F3" s="18"/>
      <c r="G3" s="18"/>
      <c r="H3" s="18"/>
      <c r="I3" s="18"/>
    </row>
    <row r="4" spans="1:9" s="21" customFormat="1" ht="24.75" customHeight="1" x14ac:dyDescent="0.25">
      <c r="A4" s="18" t="s">
        <v>13</v>
      </c>
      <c r="C4" s="19"/>
      <c r="D4" s="19"/>
      <c r="E4" s="219"/>
      <c r="F4" s="219"/>
      <c r="G4" s="219"/>
      <c r="H4" s="219"/>
      <c r="I4" s="219"/>
    </row>
    <row r="5" spans="1:9" s="21" customFormat="1" ht="42" customHeight="1" x14ac:dyDescent="0.25">
      <c r="A5" s="220" t="s">
        <v>14</v>
      </c>
      <c r="B5" s="218" t="s">
        <v>15</v>
      </c>
      <c r="C5" s="218" t="s">
        <v>16</v>
      </c>
      <c r="D5" s="218" t="s">
        <v>17</v>
      </c>
      <c r="E5" s="218" t="s">
        <v>5</v>
      </c>
      <c r="F5" s="218"/>
      <c r="G5" s="218" t="s">
        <v>6</v>
      </c>
      <c r="H5" s="218"/>
      <c r="I5" s="22" t="s">
        <v>3</v>
      </c>
    </row>
    <row r="6" spans="1:9" s="21" customFormat="1" ht="10.5" customHeight="1" x14ac:dyDescent="0.25">
      <c r="A6" s="221"/>
      <c r="B6" s="218"/>
      <c r="C6" s="218"/>
      <c r="D6" s="218"/>
      <c r="E6" s="218" t="s">
        <v>18</v>
      </c>
      <c r="F6" s="218" t="s">
        <v>19</v>
      </c>
      <c r="G6" s="218" t="s">
        <v>20</v>
      </c>
      <c r="H6" s="218" t="s">
        <v>21</v>
      </c>
      <c r="I6" s="22"/>
    </row>
    <row r="7" spans="1:9" s="21" customFormat="1" ht="21.75" customHeight="1" x14ac:dyDescent="0.25">
      <c r="A7" s="222"/>
      <c r="B7" s="218"/>
      <c r="C7" s="218"/>
      <c r="D7" s="218"/>
      <c r="E7" s="218"/>
      <c r="F7" s="218"/>
      <c r="G7" s="218"/>
      <c r="H7" s="218"/>
      <c r="I7" s="22" t="s">
        <v>22</v>
      </c>
    </row>
    <row r="8" spans="1:9" ht="144.75" customHeight="1" x14ac:dyDescent="0.25">
      <c r="A8" s="23"/>
      <c r="B8" s="24" t="s">
        <v>23</v>
      </c>
      <c r="C8" s="25"/>
      <c r="D8" s="25"/>
      <c r="E8" s="26"/>
      <c r="F8" s="27"/>
      <c r="G8" s="26"/>
      <c r="H8" s="27"/>
      <c r="I8" s="25"/>
    </row>
    <row r="9" spans="1:9" ht="78.75" customHeight="1" x14ac:dyDescent="0.25">
      <c r="A9" s="29"/>
      <c r="B9" s="30" t="s">
        <v>24</v>
      </c>
      <c r="C9" s="31"/>
      <c r="D9" s="31"/>
      <c r="E9" s="32"/>
      <c r="F9" s="31"/>
      <c r="G9" s="32"/>
      <c r="H9" s="31"/>
      <c r="I9" s="31"/>
    </row>
    <row r="10" spans="1:9" ht="34.5" customHeight="1" x14ac:dyDescent="0.25">
      <c r="A10" s="33">
        <v>1</v>
      </c>
      <c r="B10" s="34" t="s">
        <v>25</v>
      </c>
      <c r="C10" s="35"/>
      <c r="D10" s="35"/>
      <c r="E10" s="36"/>
      <c r="F10" s="35"/>
      <c r="G10" s="36"/>
      <c r="H10" s="35"/>
      <c r="I10" s="35"/>
    </row>
    <row r="11" spans="1:9" ht="24" customHeight="1" x14ac:dyDescent="0.25">
      <c r="A11" s="208">
        <v>1.1000000000000001</v>
      </c>
      <c r="B11" s="37" t="s">
        <v>26</v>
      </c>
      <c r="C11" s="25"/>
      <c r="D11" s="25"/>
      <c r="E11" s="38"/>
      <c r="F11" s="25"/>
      <c r="G11" s="38"/>
      <c r="H11" s="25"/>
      <c r="I11" s="25"/>
    </row>
    <row r="12" spans="1:9" ht="213" customHeight="1" x14ac:dyDescent="0.25">
      <c r="A12" s="209"/>
      <c r="B12" s="39" t="s">
        <v>27</v>
      </c>
      <c r="C12" s="40"/>
      <c r="D12" s="40"/>
      <c r="E12" s="41"/>
      <c r="F12" s="37"/>
      <c r="G12" s="41"/>
      <c r="H12" s="37"/>
      <c r="I12" s="37"/>
    </row>
    <row r="13" spans="1:9" ht="36.6" customHeight="1" x14ac:dyDescent="0.25">
      <c r="A13" s="42" t="s">
        <v>28</v>
      </c>
      <c r="B13" s="39" t="s">
        <v>29</v>
      </c>
      <c r="C13" s="43" t="s">
        <v>30</v>
      </c>
      <c r="D13" s="44">
        <v>3</v>
      </c>
      <c r="E13" s="45">
        <v>386916.35062499996</v>
      </c>
      <c r="F13" s="46">
        <f t="shared" ref="F13" si="0">D13*E13</f>
        <v>1160749.0518749999</v>
      </c>
      <c r="G13" s="47">
        <v>30947.058541666687</v>
      </c>
      <c r="H13" s="48">
        <f t="shared" ref="H13" si="1">G13*D13</f>
        <v>92841.175625000062</v>
      </c>
      <c r="I13" s="49">
        <f t="shared" ref="I13" si="2">F13+H13</f>
        <v>1253590.2275</v>
      </c>
    </row>
    <row r="14" spans="1:9" x14ac:dyDescent="0.25">
      <c r="A14" s="42" t="s">
        <v>31</v>
      </c>
      <c r="B14" s="39" t="s">
        <v>32</v>
      </c>
      <c r="C14" s="43"/>
      <c r="D14" s="44"/>
      <c r="E14" s="45"/>
      <c r="F14" s="46"/>
      <c r="G14" s="47"/>
      <c r="H14" s="48"/>
      <c r="I14" s="49"/>
    </row>
    <row r="15" spans="1:9" x14ac:dyDescent="0.25">
      <c r="A15" s="42" t="s">
        <v>33</v>
      </c>
      <c r="B15" s="39" t="s">
        <v>34</v>
      </c>
      <c r="C15" s="43" t="s">
        <v>30</v>
      </c>
      <c r="D15" s="44">
        <v>3</v>
      </c>
      <c r="E15" s="45">
        <v>386916.35062499996</v>
      </c>
      <c r="F15" s="46">
        <f t="shared" ref="F15:F17" si="3">D15*E15</f>
        <v>1160749.0518749999</v>
      </c>
      <c r="G15" s="47">
        <v>30947.058541666687</v>
      </c>
      <c r="H15" s="48">
        <f t="shared" ref="H15:H16" si="4">G15*D15</f>
        <v>92841.175625000062</v>
      </c>
      <c r="I15" s="49">
        <f t="shared" ref="I15:I17" si="5">F15+H15</f>
        <v>1253590.2275</v>
      </c>
    </row>
    <row r="16" spans="1:9" x14ac:dyDescent="0.25">
      <c r="A16" s="42" t="s">
        <v>35</v>
      </c>
      <c r="B16" s="39" t="s">
        <v>36</v>
      </c>
      <c r="C16" s="43" t="s">
        <v>37</v>
      </c>
      <c r="D16" s="44">
        <v>2</v>
      </c>
      <c r="E16" s="45">
        <v>386916.35062499996</v>
      </c>
      <c r="F16" s="46">
        <f t="shared" si="3"/>
        <v>773832.70124999993</v>
      </c>
      <c r="G16" s="47">
        <v>30947.058541666687</v>
      </c>
      <c r="H16" s="48">
        <f t="shared" si="4"/>
        <v>61894.117083333374</v>
      </c>
      <c r="I16" s="49">
        <f t="shared" si="5"/>
        <v>835726.81833333336</v>
      </c>
    </row>
    <row r="17" spans="1:9" ht="37.5" x14ac:dyDescent="0.25">
      <c r="A17" s="42" t="s">
        <v>38</v>
      </c>
      <c r="B17" s="39" t="s">
        <v>39</v>
      </c>
      <c r="C17" s="43" t="s">
        <v>30</v>
      </c>
      <c r="D17" s="44">
        <v>1</v>
      </c>
      <c r="E17" s="45">
        <v>173873.25</v>
      </c>
      <c r="F17" s="46">
        <f t="shared" si="3"/>
        <v>173873.25</v>
      </c>
      <c r="G17" s="47">
        <v>0</v>
      </c>
      <c r="H17" s="48">
        <f>+G17*D17</f>
        <v>0</v>
      </c>
      <c r="I17" s="49">
        <f t="shared" si="5"/>
        <v>173873.25</v>
      </c>
    </row>
    <row r="18" spans="1:9" s="57" customFormat="1" x14ac:dyDescent="0.25">
      <c r="A18" s="215">
        <v>1.2</v>
      </c>
      <c r="B18" s="37" t="s">
        <v>40</v>
      </c>
      <c r="C18" s="50"/>
      <c r="D18" s="51"/>
      <c r="E18" s="52"/>
      <c r="F18" s="53"/>
      <c r="G18" s="54"/>
      <c r="H18" s="55"/>
      <c r="I18" s="56"/>
    </row>
    <row r="19" spans="1:9" s="57" customFormat="1" ht="55.15" customHeight="1" x14ac:dyDescent="0.25">
      <c r="A19" s="216"/>
      <c r="B19" s="39" t="s">
        <v>41</v>
      </c>
      <c r="C19" s="50"/>
      <c r="D19" s="51"/>
      <c r="E19" s="52"/>
      <c r="F19" s="53"/>
      <c r="G19" s="54"/>
      <c r="H19" s="55"/>
      <c r="I19" s="56"/>
    </row>
    <row r="20" spans="1:9" s="57" customFormat="1" x14ac:dyDescent="0.25">
      <c r="A20" s="58" t="s">
        <v>42</v>
      </c>
      <c r="B20" s="39" t="s">
        <v>43</v>
      </c>
      <c r="C20" s="50" t="s">
        <v>30</v>
      </c>
      <c r="D20" s="44">
        <v>3</v>
      </c>
      <c r="E20" s="45">
        <v>233750</v>
      </c>
      <c r="F20" s="53">
        <f t="shared" ref="F20:F24" si="6">D20*E20</f>
        <v>701250</v>
      </c>
      <c r="G20" s="47">
        <v>29504.440000000002</v>
      </c>
      <c r="H20" s="55">
        <f t="shared" ref="H20:H24" si="7">G20*D20</f>
        <v>88513.32</v>
      </c>
      <c r="I20" s="56">
        <f t="shared" ref="I20:I24" si="8">F20+H20</f>
        <v>789763.32000000007</v>
      </c>
    </row>
    <row r="21" spans="1:9" s="57" customFormat="1" x14ac:dyDescent="0.25">
      <c r="A21" s="58" t="s">
        <v>44</v>
      </c>
      <c r="B21" s="39" t="s">
        <v>32</v>
      </c>
      <c r="C21" s="50"/>
      <c r="D21" s="44"/>
      <c r="E21" s="52"/>
      <c r="F21" s="53"/>
      <c r="G21" s="54"/>
      <c r="H21" s="55"/>
      <c r="I21" s="56"/>
    </row>
    <row r="22" spans="1:9" s="57" customFormat="1" x14ac:dyDescent="0.25">
      <c r="A22" s="58" t="s">
        <v>45</v>
      </c>
      <c r="B22" s="39" t="s">
        <v>46</v>
      </c>
      <c r="C22" s="50" t="s">
        <v>30</v>
      </c>
      <c r="D22" s="44">
        <v>3</v>
      </c>
      <c r="E22" s="45">
        <v>181200</v>
      </c>
      <c r="F22" s="53">
        <f t="shared" si="6"/>
        <v>543600</v>
      </c>
      <c r="G22" s="47">
        <v>14546.809999999998</v>
      </c>
      <c r="H22" s="55">
        <f t="shared" si="7"/>
        <v>43640.429999999993</v>
      </c>
      <c r="I22" s="56">
        <f t="shared" si="8"/>
        <v>587240.42999999993</v>
      </c>
    </row>
    <row r="23" spans="1:9" s="57" customFormat="1" x14ac:dyDescent="0.25">
      <c r="A23" s="58" t="s">
        <v>47</v>
      </c>
      <c r="B23" s="39" t="s">
        <v>48</v>
      </c>
      <c r="C23" s="50" t="s">
        <v>37</v>
      </c>
      <c r="D23" s="44">
        <v>2</v>
      </c>
      <c r="E23" s="45">
        <v>105300</v>
      </c>
      <c r="F23" s="53">
        <f t="shared" si="6"/>
        <v>210600</v>
      </c>
      <c r="G23" s="47">
        <v>1004.5200000000041</v>
      </c>
      <c r="H23" s="55">
        <f t="shared" si="7"/>
        <v>2009.0400000000081</v>
      </c>
      <c r="I23" s="56">
        <f t="shared" si="8"/>
        <v>212609.04</v>
      </c>
    </row>
    <row r="24" spans="1:9" s="57" customFormat="1" ht="56.25" x14ac:dyDescent="0.25">
      <c r="A24" s="58" t="s">
        <v>47</v>
      </c>
      <c r="B24" s="39" t="s">
        <v>49</v>
      </c>
      <c r="C24" s="50" t="s">
        <v>30</v>
      </c>
      <c r="D24" s="44">
        <v>1</v>
      </c>
      <c r="E24" s="45">
        <v>62761.36</v>
      </c>
      <c r="F24" s="53">
        <f t="shared" si="6"/>
        <v>62761.36</v>
      </c>
      <c r="G24" s="47">
        <v>0</v>
      </c>
      <c r="H24" s="55">
        <f t="shared" si="7"/>
        <v>0</v>
      </c>
      <c r="I24" s="56">
        <f t="shared" si="8"/>
        <v>62761.36</v>
      </c>
    </row>
    <row r="25" spans="1:9" x14ac:dyDescent="0.25">
      <c r="A25" s="208">
        <v>1.3</v>
      </c>
      <c r="B25" s="37" t="s">
        <v>50</v>
      </c>
      <c r="C25" s="43"/>
      <c r="D25" s="44"/>
      <c r="E25" s="45"/>
      <c r="F25" s="46"/>
      <c r="G25" s="47"/>
      <c r="H25" s="48"/>
      <c r="I25" s="49"/>
    </row>
    <row r="26" spans="1:9" ht="61.5" customHeight="1" x14ac:dyDescent="0.25">
      <c r="A26" s="209"/>
      <c r="B26" s="39" t="s">
        <v>51</v>
      </c>
      <c r="C26" s="43" t="s">
        <v>52</v>
      </c>
      <c r="D26" s="44">
        <v>1</v>
      </c>
      <c r="E26" s="45">
        <v>304057.5</v>
      </c>
      <c r="F26" s="46">
        <f t="shared" ref="F26" si="9">D26*E26</f>
        <v>304057.5</v>
      </c>
      <c r="G26" s="47">
        <v>31519.650000000023</v>
      </c>
      <c r="H26" s="48">
        <f>G26*D26</f>
        <v>31519.650000000023</v>
      </c>
      <c r="I26" s="49">
        <f>F26+H26</f>
        <v>335577.15</v>
      </c>
    </row>
    <row r="27" spans="1:9" x14ac:dyDescent="0.25">
      <c r="A27" s="208">
        <v>1.4</v>
      </c>
      <c r="B27" s="37" t="s">
        <v>53</v>
      </c>
      <c r="C27" s="43"/>
      <c r="D27" s="44"/>
      <c r="E27" s="45"/>
      <c r="F27" s="46"/>
      <c r="G27" s="47"/>
      <c r="H27" s="48"/>
      <c r="I27" s="49"/>
    </row>
    <row r="28" spans="1:9" ht="150" x14ac:dyDescent="0.25">
      <c r="A28" s="209"/>
      <c r="B28" s="39" t="s">
        <v>54</v>
      </c>
      <c r="C28" s="43"/>
      <c r="D28" s="44"/>
      <c r="E28" s="45"/>
      <c r="F28" s="46"/>
      <c r="G28" s="47"/>
      <c r="H28" s="48"/>
      <c r="I28" s="49"/>
    </row>
    <row r="29" spans="1:9" ht="37.5" x14ac:dyDescent="0.25">
      <c r="A29" s="42" t="s">
        <v>55</v>
      </c>
      <c r="B29" s="39" t="s">
        <v>56</v>
      </c>
      <c r="C29" s="43" t="s">
        <v>30</v>
      </c>
      <c r="D29" s="44">
        <v>3</v>
      </c>
      <c r="E29" s="45">
        <v>177715.06262548265</v>
      </c>
      <c r="F29" s="46">
        <f t="shared" ref="F29:F34" si="10">D29*E29</f>
        <v>533145.18787644792</v>
      </c>
      <c r="G29" s="47">
        <v>7670.5129601029439</v>
      </c>
      <c r="H29" s="48">
        <f t="shared" ref="H29:H33" si="11">G29*D29</f>
        <v>23011.538880308832</v>
      </c>
      <c r="I29" s="49">
        <f t="shared" ref="I29:I33" si="12">F29+H29</f>
        <v>556156.72675675678</v>
      </c>
    </row>
    <row r="30" spans="1:9" x14ac:dyDescent="0.25">
      <c r="A30" s="42" t="s">
        <v>57</v>
      </c>
      <c r="B30" s="39" t="s">
        <v>58</v>
      </c>
      <c r="C30" s="43" t="s">
        <v>30</v>
      </c>
      <c r="D30" s="44">
        <v>24</v>
      </c>
      <c r="E30" s="45">
        <v>177715.06262548265</v>
      </c>
      <c r="F30" s="46">
        <f t="shared" si="10"/>
        <v>4265161.5030115834</v>
      </c>
      <c r="G30" s="47">
        <v>7670.5129601029439</v>
      </c>
      <c r="H30" s="48">
        <f t="shared" si="11"/>
        <v>184092.31104247065</v>
      </c>
      <c r="I30" s="49">
        <f t="shared" si="12"/>
        <v>4449253.8140540542</v>
      </c>
    </row>
    <row r="31" spans="1:9" x14ac:dyDescent="0.25">
      <c r="A31" s="42" t="s">
        <v>59</v>
      </c>
      <c r="B31" s="39" t="s">
        <v>60</v>
      </c>
      <c r="C31" s="43" t="s">
        <v>30</v>
      </c>
      <c r="D31" s="44">
        <v>2</v>
      </c>
      <c r="E31" s="45">
        <v>177715.06262548265</v>
      </c>
      <c r="F31" s="46">
        <f t="shared" si="10"/>
        <v>355430.1252509653</v>
      </c>
      <c r="G31" s="47">
        <v>7670.5129601029439</v>
      </c>
      <c r="H31" s="48">
        <f t="shared" si="11"/>
        <v>15341.025920205888</v>
      </c>
      <c r="I31" s="49">
        <f t="shared" si="12"/>
        <v>370771.15117117116</v>
      </c>
    </row>
    <row r="32" spans="1:9" x14ac:dyDescent="0.25">
      <c r="A32" s="42" t="s">
        <v>61</v>
      </c>
      <c r="B32" s="39" t="s">
        <v>62</v>
      </c>
      <c r="C32" s="43" t="s">
        <v>30</v>
      </c>
      <c r="D32" s="44">
        <v>3</v>
      </c>
      <c r="E32" s="45">
        <v>177715.06262548265</v>
      </c>
      <c r="F32" s="46">
        <f t="shared" si="10"/>
        <v>533145.18787644792</v>
      </c>
      <c r="G32" s="47">
        <v>7670.5129601029439</v>
      </c>
      <c r="H32" s="48">
        <f t="shared" si="11"/>
        <v>23011.538880308832</v>
      </c>
      <c r="I32" s="49">
        <f t="shared" si="12"/>
        <v>556156.72675675678</v>
      </c>
    </row>
    <row r="33" spans="1:9" x14ac:dyDescent="0.25">
      <c r="A33" s="42" t="s">
        <v>63</v>
      </c>
      <c r="B33" s="39" t="s">
        <v>64</v>
      </c>
      <c r="C33" s="50" t="s">
        <v>37</v>
      </c>
      <c r="D33" s="44">
        <v>3</v>
      </c>
      <c r="E33" s="45">
        <v>177715.06262548265</v>
      </c>
      <c r="F33" s="46">
        <f t="shared" si="10"/>
        <v>533145.18787644792</v>
      </c>
      <c r="G33" s="47">
        <v>7670.5129601029439</v>
      </c>
      <c r="H33" s="48">
        <f t="shared" si="11"/>
        <v>23011.538880308832</v>
      </c>
      <c r="I33" s="49">
        <f t="shared" si="12"/>
        <v>556156.72675675678</v>
      </c>
    </row>
    <row r="34" spans="1:9" x14ac:dyDescent="0.25">
      <c r="A34" s="42" t="s">
        <v>65</v>
      </c>
      <c r="B34" s="39" t="s">
        <v>66</v>
      </c>
      <c r="C34" s="50" t="s">
        <v>37</v>
      </c>
      <c r="D34" s="44">
        <v>2</v>
      </c>
      <c r="E34" s="45">
        <v>175809.63405405407</v>
      </c>
      <c r="F34" s="46">
        <f t="shared" si="10"/>
        <v>351619.26810810814</v>
      </c>
      <c r="G34" s="47">
        <v>1123.1215315315167</v>
      </c>
      <c r="H34" s="48">
        <f>G34*D34</f>
        <v>2246.2430630630333</v>
      </c>
      <c r="I34" s="49">
        <f>F34+H34</f>
        <v>353865.51117117115</v>
      </c>
    </row>
    <row r="35" spans="1:9" ht="27" customHeight="1" x14ac:dyDescent="0.25">
      <c r="A35" s="208">
        <v>1.5</v>
      </c>
      <c r="B35" s="37" t="s">
        <v>67</v>
      </c>
      <c r="C35" s="43"/>
      <c r="D35" s="44"/>
      <c r="E35" s="45"/>
      <c r="F35" s="46"/>
      <c r="G35" s="47"/>
      <c r="H35" s="48"/>
      <c r="I35" s="49"/>
    </row>
    <row r="36" spans="1:9" ht="75" x14ac:dyDescent="0.25">
      <c r="A36" s="209"/>
      <c r="B36" s="39" t="s">
        <v>68</v>
      </c>
      <c r="C36" s="43" t="s">
        <v>69</v>
      </c>
      <c r="D36" s="44">
        <v>3</v>
      </c>
      <c r="E36" s="45">
        <v>1822500.0000000002</v>
      </c>
      <c r="F36" s="46">
        <f t="shared" ref="F36:F38" si="13">D36*E36</f>
        <v>5467500.0000000009</v>
      </c>
      <c r="G36" s="47">
        <v>53887.562222222055</v>
      </c>
      <c r="H36" s="48">
        <f>G36*D36</f>
        <v>161662.68666666618</v>
      </c>
      <c r="I36" s="49">
        <f>F36+H36</f>
        <v>5629162.6866666675</v>
      </c>
    </row>
    <row r="37" spans="1:9" ht="56.25" x14ac:dyDescent="0.25">
      <c r="A37" s="42" t="s">
        <v>70</v>
      </c>
      <c r="B37" s="39" t="s">
        <v>71</v>
      </c>
      <c r="C37" s="43" t="s">
        <v>69</v>
      </c>
      <c r="D37" s="44">
        <v>3</v>
      </c>
      <c r="E37" s="45">
        <v>159246</v>
      </c>
      <c r="F37" s="46">
        <f t="shared" si="13"/>
        <v>477738</v>
      </c>
      <c r="G37" s="47">
        <v>14404.290000000008</v>
      </c>
      <c r="H37" s="48">
        <f t="shared" ref="H37:H38" si="14">G37*D37</f>
        <v>43212.870000000024</v>
      </c>
      <c r="I37" s="49">
        <f t="shared" ref="I37:I38" si="15">F37+H37</f>
        <v>520950.87</v>
      </c>
    </row>
    <row r="38" spans="1:9" ht="37.5" x14ac:dyDescent="0.25">
      <c r="A38" s="42" t="s">
        <v>72</v>
      </c>
      <c r="B38" s="39" t="s">
        <v>73</v>
      </c>
      <c r="C38" s="43" t="s">
        <v>69</v>
      </c>
      <c r="D38" s="44">
        <v>1</v>
      </c>
      <c r="E38" s="45">
        <v>86725</v>
      </c>
      <c r="F38" s="46">
        <f t="shared" si="13"/>
        <v>86725</v>
      </c>
      <c r="G38" s="47">
        <v>4408.3899999999994</v>
      </c>
      <c r="H38" s="48">
        <f t="shared" si="14"/>
        <v>4408.3899999999994</v>
      </c>
      <c r="I38" s="49">
        <f t="shared" si="15"/>
        <v>91133.39</v>
      </c>
    </row>
    <row r="39" spans="1:9" x14ac:dyDescent="0.25">
      <c r="A39" s="208">
        <v>1.6</v>
      </c>
      <c r="B39" s="37" t="s">
        <v>74</v>
      </c>
      <c r="C39" s="49"/>
      <c r="D39" s="49"/>
      <c r="E39" s="45"/>
      <c r="F39" s="49"/>
      <c r="G39" s="47"/>
      <c r="H39" s="48"/>
      <c r="I39" s="49"/>
    </row>
    <row r="40" spans="1:9" ht="86.25" customHeight="1" x14ac:dyDescent="0.25">
      <c r="A40" s="209"/>
      <c r="B40" s="39" t="s">
        <v>75</v>
      </c>
      <c r="C40" s="43" t="s">
        <v>69</v>
      </c>
      <c r="D40" s="44">
        <v>2</v>
      </c>
      <c r="E40" s="45">
        <v>81987.5</v>
      </c>
      <c r="F40" s="46">
        <f t="shared" ref="F40" si="16">D40*E40</f>
        <v>163975</v>
      </c>
      <c r="G40" s="47">
        <v>4281.5800000000017</v>
      </c>
      <c r="H40" s="48">
        <f>D40*G40</f>
        <v>8563.1600000000035</v>
      </c>
      <c r="I40" s="49">
        <f>F40+H40</f>
        <v>172538.16</v>
      </c>
    </row>
    <row r="41" spans="1:9" x14ac:dyDescent="0.25">
      <c r="A41" s="208">
        <v>1.7</v>
      </c>
      <c r="B41" s="37" t="s">
        <v>76</v>
      </c>
      <c r="C41" s="46"/>
      <c r="D41" s="46"/>
      <c r="E41" s="45"/>
      <c r="F41" s="46"/>
      <c r="G41" s="47"/>
      <c r="H41" s="46"/>
      <c r="I41" s="49"/>
    </row>
    <row r="42" spans="1:9" ht="75" x14ac:dyDescent="0.25">
      <c r="A42" s="209"/>
      <c r="B42" s="39" t="s">
        <v>77</v>
      </c>
      <c r="C42" s="59" t="s">
        <v>69</v>
      </c>
      <c r="D42" s="60">
        <v>1</v>
      </c>
      <c r="E42" s="45">
        <v>702000</v>
      </c>
      <c r="F42" s="46">
        <f t="shared" ref="F42" si="17">D42*E42</f>
        <v>702000</v>
      </c>
      <c r="G42" s="47">
        <v>15958.160000000033</v>
      </c>
      <c r="H42" s="48">
        <f>D42*G42</f>
        <v>15958.160000000033</v>
      </c>
      <c r="I42" s="49">
        <f>F42+H42</f>
        <v>717958.16</v>
      </c>
    </row>
    <row r="43" spans="1:9" x14ac:dyDescent="0.25">
      <c r="A43" s="208">
        <v>1.8</v>
      </c>
      <c r="B43" s="37" t="s">
        <v>78</v>
      </c>
      <c r="C43" s="59"/>
      <c r="D43" s="60"/>
      <c r="E43" s="45"/>
      <c r="F43" s="46"/>
      <c r="G43" s="47"/>
      <c r="H43" s="48"/>
      <c r="I43" s="49"/>
    </row>
    <row r="44" spans="1:9" ht="99.75" customHeight="1" x14ac:dyDescent="0.25">
      <c r="A44" s="209"/>
      <c r="B44" s="39" t="s">
        <v>79</v>
      </c>
      <c r="C44" s="59" t="s">
        <v>52</v>
      </c>
      <c r="D44" s="60">
        <v>1</v>
      </c>
      <c r="E44" s="45">
        <v>1989000</v>
      </c>
      <c r="F44" s="46">
        <f t="shared" ref="F44" si="18">D44*E44</f>
        <v>1989000</v>
      </c>
      <c r="G44" s="47">
        <v>11772.209999999963</v>
      </c>
      <c r="H44" s="48">
        <f>D44*G44</f>
        <v>11772.209999999963</v>
      </c>
      <c r="I44" s="49">
        <f>F44+H44</f>
        <v>2000772.21</v>
      </c>
    </row>
    <row r="45" spans="1:9" ht="21" customHeight="1" x14ac:dyDescent="0.25">
      <c r="A45" s="210">
        <v>1.9</v>
      </c>
      <c r="B45" s="61" t="s">
        <v>80</v>
      </c>
      <c r="C45" s="40"/>
      <c r="D45" s="60"/>
      <c r="E45" s="45"/>
      <c r="F45" s="46"/>
      <c r="G45" s="47"/>
      <c r="H45" s="48"/>
      <c r="I45" s="49"/>
    </row>
    <row r="46" spans="1:9" ht="124.5" customHeight="1" x14ac:dyDescent="0.25">
      <c r="A46" s="217"/>
      <c r="B46" s="39" t="s">
        <v>81</v>
      </c>
      <c r="C46" s="59"/>
      <c r="D46" s="60"/>
      <c r="E46" s="45"/>
      <c r="F46" s="46"/>
      <c r="G46" s="47"/>
      <c r="H46" s="48"/>
      <c r="I46" s="49"/>
    </row>
    <row r="47" spans="1:9" x14ac:dyDescent="0.25">
      <c r="A47" s="217"/>
      <c r="B47" s="39" t="s">
        <v>82</v>
      </c>
      <c r="C47" s="59" t="s">
        <v>52</v>
      </c>
      <c r="D47" s="60">
        <v>1</v>
      </c>
      <c r="E47" s="45">
        <v>554351.64749999996</v>
      </c>
      <c r="F47" s="46">
        <f t="shared" ref="F47:F49" si="19">D47*E47</f>
        <v>554351.64749999996</v>
      </c>
      <c r="G47" s="47">
        <v>44807.235833333369</v>
      </c>
      <c r="H47" s="48">
        <f>D47*G47</f>
        <v>44807.235833333369</v>
      </c>
      <c r="I47" s="49">
        <f>F47+H47</f>
        <v>599158.8833333333</v>
      </c>
    </row>
    <row r="48" spans="1:9" x14ac:dyDescent="0.25">
      <c r="A48" s="217"/>
      <c r="B48" s="39" t="s">
        <v>83</v>
      </c>
      <c r="C48" s="59" t="s">
        <v>52</v>
      </c>
      <c r="D48" s="60">
        <v>1</v>
      </c>
      <c r="E48" s="45">
        <v>118626.69</v>
      </c>
      <c r="F48" s="46">
        <f t="shared" si="19"/>
        <v>118626.69</v>
      </c>
      <c r="G48" s="47">
        <v>334.25</v>
      </c>
      <c r="H48" s="48">
        <f>D48*G48</f>
        <v>334.25</v>
      </c>
      <c r="I48" s="49">
        <f>F48+H48</f>
        <v>118960.94</v>
      </c>
    </row>
    <row r="49" spans="1:9" x14ac:dyDescent="0.25">
      <c r="A49" s="211"/>
      <c r="B49" s="39" t="s">
        <v>84</v>
      </c>
      <c r="C49" s="59" t="s">
        <v>52</v>
      </c>
      <c r="D49" s="60">
        <v>1</v>
      </c>
      <c r="E49" s="45">
        <v>533820.10499999998</v>
      </c>
      <c r="F49" s="46">
        <f t="shared" si="19"/>
        <v>533820.10499999998</v>
      </c>
      <c r="G49" s="47">
        <v>61687.07833333328</v>
      </c>
      <c r="H49" s="48">
        <f>D49*G49</f>
        <v>61687.07833333328</v>
      </c>
      <c r="I49" s="49">
        <f>F49+H49</f>
        <v>595507.18333333323</v>
      </c>
    </row>
    <row r="50" spans="1:9" s="57" customFormat="1" x14ac:dyDescent="0.25">
      <c r="A50" s="212">
        <v>1.1000000000000001</v>
      </c>
      <c r="B50" s="37" t="s">
        <v>85</v>
      </c>
      <c r="C50" s="50"/>
      <c r="D50" s="51"/>
      <c r="E50" s="52"/>
      <c r="F50" s="53"/>
      <c r="G50" s="54"/>
      <c r="H50" s="55"/>
      <c r="I50" s="56"/>
    </row>
    <row r="51" spans="1:9" s="57" customFormat="1" ht="37.5" x14ac:dyDescent="0.25">
      <c r="A51" s="213"/>
      <c r="B51" s="39" t="s">
        <v>86</v>
      </c>
      <c r="C51" s="50" t="s">
        <v>69</v>
      </c>
      <c r="D51" s="51">
        <v>1</v>
      </c>
      <c r="E51" s="45">
        <v>139144.20000000001</v>
      </c>
      <c r="F51" s="53">
        <f t="shared" ref="F51" si="20">D51*E51</f>
        <v>139144.20000000001</v>
      </c>
      <c r="G51" s="47">
        <v>30648.959999999992</v>
      </c>
      <c r="H51" s="55">
        <f>G51*D51</f>
        <v>30648.959999999992</v>
      </c>
      <c r="I51" s="56">
        <f>F51+H51</f>
        <v>169793.16</v>
      </c>
    </row>
    <row r="52" spans="1:9" x14ac:dyDescent="0.25">
      <c r="A52" s="42">
        <v>1.1100000000000001</v>
      </c>
      <c r="B52" s="37" t="s">
        <v>87</v>
      </c>
      <c r="C52" s="37"/>
      <c r="D52" s="37"/>
      <c r="E52" s="41"/>
      <c r="F52" s="37"/>
      <c r="G52" s="47"/>
      <c r="H52" s="48"/>
      <c r="I52" s="49"/>
    </row>
    <row r="53" spans="1:9" ht="33" customHeight="1" x14ac:dyDescent="0.25">
      <c r="A53" s="42" t="s">
        <v>88</v>
      </c>
      <c r="B53" s="37" t="s">
        <v>89</v>
      </c>
      <c r="C53" s="59"/>
      <c r="D53" s="60"/>
      <c r="E53" s="45"/>
      <c r="F53" s="46"/>
      <c r="G53" s="47"/>
      <c r="H53" s="48"/>
      <c r="I53" s="49"/>
    </row>
    <row r="54" spans="1:9" ht="56.25" x14ac:dyDescent="0.25">
      <c r="A54" s="42" t="s">
        <v>90</v>
      </c>
      <c r="B54" s="39" t="s">
        <v>91</v>
      </c>
      <c r="C54" s="59" t="s">
        <v>52</v>
      </c>
      <c r="D54" s="62">
        <v>1</v>
      </c>
      <c r="E54" s="45">
        <v>141856.43355000002</v>
      </c>
      <c r="F54" s="46">
        <f t="shared" ref="F54" si="21">D54*E54</f>
        <v>141856.43355000002</v>
      </c>
      <c r="G54" s="47">
        <v>642.60644999999204</v>
      </c>
      <c r="H54" s="48">
        <f t="shared" ref="H54:H56" si="22">D54*G54</f>
        <v>642.60644999999204</v>
      </c>
      <c r="I54" s="49">
        <f t="shared" ref="I54:I56" si="23">F54+H54</f>
        <v>142499.04</v>
      </c>
    </row>
    <row r="55" spans="1:9" ht="60.75" customHeight="1" x14ac:dyDescent="0.25">
      <c r="A55" s="42" t="s">
        <v>92</v>
      </c>
      <c r="B55" s="39" t="s">
        <v>93</v>
      </c>
      <c r="C55" s="59" t="s">
        <v>52</v>
      </c>
      <c r="D55" s="62">
        <v>1</v>
      </c>
      <c r="E55" s="46" t="s">
        <v>94</v>
      </c>
      <c r="F55" s="46"/>
      <c r="G55" s="47">
        <v>20288.16</v>
      </c>
      <c r="H55" s="48">
        <f t="shared" si="22"/>
        <v>20288.16</v>
      </c>
      <c r="I55" s="49">
        <f t="shared" si="23"/>
        <v>20288.16</v>
      </c>
    </row>
    <row r="56" spans="1:9" ht="54.75" customHeight="1" x14ac:dyDescent="0.25">
      <c r="A56" s="42" t="s">
        <v>95</v>
      </c>
      <c r="B56" s="39" t="s">
        <v>96</v>
      </c>
      <c r="C56" s="59" t="s">
        <v>52</v>
      </c>
      <c r="D56" s="62">
        <v>1</v>
      </c>
      <c r="E56" s="45">
        <v>9945</v>
      </c>
      <c r="F56" s="46">
        <f t="shared" ref="F56" si="24">D56*E56</f>
        <v>9945</v>
      </c>
      <c r="G56" s="47">
        <v>2596.33</v>
      </c>
      <c r="H56" s="48">
        <f t="shared" si="22"/>
        <v>2596.33</v>
      </c>
      <c r="I56" s="49">
        <f t="shared" si="23"/>
        <v>12541.33</v>
      </c>
    </row>
    <row r="57" spans="1:9" ht="33" customHeight="1" x14ac:dyDescent="0.25">
      <c r="A57" s="42" t="s">
        <v>97</v>
      </c>
      <c r="B57" s="37" t="s">
        <v>98</v>
      </c>
      <c r="C57" s="59"/>
      <c r="D57" s="60"/>
      <c r="E57" s="45"/>
      <c r="F57" s="46"/>
      <c r="G57" s="47"/>
      <c r="H57" s="48"/>
      <c r="I57" s="49"/>
    </row>
    <row r="58" spans="1:9" ht="75" x14ac:dyDescent="0.25">
      <c r="A58" s="42" t="s">
        <v>99</v>
      </c>
      <c r="B58" s="39" t="s">
        <v>100</v>
      </c>
      <c r="C58" s="59" t="s">
        <v>52</v>
      </c>
      <c r="D58" s="62">
        <v>1</v>
      </c>
      <c r="E58" s="45">
        <v>242478.37614000001</v>
      </c>
      <c r="F58" s="46">
        <f t="shared" ref="F58" si="25">D58*E58</f>
        <v>242478.37614000001</v>
      </c>
      <c r="G58" s="47">
        <v>3714.1538599999913</v>
      </c>
      <c r="H58" s="48">
        <f t="shared" ref="H58:H63" si="26">D58*G58</f>
        <v>3714.1538599999913</v>
      </c>
      <c r="I58" s="49">
        <f t="shared" ref="I58:I63" si="27">F58+H58</f>
        <v>246192.53</v>
      </c>
    </row>
    <row r="59" spans="1:9" ht="56.25" x14ac:dyDescent="0.25">
      <c r="A59" s="42" t="s">
        <v>101</v>
      </c>
      <c r="B59" s="39" t="s">
        <v>102</v>
      </c>
      <c r="C59" s="59" t="s">
        <v>52</v>
      </c>
      <c r="D59" s="62">
        <v>1</v>
      </c>
      <c r="E59" s="46" t="s">
        <v>103</v>
      </c>
      <c r="F59" s="46"/>
      <c r="G59" s="47">
        <v>6806.46</v>
      </c>
      <c r="H59" s="48">
        <f t="shared" si="26"/>
        <v>6806.46</v>
      </c>
      <c r="I59" s="49">
        <f t="shared" si="27"/>
        <v>6806.46</v>
      </c>
    </row>
    <row r="60" spans="1:9" ht="56.25" x14ac:dyDescent="0.25">
      <c r="A60" s="42" t="s">
        <v>104</v>
      </c>
      <c r="B60" s="39" t="s">
        <v>105</v>
      </c>
      <c r="C60" s="59" t="s">
        <v>52</v>
      </c>
      <c r="D60" s="62">
        <v>1</v>
      </c>
      <c r="E60" s="45">
        <v>121554.48825000002</v>
      </c>
      <c r="F60" s="46">
        <f t="shared" ref="F60" si="28">D60*E60</f>
        <v>121554.48825000002</v>
      </c>
      <c r="G60" s="47">
        <v>5784.0917499999778</v>
      </c>
      <c r="H60" s="48">
        <f t="shared" si="26"/>
        <v>5784.0917499999778</v>
      </c>
      <c r="I60" s="49">
        <f t="shared" si="27"/>
        <v>127338.58</v>
      </c>
    </row>
    <row r="61" spans="1:9" ht="56.25" x14ac:dyDescent="0.25">
      <c r="A61" s="42" t="s">
        <v>106</v>
      </c>
      <c r="B61" s="39" t="s">
        <v>107</v>
      </c>
      <c r="C61" s="59" t="s">
        <v>52</v>
      </c>
      <c r="D61" s="62">
        <v>1</v>
      </c>
      <c r="E61" s="46" t="s">
        <v>103</v>
      </c>
      <c r="F61" s="46"/>
      <c r="G61" s="47">
        <v>3403.23</v>
      </c>
      <c r="H61" s="48">
        <f t="shared" si="26"/>
        <v>3403.23</v>
      </c>
      <c r="I61" s="49">
        <f t="shared" si="27"/>
        <v>3403.23</v>
      </c>
    </row>
    <row r="62" spans="1:9" ht="75" x14ac:dyDescent="0.25">
      <c r="A62" s="42" t="s">
        <v>108</v>
      </c>
      <c r="B62" s="39" t="s">
        <v>109</v>
      </c>
      <c r="C62" s="59" t="s">
        <v>52</v>
      </c>
      <c r="D62" s="62">
        <v>1</v>
      </c>
      <c r="E62" s="45">
        <v>33509.638500000001</v>
      </c>
      <c r="F62" s="46">
        <f t="shared" ref="F62" si="29">D62*E62</f>
        <v>33509.638500000001</v>
      </c>
      <c r="G62" s="47">
        <v>7291.2214999999997</v>
      </c>
      <c r="H62" s="48">
        <f t="shared" si="26"/>
        <v>7291.2214999999997</v>
      </c>
      <c r="I62" s="49">
        <f t="shared" si="27"/>
        <v>40800.86</v>
      </c>
    </row>
    <row r="63" spans="1:9" ht="37.5" x14ac:dyDescent="0.25">
      <c r="A63" s="42" t="s">
        <v>110</v>
      </c>
      <c r="B63" s="39" t="s">
        <v>111</v>
      </c>
      <c r="C63" s="59" t="s">
        <v>52</v>
      </c>
      <c r="D63" s="62">
        <v>1</v>
      </c>
      <c r="E63" s="46" t="s">
        <v>103</v>
      </c>
      <c r="F63" s="46"/>
      <c r="G63" s="47">
        <v>2722.58</v>
      </c>
      <c r="H63" s="48">
        <f t="shared" si="26"/>
        <v>2722.58</v>
      </c>
      <c r="I63" s="49">
        <f t="shared" si="27"/>
        <v>2722.58</v>
      </c>
    </row>
    <row r="64" spans="1:9" ht="31.5" customHeight="1" x14ac:dyDescent="0.25">
      <c r="A64" s="42" t="s">
        <v>112</v>
      </c>
      <c r="B64" s="37" t="s">
        <v>113</v>
      </c>
      <c r="C64" s="59"/>
      <c r="D64" s="60"/>
      <c r="E64" s="45"/>
      <c r="F64" s="46"/>
      <c r="G64" s="47"/>
      <c r="H64" s="48"/>
      <c r="I64" s="49"/>
    </row>
    <row r="65" spans="1:9" ht="56.25" x14ac:dyDescent="0.25">
      <c r="A65" s="42" t="s">
        <v>114</v>
      </c>
      <c r="B65" s="39" t="s">
        <v>115</v>
      </c>
      <c r="C65" s="59" t="s">
        <v>52</v>
      </c>
      <c r="D65" s="62">
        <v>1</v>
      </c>
      <c r="E65" s="45">
        <v>152954.18372</v>
      </c>
      <c r="F65" s="46">
        <f>D65*E65</f>
        <v>152954.18372</v>
      </c>
      <c r="G65" s="47">
        <v>4910.9962799999921</v>
      </c>
      <c r="H65" s="48">
        <f>D65*G65</f>
        <v>4910.9962799999921</v>
      </c>
      <c r="I65" s="49">
        <f>F65+H65</f>
        <v>157865.18</v>
      </c>
    </row>
    <row r="66" spans="1:9" ht="56.25" x14ac:dyDescent="0.25">
      <c r="A66" s="42" t="s">
        <v>116</v>
      </c>
      <c r="B66" s="39" t="s">
        <v>117</v>
      </c>
      <c r="C66" s="59" t="s">
        <v>52</v>
      </c>
      <c r="D66" s="62">
        <v>1</v>
      </c>
      <c r="E66" s="45">
        <v>108060.10897500001</v>
      </c>
      <c r="F66" s="46">
        <f>D66*E66</f>
        <v>108060.10897500001</v>
      </c>
      <c r="G66" s="47">
        <v>15889.071024999983</v>
      </c>
      <c r="H66" s="48">
        <f>D66*G66</f>
        <v>15889.071024999983</v>
      </c>
      <c r="I66" s="49">
        <f>F66+H66</f>
        <v>123949.18</v>
      </c>
    </row>
    <row r="67" spans="1:9" ht="30" customHeight="1" x14ac:dyDescent="0.25">
      <c r="A67" s="208">
        <v>1.1200000000000001</v>
      </c>
      <c r="B67" s="37" t="s">
        <v>118</v>
      </c>
      <c r="C67" s="40"/>
      <c r="D67" s="40"/>
      <c r="E67" s="41"/>
      <c r="F67" s="37"/>
      <c r="G67" s="47"/>
      <c r="H67" s="48"/>
      <c r="I67" s="49"/>
    </row>
    <row r="68" spans="1:9" ht="56.25" x14ac:dyDescent="0.25">
      <c r="A68" s="209"/>
      <c r="B68" s="39" t="s">
        <v>119</v>
      </c>
      <c r="C68" s="59" t="s">
        <v>52</v>
      </c>
      <c r="D68" s="62">
        <v>1</v>
      </c>
      <c r="E68" s="45">
        <v>130000</v>
      </c>
      <c r="F68" s="46">
        <f t="shared" ref="F68" si="30">D68*E68</f>
        <v>130000</v>
      </c>
      <c r="G68" s="47">
        <v>31441.119999999995</v>
      </c>
      <c r="H68" s="48">
        <f>D68*G68</f>
        <v>31441.119999999995</v>
      </c>
      <c r="I68" s="49">
        <f>F68+H68</f>
        <v>161441.12</v>
      </c>
    </row>
    <row r="69" spans="1:9" x14ac:dyDescent="0.25">
      <c r="A69" s="212">
        <v>1.1299999999999999</v>
      </c>
      <c r="B69" s="37" t="s">
        <v>120</v>
      </c>
      <c r="C69" s="59"/>
      <c r="D69" s="60"/>
      <c r="E69" s="45"/>
      <c r="F69" s="46"/>
      <c r="G69" s="47"/>
      <c r="H69" s="48"/>
      <c r="I69" s="49"/>
    </row>
    <row r="70" spans="1:9" ht="120.75" customHeight="1" x14ac:dyDescent="0.25">
      <c r="A70" s="213"/>
      <c r="B70" s="39" t="s">
        <v>121</v>
      </c>
      <c r="C70" s="59" t="s">
        <v>52</v>
      </c>
      <c r="D70" s="62">
        <v>1</v>
      </c>
      <c r="E70" s="45">
        <v>89700</v>
      </c>
      <c r="F70" s="46">
        <f t="shared" ref="F70" si="31">D70*E70</f>
        <v>89700</v>
      </c>
      <c r="G70" s="47">
        <v>12962.25</v>
      </c>
      <c r="H70" s="48">
        <f t="shared" ref="H70" si="32">D70*G70</f>
        <v>12962.25</v>
      </c>
      <c r="I70" s="49">
        <f t="shared" ref="I70" si="33">F70+H70</f>
        <v>102662.25</v>
      </c>
    </row>
    <row r="71" spans="1:9" ht="35.25" customHeight="1" x14ac:dyDescent="0.25">
      <c r="A71" s="42">
        <v>1.1399999999999999</v>
      </c>
      <c r="B71" s="42" t="s">
        <v>122</v>
      </c>
      <c r="C71" s="42"/>
      <c r="D71" s="42"/>
      <c r="E71" s="63"/>
      <c r="F71" s="42"/>
      <c r="G71" s="63"/>
      <c r="H71" s="42"/>
      <c r="I71" s="42"/>
    </row>
    <row r="72" spans="1:9" x14ac:dyDescent="0.25">
      <c r="A72" s="214" t="s">
        <v>123</v>
      </c>
      <c r="B72" s="37" t="s">
        <v>124</v>
      </c>
      <c r="C72" s="49"/>
      <c r="D72" s="49"/>
      <c r="E72" s="45"/>
      <c r="F72" s="46"/>
      <c r="G72" s="47"/>
      <c r="H72" s="48"/>
      <c r="I72" s="49"/>
    </row>
    <row r="73" spans="1:9" ht="75" x14ac:dyDescent="0.25">
      <c r="A73" s="214"/>
      <c r="B73" s="39" t="s">
        <v>125</v>
      </c>
      <c r="C73" s="43" t="s">
        <v>52</v>
      </c>
      <c r="D73" s="60">
        <v>1</v>
      </c>
      <c r="E73" s="45">
        <v>503154</v>
      </c>
      <c r="F73" s="46">
        <f t="shared" ref="F73:F75" si="34">D73*E73</f>
        <v>503154</v>
      </c>
      <c r="G73" s="47">
        <v>244140.01333333331</v>
      </c>
      <c r="H73" s="48">
        <f>D73*G73</f>
        <v>244140.01333333331</v>
      </c>
      <c r="I73" s="49">
        <f>F73+H73</f>
        <v>747294.01333333331</v>
      </c>
    </row>
    <row r="74" spans="1:9" ht="37.5" x14ac:dyDescent="0.25">
      <c r="A74" s="42" t="s">
        <v>126</v>
      </c>
      <c r="B74" s="39" t="s">
        <v>127</v>
      </c>
      <c r="C74" s="43" t="s">
        <v>52</v>
      </c>
      <c r="D74" s="60">
        <v>1</v>
      </c>
      <c r="E74" s="45">
        <v>344295</v>
      </c>
      <c r="F74" s="46">
        <f t="shared" si="34"/>
        <v>344295</v>
      </c>
      <c r="G74" s="47">
        <v>336332.34333333332</v>
      </c>
      <c r="H74" s="48">
        <f t="shared" ref="H74:H75" si="35">D74*G74</f>
        <v>336332.34333333332</v>
      </c>
      <c r="I74" s="49">
        <f t="shared" ref="I74:I75" si="36">F74+H74</f>
        <v>680627.34333333327</v>
      </c>
    </row>
    <row r="75" spans="1:9" ht="56.25" x14ac:dyDescent="0.25">
      <c r="A75" s="42" t="s">
        <v>128</v>
      </c>
      <c r="B75" s="39" t="s">
        <v>129</v>
      </c>
      <c r="C75" s="43" t="s">
        <v>52</v>
      </c>
      <c r="D75" s="60">
        <v>1</v>
      </c>
      <c r="E75" s="45">
        <v>3750</v>
      </c>
      <c r="F75" s="46">
        <f t="shared" si="34"/>
        <v>3750</v>
      </c>
      <c r="G75" s="47">
        <v>4821.58</v>
      </c>
      <c r="H75" s="48">
        <f t="shared" si="35"/>
        <v>4821.58</v>
      </c>
      <c r="I75" s="49">
        <f t="shared" si="36"/>
        <v>8571.58</v>
      </c>
    </row>
    <row r="76" spans="1:9" s="57" customFormat="1" x14ac:dyDescent="0.25">
      <c r="A76" s="64" t="s">
        <v>130</v>
      </c>
      <c r="B76" s="37" t="s">
        <v>131</v>
      </c>
      <c r="C76" s="50"/>
      <c r="D76" s="62"/>
      <c r="E76" s="52"/>
      <c r="F76" s="53"/>
      <c r="G76" s="54"/>
      <c r="H76" s="55"/>
      <c r="I76" s="56"/>
    </row>
    <row r="77" spans="1:9" s="57" customFormat="1" ht="34.15" customHeight="1" x14ac:dyDescent="0.25">
      <c r="A77" s="65" t="s">
        <v>132</v>
      </c>
      <c r="B77" s="39" t="s">
        <v>32</v>
      </c>
      <c r="C77" s="50"/>
      <c r="D77" s="62"/>
      <c r="E77" s="66"/>
      <c r="F77" s="53"/>
      <c r="G77" s="54"/>
      <c r="H77" s="55"/>
      <c r="I77" s="56"/>
    </row>
    <row r="78" spans="1:9" s="57" customFormat="1" x14ac:dyDescent="0.25">
      <c r="A78" s="215" t="s">
        <v>133</v>
      </c>
      <c r="B78" s="37" t="s">
        <v>134</v>
      </c>
      <c r="C78" s="50"/>
      <c r="D78" s="62"/>
      <c r="E78" s="52"/>
      <c r="F78" s="53"/>
      <c r="G78" s="54"/>
      <c r="H78" s="55"/>
      <c r="I78" s="56"/>
    </row>
    <row r="79" spans="1:9" s="57" customFormat="1" ht="80.25" customHeight="1" x14ac:dyDescent="0.25">
      <c r="A79" s="216"/>
      <c r="B79" s="39" t="s">
        <v>135</v>
      </c>
      <c r="C79" s="43" t="s">
        <v>52</v>
      </c>
      <c r="D79" s="60">
        <v>1</v>
      </c>
      <c r="E79" s="45">
        <v>9808.75</v>
      </c>
      <c r="F79" s="46">
        <f t="shared" ref="F79" si="37">D79*E79</f>
        <v>9808.75</v>
      </c>
      <c r="G79" s="47">
        <v>17479.259999999998</v>
      </c>
      <c r="H79" s="48">
        <f t="shared" ref="H79" si="38">D79*G79</f>
        <v>17479.259999999998</v>
      </c>
      <c r="I79" s="49">
        <f t="shared" ref="I79" si="39">F79+H79</f>
        <v>27288.01</v>
      </c>
    </row>
    <row r="80" spans="1:9" x14ac:dyDescent="0.25">
      <c r="A80" s="42">
        <v>1.1499999999999999</v>
      </c>
      <c r="B80" s="58" t="s">
        <v>136</v>
      </c>
      <c r="C80" s="42"/>
      <c r="D80" s="42"/>
      <c r="E80" s="63"/>
      <c r="F80" s="42"/>
      <c r="G80" s="63"/>
      <c r="H80" s="42"/>
      <c r="I80" s="42"/>
    </row>
    <row r="81" spans="1:9" ht="37.5" x14ac:dyDescent="0.25">
      <c r="A81" s="58" t="s">
        <v>137</v>
      </c>
      <c r="B81" s="39" t="s">
        <v>138</v>
      </c>
      <c r="C81" s="43" t="s">
        <v>52</v>
      </c>
      <c r="D81" s="60">
        <v>1</v>
      </c>
      <c r="E81" s="45">
        <v>0</v>
      </c>
      <c r="F81" s="46">
        <f t="shared" ref="F81:F82" si="40">D81*E81</f>
        <v>0</v>
      </c>
      <c r="G81" s="47">
        <v>464326.5</v>
      </c>
      <c r="H81" s="48">
        <f t="shared" ref="H81:H82" si="41">D81*G81</f>
        <v>464326.5</v>
      </c>
      <c r="I81" s="49">
        <f t="shared" ref="I81:I82" si="42">F81+H81</f>
        <v>464326.5</v>
      </c>
    </row>
    <row r="82" spans="1:9" ht="37.5" x14ac:dyDescent="0.25">
      <c r="A82" s="58" t="s">
        <v>139</v>
      </c>
      <c r="B82" s="39" t="s">
        <v>140</v>
      </c>
      <c r="C82" s="43" t="s">
        <v>52</v>
      </c>
      <c r="D82" s="60">
        <v>1</v>
      </c>
      <c r="E82" s="45">
        <v>0</v>
      </c>
      <c r="F82" s="46">
        <f t="shared" si="40"/>
        <v>0</v>
      </c>
      <c r="G82" s="47">
        <v>464326.5</v>
      </c>
      <c r="H82" s="48">
        <f t="shared" si="41"/>
        <v>464326.5</v>
      </c>
      <c r="I82" s="49">
        <f t="shared" si="42"/>
        <v>464326.5</v>
      </c>
    </row>
    <row r="83" spans="1:9" x14ac:dyDescent="0.25">
      <c r="A83" s="215">
        <v>1.1599999999999999</v>
      </c>
      <c r="B83" s="58" t="s">
        <v>141</v>
      </c>
      <c r="C83" s="50"/>
      <c r="D83" s="62"/>
      <c r="E83" s="52"/>
      <c r="F83" s="53"/>
      <c r="G83" s="54"/>
      <c r="H83" s="48"/>
      <c r="I83" s="56"/>
    </row>
    <row r="84" spans="1:9" ht="86.25" customHeight="1" x14ac:dyDescent="0.25">
      <c r="A84" s="216"/>
      <c r="B84" s="39" t="s">
        <v>142</v>
      </c>
      <c r="C84" s="50" t="s">
        <v>52</v>
      </c>
      <c r="D84" s="62">
        <v>1</v>
      </c>
      <c r="E84" s="45">
        <v>0</v>
      </c>
      <c r="F84" s="53">
        <f t="shared" ref="F84" si="43">D84*E84</f>
        <v>0</v>
      </c>
      <c r="G84" s="47">
        <v>1766782.46</v>
      </c>
      <c r="H84" s="48">
        <f t="shared" ref="H84" si="44">D84*G84</f>
        <v>1766782.46</v>
      </c>
      <c r="I84" s="56">
        <f t="shared" ref="I84" si="45">F84+H84</f>
        <v>1766782.46</v>
      </c>
    </row>
    <row r="85" spans="1:9" ht="21" customHeight="1" x14ac:dyDescent="0.25">
      <c r="A85" s="58">
        <v>1.17</v>
      </c>
      <c r="B85" s="58" t="s">
        <v>143</v>
      </c>
      <c r="C85" s="50"/>
      <c r="D85" s="62"/>
      <c r="E85" s="52"/>
      <c r="F85" s="53"/>
      <c r="G85" s="54"/>
      <c r="H85" s="48"/>
      <c r="I85" s="56"/>
    </row>
    <row r="86" spans="1:9" ht="37.5" x14ac:dyDescent="0.25">
      <c r="A86" s="58" t="s">
        <v>144</v>
      </c>
      <c r="B86" s="39" t="s">
        <v>145</v>
      </c>
      <c r="C86" s="50" t="s">
        <v>52</v>
      </c>
      <c r="D86" s="62">
        <v>1</v>
      </c>
      <c r="E86" s="45">
        <v>0</v>
      </c>
      <c r="F86" s="53">
        <f t="shared" ref="F86" si="46">D86*E86</f>
        <v>0</v>
      </c>
      <c r="G86" s="47">
        <v>90000</v>
      </c>
      <c r="H86" s="48">
        <f t="shared" ref="H86" si="47">D86*G86</f>
        <v>90000</v>
      </c>
      <c r="I86" s="56">
        <f t="shared" ref="I86" si="48">F86+H86</f>
        <v>90000</v>
      </c>
    </row>
    <row r="87" spans="1:9" ht="37.5" customHeight="1" x14ac:dyDescent="0.25">
      <c r="A87" s="177" t="s">
        <v>146</v>
      </c>
      <c r="B87" s="178"/>
      <c r="C87" s="67"/>
      <c r="D87" s="67"/>
      <c r="E87" s="68"/>
      <c r="F87" s="69">
        <f>SUM(F13:F86)</f>
        <v>23787065.996635005</v>
      </c>
      <c r="G87" s="68"/>
      <c r="H87" s="69">
        <f>SUM(H13:H86)</f>
        <v>4573689.0333649991</v>
      </c>
      <c r="I87" s="69">
        <f>SUM(I13:I86)</f>
        <v>28360755.030000005</v>
      </c>
    </row>
    <row r="88" spans="1:9" ht="51" x14ac:dyDescent="0.25">
      <c r="A88" s="33">
        <v>2</v>
      </c>
      <c r="B88" s="34" t="s">
        <v>147</v>
      </c>
      <c r="C88" s="70"/>
      <c r="D88" s="35"/>
      <c r="E88" s="71"/>
      <c r="F88" s="35"/>
      <c r="G88" s="72"/>
      <c r="H88" s="73"/>
      <c r="I88" s="74"/>
    </row>
    <row r="89" spans="1:9" ht="63.75" customHeight="1" x14ac:dyDescent="0.25">
      <c r="A89" s="39"/>
      <c r="B89" s="39" t="s">
        <v>148</v>
      </c>
      <c r="C89" s="39"/>
      <c r="D89" s="39"/>
      <c r="E89" s="75"/>
      <c r="F89" s="39"/>
      <c r="G89" s="75"/>
      <c r="H89" s="39"/>
      <c r="I89" s="39"/>
    </row>
    <row r="90" spans="1:9" x14ac:dyDescent="0.25">
      <c r="A90" s="215">
        <v>2.1</v>
      </c>
      <c r="B90" s="76" t="s">
        <v>149</v>
      </c>
      <c r="C90" s="50"/>
      <c r="D90" s="62"/>
      <c r="E90" s="52"/>
      <c r="F90" s="53"/>
      <c r="G90" s="54"/>
      <c r="H90" s="48"/>
      <c r="I90" s="56"/>
    </row>
    <row r="91" spans="1:9" ht="56.25" x14ac:dyDescent="0.25">
      <c r="A91" s="216"/>
      <c r="B91" s="77" t="s">
        <v>150</v>
      </c>
      <c r="C91" s="50"/>
      <c r="D91" s="62"/>
      <c r="E91" s="52"/>
      <c r="F91" s="53"/>
      <c r="G91" s="54"/>
      <c r="H91" s="48"/>
      <c r="I91" s="56"/>
    </row>
    <row r="92" spans="1:9" x14ac:dyDescent="0.25">
      <c r="A92" s="58" t="s">
        <v>151</v>
      </c>
      <c r="B92" s="77" t="s">
        <v>152</v>
      </c>
      <c r="C92" s="50" t="s">
        <v>52</v>
      </c>
      <c r="D92" s="62">
        <v>1</v>
      </c>
      <c r="E92" s="52">
        <v>867590.20000000007</v>
      </c>
      <c r="F92" s="53">
        <f t="shared" ref="F92:F97" si="49">D92*E92</f>
        <v>867590.20000000007</v>
      </c>
      <c r="G92" s="47">
        <v>191744.70666666658</v>
      </c>
      <c r="H92" s="48">
        <f t="shared" ref="H92:H97" si="50">D92*G92</f>
        <v>191744.70666666658</v>
      </c>
      <c r="I92" s="56">
        <f t="shared" ref="I92:I97" si="51">F92+H92</f>
        <v>1059334.9066666667</v>
      </c>
    </row>
    <row r="93" spans="1:9" x14ac:dyDescent="0.25">
      <c r="A93" s="58" t="s">
        <v>153</v>
      </c>
      <c r="B93" s="77" t="s">
        <v>154</v>
      </c>
      <c r="C93" s="50" t="s">
        <v>52</v>
      </c>
      <c r="D93" s="62">
        <v>1</v>
      </c>
      <c r="E93" s="52">
        <v>61970.724999999999</v>
      </c>
      <c r="F93" s="53">
        <f t="shared" si="49"/>
        <v>61970.724999999999</v>
      </c>
      <c r="G93" s="47">
        <v>12394.144999999997</v>
      </c>
      <c r="H93" s="48">
        <f t="shared" si="50"/>
        <v>12394.144999999997</v>
      </c>
      <c r="I93" s="56">
        <f t="shared" si="51"/>
        <v>74364.87</v>
      </c>
    </row>
    <row r="94" spans="1:9" x14ac:dyDescent="0.25">
      <c r="A94" s="58" t="s">
        <v>155</v>
      </c>
      <c r="B94" s="77" t="s">
        <v>156</v>
      </c>
      <c r="C94" s="50" t="s">
        <v>52</v>
      </c>
      <c r="D94" s="62">
        <v>1</v>
      </c>
      <c r="E94" s="52">
        <v>309853.64166666666</v>
      </c>
      <c r="F94" s="53">
        <f t="shared" si="49"/>
        <v>309853.64166666666</v>
      </c>
      <c r="G94" s="47">
        <v>61970.728333333333</v>
      </c>
      <c r="H94" s="48">
        <f t="shared" si="50"/>
        <v>61970.728333333333</v>
      </c>
      <c r="I94" s="56">
        <f t="shared" si="51"/>
        <v>371824.37</v>
      </c>
    </row>
    <row r="95" spans="1:9" x14ac:dyDescent="0.25">
      <c r="A95" s="58" t="s">
        <v>157</v>
      </c>
      <c r="B95" s="77" t="s">
        <v>158</v>
      </c>
      <c r="C95" s="50" t="s">
        <v>52</v>
      </c>
      <c r="D95" s="62">
        <v>1</v>
      </c>
      <c r="E95" s="52">
        <v>371824.3666666667</v>
      </c>
      <c r="F95" s="53">
        <f t="shared" si="49"/>
        <v>371824.3666666667</v>
      </c>
      <c r="G95" s="47">
        <v>74364.873333333293</v>
      </c>
      <c r="H95" s="48">
        <f t="shared" si="50"/>
        <v>74364.873333333293</v>
      </c>
      <c r="I95" s="56">
        <f t="shared" si="51"/>
        <v>446189.24</v>
      </c>
    </row>
    <row r="96" spans="1:9" x14ac:dyDescent="0.25">
      <c r="A96" s="58" t="s">
        <v>159</v>
      </c>
      <c r="B96" s="77" t="s">
        <v>160</v>
      </c>
      <c r="C96" s="50" t="s">
        <v>52</v>
      </c>
      <c r="D96" s="62">
        <v>1</v>
      </c>
      <c r="E96" s="52">
        <v>413138.19166666671</v>
      </c>
      <c r="F96" s="53">
        <f t="shared" si="49"/>
        <v>413138.19166666671</v>
      </c>
      <c r="G96" s="47">
        <v>82627.638333333307</v>
      </c>
      <c r="H96" s="48">
        <f t="shared" si="50"/>
        <v>82627.638333333307</v>
      </c>
      <c r="I96" s="56">
        <f t="shared" si="51"/>
        <v>495765.83</v>
      </c>
    </row>
    <row r="97" spans="1:9" x14ac:dyDescent="0.25">
      <c r="A97" s="58" t="s">
        <v>161</v>
      </c>
      <c r="B97" s="77" t="s">
        <v>162</v>
      </c>
      <c r="C97" s="50" t="s">
        <v>52</v>
      </c>
      <c r="D97" s="62">
        <v>1</v>
      </c>
      <c r="E97" s="52">
        <v>41313.816666666673</v>
      </c>
      <c r="F97" s="53">
        <f t="shared" si="49"/>
        <v>41313.816666666673</v>
      </c>
      <c r="G97" s="47">
        <v>8262.7633333333288</v>
      </c>
      <c r="H97" s="48">
        <f t="shared" si="50"/>
        <v>8262.7633333333288</v>
      </c>
      <c r="I97" s="56">
        <f t="shared" si="51"/>
        <v>49576.58</v>
      </c>
    </row>
    <row r="98" spans="1:9" x14ac:dyDescent="0.25">
      <c r="A98" s="208">
        <v>2.2000000000000002</v>
      </c>
      <c r="B98" s="76" t="s">
        <v>163</v>
      </c>
      <c r="C98" s="78"/>
      <c r="D98" s="79"/>
      <c r="E98" s="52"/>
      <c r="F98" s="53"/>
      <c r="G98" s="52"/>
      <c r="H98" s="48"/>
      <c r="I98" s="56"/>
    </row>
    <row r="99" spans="1:9" ht="56.25" x14ac:dyDescent="0.25">
      <c r="A99" s="209"/>
      <c r="B99" s="77" t="s">
        <v>164</v>
      </c>
      <c r="C99" s="78"/>
      <c r="D99" s="79"/>
      <c r="E99" s="52"/>
      <c r="F99" s="53"/>
      <c r="G99" s="52"/>
      <c r="H99" s="48"/>
      <c r="I99" s="56"/>
    </row>
    <row r="100" spans="1:9" ht="37.5" x14ac:dyDescent="0.25">
      <c r="A100" s="58" t="s">
        <v>165</v>
      </c>
      <c r="B100" s="77" t="s">
        <v>166</v>
      </c>
      <c r="C100" s="78" t="s">
        <v>52</v>
      </c>
      <c r="D100" s="62">
        <v>1</v>
      </c>
      <c r="E100" s="52">
        <v>231727.08333333334</v>
      </c>
      <c r="F100" s="53">
        <f t="shared" ref="F100:F110" si="52">D100*E100</f>
        <v>231727.08333333334</v>
      </c>
      <c r="G100" s="47">
        <v>113012.01666666666</v>
      </c>
      <c r="H100" s="55">
        <f t="shared" ref="H100:H110" si="53">D100*G100</f>
        <v>113012.01666666666</v>
      </c>
      <c r="I100" s="56">
        <f t="shared" ref="I100:I110" si="54">F100+H100</f>
        <v>344739.1</v>
      </c>
    </row>
    <row r="101" spans="1:9" ht="37.5" x14ac:dyDescent="0.25">
      <c r="A101" s="58" t="s">
        <v>167</v>
      </c>
      <c r="B101" s="77" t="s">
        <v>168</v>
      </c>
      <c r="C101" s="78" t="s">
        <v>52</v>
      </c>
      <c r="D101" s="62">
        <v>1</v>
      </c>
      <c r="E101" s="52">
        <v>231727.08333333334</v>
      </c>
      <c r="F101" s="53">
        <f t="shared" si="52"/>
        <v>231727.08333333334</v>
      </c>
      <c r="G101" s="47">
        <v>46345.416666666657</v>
      </c>
      <c r="H101" s="55">
        <f t="shared" si="53"/>
        <v>46345.416666666657</v>
      </c>
      <c r="I101" s="56">
        <f t="shared" si="54"/>
        <v>278072.5</v>
      </c>
    </row>
    <row r="102" spans="1:9" ht="37.5" x14ac:dyDescent="0.25">
      <c r="A102" s="58" t="s">
        <v>169</v>
      </c>
      <c r="B102" s="77" t="s">
        <v>170</v>
      </c>
      <c r="C102" s="78" t="s">
        <v>52</v>
      </c>
      <c r="D102" s="62">
        <v>1</v>
      </c>
      <c r="E102" s="52">
        <v>231727.08333333334</v>
      </c>
      <c r="F102" s="53">
        <f t="shared" si="52"/>
        <v>231727.08333333334</v>
      </c>
      <c r="G102" s="47">
        <v>46345.416666666657</v>
      </c>
      <c r="H102" s="55">
        <f t="shared" si="53"/>
        <v>46345.416666666657</v>
      </c>
      <c r="I102" s="56">
        <f t="shared" si="54"/>
        <v>278072.5</v>
      </c>
    </row>
    <row r="103" spans="1:9" ht="37.5" x14ac:dyDescent="0.25">
      <c r="A103" s="58" t="s">
        <v>171</v>
      </c>
      <c r="B103" s="77" t="s">
        <v>172</v>
      </c>
      <c r="C103" s="78" t="s">
        <v>52</v>
      </c>
      <c r="D103" s="62">
        <v>1</v>
      </c>
      <c r="E103" s="52">
        <v>231727.08333333334</v>
      </c>
      <c r="F103" s="53">
        <f t="shared" si="52"/>
        <v>231727.08333333334</v>
      </c>
      <c r="G103" s="47">
        <v>46345.416666666657</v>
      </c>
      <c r="H103" s="55">
        <f t="shared" si="53"/>
        <v>46345.416666666657</v>
      </c>
      <c r="I103" s="56">
        <f t="shared" si="54"/>
        <v>278072.5</v>
      </c>
    </row>
    <row r="104" spans="1:9" x14ac:dyDescent="0.25">
      <c r="A104" s="58" t="s">
        <v>173</v>
      </c>
      <c r="B104" s="77" t="s">
        <v>174</v>
      </c>
      <c r="C104" s="78" t="s">
        <v>52</v>
      </c>
      <c r="D104" s="62">
        <v>1</v>
      </c>
      <c r="E104" s="52">
        <v>231727.08333333334</v>
      </c>
      <c r="F104" s="53">
        <f t="shared" si="52"/>
        <v>231727.08333333334</v>
      </c>
      <c r="G104" s="47">
        <v>46345.416666666657</v>
      </c>
      <c r="H104" s="55">
        <f t="shared" si="53"/>
        <v>46345.416666666657</v>
      </c>
      <c r="I104" s="56">
        <f t="shared" si="54"/>
        <v>278072.5</v>
      </c>
    </row>
    <row r="105" spans="1:9" x14ac:dyDescent="0.25">
      <c r="A105" s="58" t="s">
        <v>175</v>
      </c>
      <c r="B105" s="77" t="s">
        <v>176</v>
      </c>
      <c r="C105" s="78" t="s">
        <v>52</v>
      </c>
      <c r="D105" s="62">
        <v>1</v>
      </c>
      <c r="E105" s="52">
        <v>231727.08333333334</v>
      </c>
      <c r="F105" s="53">
        <f t="shared" si="52"/>
        <v>231727.08333333334</v>
      </c>
      <c r="G105" s="47">
        <v>46345.416666666657</v>
      </c>
      <c r="H105" s="55">
        <f t="shared" si="53"/>
        <v>46345.416666666657</v>
      </c>
      <c r="I105" s="56">
        <f t="shared" si="54"/>
        <v>278072.5</v>
      </c>
    </row>
    <row r="106" spans="1:9" x14ac:dyDescent="0.25">
      <c r="A106" s="58" t="s">
        <v>177</v>
      </c>
      <c r="B106" s="77" t="s">
        <v>178</v>
      </c>
      <c r="C106" s="78" t="s">
        <v>52</v>
      </c>
      <c r="D106" s="62">
        <v>1</v>
      </c>
      <c r="E106" s="52">
        <v>231727.08333333334</v>
      </c>
      <c r="F106" s="53">
        <f t="shared" si="52"/>
        <v>231727.08333333334</v>
      </c>
      <c r="G106" s="47">
        <v>46345.416666666657</v>
      </c>
      <c r="H106" s="55">
        <f t="shared" si="53"/>
        <v>46345.416666666657</v>
      </c>
      <c r="I106" s="56">
        <f t="shared" si="54"/>
        <v>278072.5</v>
      </c>
    </row>
    <row r="107" spans="1:9" x14ac:dyDescent="0.25">
      <c r="A107" s="58" t="s">
        <v>179</v>
      </c>
      <c r="B107" s="77" t="s">
        <v>180</v>
      </c>
      <c r="C107" s="78" t="s">
        <v>52</v>
      </c>
      <c r="D107" s="62">
        <v>1</v>
      </c>
      <c r="E107" s="52">
        <v>231727.08333333334</v>
      </c>
      <c r="F107" s="53">
        <f t="shared" si="52"/>
        <v>231727.08333333334</v>
      </c>
      <c r="G107" s="47">
        <v>46345.416666666657</v>
      </c>
      <c r="H107" s="55">
        <f t="shared" si="53"/>
        <v>46345.416666666657</v>
      </c>
      <c r="I107" s="56">
        <f t="shared" si="54"/>
        <v>278072.5</v>
      </c>
    </row>
    <row r="108" spans="1:9" ht="37.5" x14ac:dyDescent="0.25">
      <c r="A108" s="58" t="s">
        <v>181</v>
      </c>
      <c r="B108" s="77" t="s">
        <v>182</v>
      </c>
      <c r="C108" s="78" t="s">
        <v>52</v>
      </c>
      <c r="D108" s="62">
        <v>1</v>
      </c>
      <c r="E108" s="52">
        <v>231727.08333333334</v>
      </c>
      <c r="F108" s="53">
        <f t="shared" si="52"/>
        <v>231727.08333333334</v>
      </c>
      <c r="G108" s="47">
        <v>46345.416666666657</v>
      </c>
      <c r="H108" s="55">
        <f t="shared" si="53"/>
        <v>46345.416666666657</v>
      </c>
      <c r="I108" s="56">
        <f t="shared" si="54"/>
        <v>278072.5</v>
      </c>
    </row>
    <row r="109" spans="1:9" ht="37.5" x14ac:dyDescent="0.25">
      <c r="A109" s="58" t="s">
        <v>183</v>
      </c>
      <c r="B109" s="77" t="s">
        <v>184</v>
      </c>
      <c r="C109" s="78" t="s">
        <v>52</v>
      </c>
      <c r="D109" s="62">
        <v>1</v>
      </c>
      <c r="E109" s="52">
        <v>231727.08333333334</v>
      </c>
      <c r="F109" s="53">
        <f t="shared" si="52"/>
        <v>231727.08333333334</v>
      </c>
      <c r="G109" s="47">
        <v>46345.416666666657</v>
      </c>
      <c r="H109" s="55">
        <f t="shared" si="53"/>
        <v>46345.416666666657</v>
      </c>
      <c r="I109" s="56">
        <f t="shared" si="54"/>
        <v>278072.5</v>
      </c>
    </row>
    <row r="110" spans="1:9" ht="37.5" x14ac:dyDescent="0.25">
      <c r="A110" s="58" t="s">
        <v>185</v>
      </c>
      <c r="B110" s="77" t="s">
        <v>186</v>
      </c>
      <c r="C110" s="78" t="s">
        <v>52</v>
      </c>
      <c r="D110" s="62">
        <v>1</v>
      </c>
      <c r="E110" s="52">
        <v>171218.09166666667</v>
      </c>
      <c r="F110" s="53">
        <f t="shared" si="52"/>
        <v>171218.09166666667</v>
      </c>
      <c r="G110" s="47">
        <v>34243.618333333317</v>
      </c>
      <c r="H110" s="55">
        <f t="shared" si="53"/>
        <v>34243.618333333317</v>
      </c>
      <c r="I110" s="56">
        <f t="shared" si="54"/>
        <v>205461.71</v>
      </c>
    </row>
    <row r="111" spans="1:9" ht="37.5" x14ac:dyDescent="0.25">
      <c r="A111" s="208">
        <v>2.2999999999999998</v>
      </c>
      <c r="B111" s="76" t="s">
        <v>187</v>
      </c>
      <c r="C111" s="78"/>
      <c r="D111" s="62"/>
      <c r="E111" s="52"/>
      <c r="F111" s="53"/>
      <c r="G111" s="52"/>
      <c r="H111" s="55"/>
      <c r="I111" s="56"/>
    </row>
    <row r="112" spans="1:9" ht="75" x14ac:dyDescent="0.25">
      <c r="A112" s="209"/>
      <c r="B112" s="77" t="s">
        <v>188</v>
      </c>
      <c r="C112" s="78"/>
      <c r="D112" s="62"/>
      <c r="E112" s="52"/>
      <c r="F112" s="53"/>
      <c r="G112" s="52"/>
      <c r="H112" s="55"/>
      <c r="I112" s="56"/>
    </row>
    <row r="113" spans="1:9" x14ac:dyDescent="0.25">
      <c r="A113" s="80" t="s">
        <v>189</v>
      </c>
      <c r="B113" s="77" t="s">
        <v>190</v>
      </c>
      <c r="C113" s="78" t="s">
        <v>30</v>
      </c>
      <c r="D113" s="62">
        <v>6</v>
      </c>
      <c r="E113" s="52"/>
      <c r="F113" s="53">
        <f t="shared" ref="F113:F116" si="55">D113*E113</f>
        <v>0</v>
      </c>
      <c r="G113" s="47">
        <v>3194.37</v>
      </c>
      <c r="H113" s="55">
        <f t="shared" ref="H113:H116" si="56">D113*G113</f>
        <v>19166.22</v>
      </c>
      <c r="I113" s="56">
        <f t="shared" ref="I113:I116" si="57">F113+H113</f>
        <v>19166.22</v>
      </c>
    </row>
    <row r="114" spans="1:9" x14ac:dyDescent="0.25">
      <c r="A114" s="80" t="s">
        <v>191</v>
      </c>
      <c r="B114" s="77" t="s">
        <v>192</v>
      </c>
      <c r="C114" s="78" t="s">
        <v>30</v>
      </c>
      <c r="D114" s="62">
        <v>6</v>
      </c>
      <c r="E114" s="52"/>
      <c r="F114" s="53">
        <f t="shared" si="55"/>
        <v>0</v>
      </c>
      <c r="G114" s="47">
        <v>3194.37</v>
      </c>
      <c r="H114" s="55">
        <f t="shared" si="56"/>
        <v>19166.22</v>
      </c>
      <c r="I114" s="56">
        <f t="shared" si="57"/>
        <v>19166.22</v>
      </c>
    </row>
    <row r="115" spans="1:9" x14ac:dyDescent="0.25">
      <c r="A115" s="80" t="s">
        <v>193</v>
      </c>
      <c r="B115" s="77" t="s">
        <v>194</v>
      </c>
      <c r="C115" s="78" t="s">
        <v>30</v>
      </c>
      <c r="D115" s="62">
        <v>1</v>
      </c>
      <c r="E115" s="52"/>
      <c r="F115" s="53">
        <f t="shared" si="55"/>
        <v>0</v>
      </c>
      <c r="G115" s="47">
        <v>3194.37</v>
      </c>
      <c r="H115" s="55">
        <f t="shared" si="56"/>
        <v>3194.37</v>
      </c>
      <c r="I115" s="56">
        <f t="shared" si="57"/>
        <v>3194.37</v>
      </c>
    </row>
    <row r="116" spans="1:9" ht="56.25" x14ac:dyDescent="0.25">
      <c r="A116" s="80" t="s">
        <v>195</v>
      </c>
      <c r="B116" s="77" t="s">
        <v>196</v>
      </c>
      <c r="C116" s="78" t="s">
        <v>52</v>
      </c>
      <c r="D116" s="62">
        <v>1</v>
      </c>
      <c r="E116" s="52"/>
      <c r="F116" s="53">
        <f t="shared" si="55"/>
        <v>0</v>
      </c>
      <c r="G116" s="47">
        <v>6388.73</v>
      </c>
      <c r="H116" s="55">
        <f t="shared" si="56"/>
        <v>6388.73</v>
      </c>
      <c r="I116" s="56">
        <f t="shared" si="57"/>
        <v>6388.73</v>
      </c>
    </row>
    <row r="117" spans="1:9" ht="37.5" customHeight="1" x14ac:dyDescent="0.25">
      <c r="A117" s="177" t="s">
        <v>197</v>
      </c>
      <c r="B117" s="178"/>
      <c r="C117" s="67"/>
      <c r="D117" s="67"/>
      <c r="E117" s="68"/>
      <c r="F117" s="69">
        <f>SUM(F90:F116)</f>
        <v>4554179.8666666681</v>
      </c>
      <c r="G117" s="68"/>
      <c r="H117" s="69">
        <f>SUM(H90:H116)</f>
        <v>1043644.7799999993</v>
      </c>
      <c r="I117" s="69">
        <f>SUM(I90:I116)</f>
        <v>5597824.6466666665</v>
      </c>
    </row>
    <row r="118" spans="1:9" ht="67.5" customHeight="1" x14ac:dyDescent="0.25">
      <c r="A118" s="33">
        <v>3</v>
      </c>
      <c r="B118" s="34" t="s">
        <v>198</v>
      </c>
      <c r="C118" s="70"/>
      <c r="D118" s="35"/>
      <c r="E118" s="71"/>
      <c r="F118" s="35"/>
      <c r="G118" s="72"/>
      <c r="H118" s="73"/>
      <c r="I118" s="74"/>
    </row>
    <row r="119" spans="1:9" ht="101.25" customHeight="1" x14ac:dyDescent="0.25">
      <c r="A119" s="42"/>
      <c r="B119" s="39" t="s">
        <v>199</v>
      </c>
      <c r="C119" s="59"/>
      <c r="D119" s="60"/>
      <c r="E119" s="45"/>
      <c r="F119" s="46"/>
      <c r="G119" s="47"/>
      <c r="H119" s="48"/>
      <c r="I119" s="49"/>
    </row>
    <row r="120" spans="1:9" ht="34.5" customHeight="1" x14ac:dyDescent="0.25">
      <c r="A120" s="42">
        <v>3.1</v>
      </c>
      <c r="B120" s="37" t="s">
        <v>200</v>
      </c>
      <c r="C120" s="59"/>
      <c r="D120" s="60"/>
      <c r="E120" s="45"/>
      <c r="F120" s="46"/>
      <c r="G120" s="47"/>
      <c r="H120" s="48"/>
      <c r="I120" s="49"/>
    </row>
    <row r="121" spans="1:9" ht="113.25" customHeight="1" x14ac:dyDescent="0.25">
      <c r="A121" s="42" t="s">
        <v>201</v>
      </c>
      <c r="B121" s="39" t="s">
        <v>202</v>
      </c>
      <c r="C121" s="59" t="s">
        <v>52</v>
      </c>
      <c r="D121" s="60">
        <v>1</v>
      </c>
      <c r="E121" s="45"/>
      <c r="F121" s="46">
        <f t="shared" ref="F121:F123" si="58">D121*E121</f>
        <v>0</v>
      </c>
      <c r="G121" s="47">
        <v>490527.07</v>
      </c>
      <c r="H121" s="48">
        <f t="shared" ref="H121:H123" si="59">D121*G121</f>
        <v>490527.07</v>
      </c>
      <c r="I121" s="49">
        <f t="shared" ref="I121:I123" si="60">F121+H121</f>
        <v>490527.07</v>
      </c>
    </row>
    <row r="122" spans="1:9" ht="37.5" x14ac:dyDescent="0.25">
      <c r="A122" s="42" t="s">
        <v>203</v>
      </c>
      <c r="B122" s="39" t="s">
        <v>204</v>
      </c>
      <c r="C122" s="59" t="s">
        <v>52</v>
      </c>
      <c r="D122" s="60">
        <v>1</v>
      </c>
      <c r="E122" s="45"/>
      <c r="F122" s="46">
        <f t="shared" si="58"/>
        <v>0</v>
      </c>
      <c r="G122" s="47">
        <v>63887.35</v>
      </c>
      <c r="H122" s="48">
        <f t="shared" si="59"/>
        <v>63887.35</v>
      </c>
      <c r="I122" s="49">
        <f t="shared" si="60"/>
        <v>63887.35</v>
      </c>
    </row>
    <row r="123" spans="1:9" ht="37.5" x14ac:dyDescent="0.25">
      <c r="A123" s="42" t="s">
        <v>205</v>
      </c>
      <c r="B123" s="39" t="s">
        <v>206</v>
      </c>
      <c r="C123" s="59" t="s">
        <v>52</v>
      </c>
      <c r="D123" s="60">
        <v>1</v>
      </c>
      <c r="E123" s="45"/>
      <c r="F123" s="46">
        <f t="shared" si="58"/>
        <v>0</v>
      </c>
      <c r="G123" s="47">
        <v>63887.35</v>
      </c>
      <c r="H123" s="48">
        <f t="shared" si="59"/>
        <v>63887.35</v>
      </c>
      <c r="I123" s="49">
        <f t="shared" si="60"/>
        <v>63887.35</v>
      </c>
    </row>
    <row r="124" spans="1:9" ht="34.5" customHeight="1" x14ac:dyDescent="0.25">
      <c r="A124" s="61">
        <v>3.2</v>
      </c>
      <c r="B124" s="37" t="s">
        <v>207</v>
      </c>
      <c r="C124" s="59"/>
      <c r="D124" s="60"/>
      <c r="E124" s="45"/>
      <c r="F124" s="46"/>
      <c r="G124" s="47"/>
      <c r="H124" s="48"/>
      <c r="I124" s="49"/>
    </row>
    <row r="125" spans="1:9" ht="55.5" customHeight="1" x14ac:dyDescent="0.25">
      <c r="A125" s="61" t="s">
        <v>208</v>
      </c>
      <c r="B125" s="39" t="s">
        <v>209</v>
      </c>
      <c r="C125" s="59" t="s">
        <v>52</v>
      </c>
      <c r="D125" s="60">
        <v>1</v>
      </c>
      <c r="E125" s="45"/>
      <c r="F125" s="46">
        <f t="shared" ref="F125:F127" si="61">D125*E125</f>
        <v>0</v>
      </c>
      <c r="G125" s="47">
        <v>357769.15</v>
      </c>
      <c r="H125" s="48">
        <f>D125*G125</f>
        <v>357769.15</v>
      </c>
      <c r="I125" s="49">
        <f>F125+H125</f>
        <v>357769.15</v>
      </c>
    </row>
    <row r="126" spans="1:9" ht="50.25" customHeight="1" x14ac:dyDescent="0.25">
      <c r="A126" s="61" t="s">
        <v>210</v>
      </c>
      <c r="B126" s="39" t="s">
        <v>211</v>
      </c>
      <c r="C126" s="59" t="s">
        <v>52</v>
      </c>
      <c r="D126" s="60">
        <v>1</v>
      </c>
      <c r="E126" s="45"/>
      <c r="F126" s="46">
        <f t="shared" si="61"/>
        <v>0</v>
      </c>
      <c r="G126" s="47">
        <v>664453.98</v>
      </c>
      <c r="H126" s="48">
        <f t="shared" ref="H126:H127" si="62">D126*G126</f>
        <v>664453.98</v>
      </c>
      <c r="I126" s="49">
        <f t="shared" ref="I126:I127" si="63">F126+H126</f>
        <v>664453.98</v>
      </c>
    </row>
    <row r="127" spans="1:9" ht="40.5" customHeight="1" x14ac:dyDescent="0.25">
      <c r="A127" s="61" t="s">
        <v>212</v>
      </c>
      <c r="B127" s="39" t="s">
        <v>213</v>
      </c>
      <c r="C127" s="59" t="s">
        <v>52</v>
      </c>
      <c r="D127" s="60">
        <v>1</v>
      </c>
      <c r="E127" s="45"/>
      <c r="F127" s="46">
        <f t="shared" si="61"/>
        <v>0</v>
      </c>
      <c r="G127" s="47">
        <v>357769.15</v>
      </c>
      <c r="H127" s="48">
        <f t="shared" si="62"/>
        <v>357769.15</v>
      </c>
      <c r="I127" s="49">
        <f t="shared" si="63"/>
        <v>357769.15</v>
      </c>
    </row>
    <row r="128" spans="1:9" ht="34.5" customHeight="1" x14ac:dyDescent="0.25">
      <c r="A128" s="210">
        <v>3.3</v>
      </c>
      <c r="B128" s="37" t="s">
        <v>214</v>
      </c>
      <c r="C128" s="59"/>
      <c r="D128" s="60"/>
      <c r="E128" s="45"/>
      <c r="F128" s="46"/>
      <c r="G128" s="47"/>
      <c r="H128" s="48"/>
      <c r="I128" s="49"/>
    </row>
    <row r="129" spans="1:9" ht="201" customHeight="1" x14ac:dyDescent="0.25">
      <c r="A129" s="211"/>
      <c r="B129" s="39" t="s">
        <v>215</v>
      </c>
      <c r="C129" s="59" t="s">
        <v>52</v>
      </c>
      <c r="D129" s="60">
        <v>1</v>
      </c>
      <c r="E129" s="45"/>
      <c r="F129" s="46">
        <f t="shared" ref="F129" si="64">D129*E129</f>
        <v>0</v>
      </c>
      <c r="G129" s="47">
        <v>9601133.3100000005</v>
      </c>
      <c r="H129" s="81">
        <f>D129*G129</f>
        <v>9601133.3100000005</v>
      </c>
      <c r="I129" s="82">
        <f>F129+H129</f>
        <v>9601133.3100000005</v>
      </c>
    </row>
    <row r="130" spans="1:9" ht="37.5" x14ac:dyDescent="0.25">
      <c r="A130" s="61" t="s">
        <v>216</v>
      </c>
      <c r="B130" s="39" t="s">
        <v>217</v>
      </c>
      <c r="C130" s="59" t="s">
        <v>52</v>
      </c>
      <c r="D130" s="60">
        <v>1</v>
      </c>
      <c r="E130" s="184" t="s">
        <v>218</v>
      </c>
      <c r="F130" s="196"/>
      <c r="G130" s="199"/>
      <c r="H130" s="202"/>
      <c r="I130" s="205"/>
    </row>
    <row r="131" spans="1:9" ht="34.5" customHeight="1" x14ac:dyDescent="0.25">
      <c r="A131" s="61" t="s">
        <v>219</v>
      </c>
      <c r="B131" s="39" t="s">
        <v>220</v>
      </c>
      <c r="C131" s="59" t="s">
        <v>52</v>
      </c>
      <c r="D131" s="60">
        <v>1</v>
      </c>
      <c r="E131" s="185"/>
      <c r="F131" s="197"/>
      <c r="G131" s="200"/>
      <c r="H131" s="203"/>
      <c r="I131" s="206"/>
    </row>
    <row r="132" spans="1:9" ht="37.5" x14ac:dyDescent="0.25">
      <c r="A132" s="61" t="s">
        <v>221</v>
      </c>
      <c r="B132" s="39" t="s">
        <v>222</v>
      </c>
      <c r="C132" s="59" t="s">
        <v>52</v>
      </c>
      <c r="D132" s="60">
        <v>1</v>
      </c>
      <c r="E132" s="185"/>
      <c r="F132" s="197"/>
      <c r="G132" s="200"/>
      <c r="H132" s="203"/>
      <c r="I132" s="206"/>
    </row>
    <row r="133" spans="1:9" ht="34.5" customHeight="1" x14ac:dyDescent="0.25">
      <c r="A133" s="61" t="s">
        <v>223</v>
      </c>
      <c r="B133" s="39" t="s">
        <v>224</v>
      </c>
      <c r="C133" s="59" t="s">
        <v>52</v>
      </c>
      <c r="D133" s="60">
        <v>1</v>
      </c>
      <c r="E133" s="185"/>
      <c r="F133" s="197"/>
      <c r="G133" s="200"/>
      <c r="H133" s="203"/>
      <c r="I133" s="206"/>
    </row>
    <row r="134" spans="1:9" ht="71.25" customHeight="1" x14ac:dyDescent="0.25">
      <c r="A134" s="61" t="s">
        <v>225</v>
      </c>
      <c r="B134" s="39" t="s">
        <v>226</v>
      </c>
      <c r="C134" s="59" t="s">
        <v>52</v>
      </c>
      <c r="D134" s="60">
        <v>1</v>
      </c>
      <c r="E134" s="185"/>
      <c r="F134" s="197"/>
      <c r="G134" s="200"/>
      <c r="H134" s="203"/>
      <c r="I134" s="206"/>
    </row>
    <row r="135" spans="1:9" ht="34.5" customHeight="1" x14ac:dyDescent="0.25">
      <c r="A135" s="61" t="s">
        <v>227</v>
      </c>
      <c r="B135" s="39" t="s">
        <v>228</v>
      </c>
      <c r="C135" s="59" t="s">
        <v>52</v>
      </c>
      <c r="D135" s="60">
        <v>1</v>
      </c>
      <c r="E135" s="185"/>
      <c r="F135" s="197"/>
      <c r="G135" s="200"/>
      <c r="H135" s="203"/>
      <c r="I135" s="206"/>
    </row>
    <row r="136" spans="1:9" ht="38.25" customHeight="1" x14ac:dyDescent="0.25">
      <c r="A136" s="61" t="s">
        <v>229</v>
      </c>
      <c r="B136" s="39" t="s">
        <v>230</v>
      </c>
      <c r="C136" s="59" t="s">
        <v>52</v>
      </c>
      <c r="D136" s="60">
        <v>1</v>
      </c>
      <c r="E136" s="185"/>
      <c r="F136" s="197"/>
      <c r="G136" s="200"/>
      <c r="H136" s="203"/>
      <c r="I136" s="206"/>
    </row>
    <row r="137" spans="1:9" ht="40.5" customHeight="1" x14ac:dyDescent="0.25">
      <c r="A137" s="61" t="s">
        <v>231</v>
      </c>
      <c r="B137" s="39" t="s">
        <v>232</v>
      </c>
      <c r="C137" s="59" t="s">
        <v>52</v>
      </c>
      <c r="D137" s="60">
        <v>1</v>
      </c>
      <c r="E137" s="186"/>
      <c r="F137" s="198"/>
      <c r="G137" s="201"/>
      <c r="H137" s="204"/>
      <c r="I137" s="207"/>
    </row>
    <row r="138" spans="1:9" ht="34.5" customHeight="1" x14ac:dyDescent="0.25">
      <c r="A138" s="61">
        <v>3.4</v>
      </c>
      <c r="B138" s="37" t="s">
        <v>233</v>
      </c>
      <c r="C138" s="59" t="s">
        <v>52</v>
      </c>
      <c r="D138" s="60">
        <v>1</v>
      </c>
      <c r="E138" s="45"/>
      <c r="F138" s="46">
        <f t="shared" ref="F138" si="65">D138*E138</f>
        <v>0</v>
      </c>
      <c r="G138" s="47">
        <v>638132.4</v>
      </c>
      <c r="H138" s="81">
        <f t="shared" ref="H138" si="66">D138*G138</f>
        <v>638132.4</v>
      </c>
      <c r="I138" s="82">
        <f t="shared" ref="I138" si="67">F138+H138</f>
        <v>638132.4</v>
      </c>
    </row>
    <row r="139" spans="1:9" ht="37.5" x14ac:dyDescent="0.25">
      <c r="A139" s="61" t="s">
        <v>234</v>
      </c>
      <c r="B139" s="39" t="s">
        <v>235</v>
      </c>
      <c r="C139" s="59" t="s">
        <v>52</v>
      </c>
      <c r="D139" s="60">
        <v>1</v>
      </c>
      <c r="E139" s="196" t="s">
        <v>236</v>
      </c>
      <c r="F139" s="196"/>
      <c r="G139" s="199"/>
      <c r="H139" s="202"/>
      <c r="I139" s="205"/>
    </row>
    <row r="140" spans="1:9" ht="30" customHeight="1" x14ac:dyDescent="0.25">
      <c r="A140" s="61" t="s">
        <v>237</v>
      </c>
      <c r="B140" s="39" t="s">
        <v>238</v>
      </c>
      <c r="C140" s="59" t="s">
        <v>52</v>
      </c>
      <c r="D140" s="60">
        <v>1</v>
      </c>
      <c r="E140" s="197"/>
      <c r="F140" s="197"/>
      <c r="G140" s="200"/>
      <c r="H140" s="203"/>
      <c r="I140" s="206"/>
    </row>
    <row r="141" spans="1:9" ht="37.5" x14ac:dyDescent="0.25">
      <c r="A141" s="61" t="s">
        <v>239</v>
      </c>
      <c r="B141" s="39" t="s">
        <v>240</v>
      </c>
      <c r="C141" s="59" t="s">
        <v>52</v>
      </c>
      <c r="D141" s="60">
        <v>1</v>
      </c>
      <c r="E141" s="197"/>
      <c r="F141" s="197"/>
      <c r="G141" s="200"/>
      <c r="H141" s="203"/>
      <c r="I141" s="206"/>
    </row>
    <row r="142" spans="1:9" ht="34.5" customHeight="1" x14ac:dyDescent="0.25">
      <c r="A142" s="61" t="s">
        <v>241</v>
      </c>
      <c r="B142" s="39" t="s">
        <v>242</v>
      </c>
      <c r="C142" s="59" t="s">
        <v>52</v>
      </c>
      <c r="D142" s="60">
        <v>1</v>
      </c>
      <c r="E142" s="198"/>
      <c r="F142" s="198"/>
      <c r="G142" s="201"/>
      <c r="H142" s="204"/>
      <c r="I142" s="207"/>
    </row>
    <row r="143" spans="1:9" ht="34.5" customHeight="1" x14ac:dyDescent="0.25">
      <c r="A143" s="61">
        <v>3.5</v>
      </c>
      <c r="B143" s="37" t="s">
        <v>243</v>
      </c>
      <c r="C143" s="59" t="s">
        <v>52</v>
      </c>
      <c r="D143" s="60">
        <v>1</v>
      </c>
      <c r="E143" s="45"/>
      <c r="F143" s="46">
        <f t="shared" ref="F143" si="68">D143*E143</f>
        <v>0</v>
      </c>
      <c r="G143" s="47">
        <v>26704.91</v>
      </c>
      <c r="H143" s="81">
        <f t="shared" ref="H143" si="69">D143*G143</f>
        <v>26704.91</v>
      </c>
      <c r="I143" s="82">
        <f t="shared" ref="I143" si="70">F143+H143</f>
        <v>26704.91</v>
      </c>
    </row>
    <row r="144" spans="1:9" ht="37.5" x14ac:dyDescent="0.25">
      <c r="A144" s="61" t="s">
        <v>244</v>
      </c>
      <c r="B144" s="39" t="s">
        <v>245</v>
      </c>
      <c r="C144" s="59" t="s">
        <v>52</v>
      </c>
      <c r="D144" s="60">
        <v>1</v>
      </c>
      <c r="E144" s="196" t="s">
        <v>246</v>
      </c>
      <c r="F144" s="196"/>
      <c r="G144" s="199"/>
      <c r="H144" s="202"/>
      <c r="I144" s="205"/>
    </row>
    <row r="145" spans="1:9" ht="34.5" customHeight="1" x14ac:dyDescent="0.25">
      <c r="A145" s="61" t="s">
        <v>247</v>
      </c>
      <c r="B145" s="39" t="s">
        <v>238</v>
      </c>
      <c r="C145" s="59" t="s">
        <v>52</v>
      </c>
      <c r="D145" s="60">
        <v>1</v>
      </c>
      <c r="E145" s="197"/>
      <c r="F145" s="197"/>
      <c r="G145" s="200"/>
      <c r="H145" s="203"/>
      <c r="I145" s="206"/>
    </row>
    <row r="146" spans="1:9" ht="37.5" x14ac:dyDescent="0.25">
      <c r="A146" s="61" t="s">
        <v>248</v>
      </c>
      <c r="B146" s="39" t="s">
        <v>240</v>
      </c>
      <c r="C146" s="59" t="s">
        <v>52</v>
      </c>
      <c r="D146" s="60">
        <v>1</v>
      </c>
      <c r="E146" s="197"/>
      <c r="F146" s="197"/>
      <c r="G146" s="200"/>
      <c r="H146" s="203"/>
      <c r="I146" s="206"/>
    </row>
    <row r="147" spans="1:9" ht="34.5" customHeight="1" x14ac:dyDescent="0.25">
      <c r="A147" s="61" t="s">
        <v>249</v>
      </c>
      <c r="B147" s="39" t="s">
        <v>242</v>
      </c>
      <c r="C147" s="59" t="s">
        <v>52</v>
      </c>
      <c r="D147" s="60">
        <v>1</v>
      </c>
      <c r="E147" s="198"/>
      <c r="F147" s="198"/>
      <c r="G147" s="201"/>
      <c r="H147" s="204"/>
      <c r="I147" s="207"/>
    </row>
    <row r="148" spans="1:9" ht="34.5" customHeight="1" x14ac:dyDescent="0.25">
      <c r="A148" s="61">
        <v>3.6</v>
      </c>
      <c r="B148" s="37" t="s">
        <v>250</v>
      </c>
      <c r="C148" s="59" t="s">
        <v>52</v>
      </c>
      <c r="D148" s="60">
        <v>1</v>
      </c>
      <c r="E148" s="45"/>
      <c r="F148" s="46">
        <f t="shared" ref="F148" si="71">D148*E148</f>
        <v>0</v>
      </c>
      <c r="G148" s="47">
        <v>36224.129999999997</v>
      </c>
      <c r="H148" s="81">
        <f t="shared" ref="H148" si="72">D148*G148</f>
        <v>36224.129999999997</v>
      </c>
      <c r="I148" s="82">
        <f t="shared" ref="I148" si="73">F148+H148</f>
        <v>36224.129999999997</v>
      </c>
    </row>
    <row r="149" spans="1:9" ht="34.5" customHeight="1" x14ac:dyDescent="0.25">
      <c r="A149" s="61" t="s">
        <v>251</v>
      </c>
      <c r="B149" s="39" t="s">
        <v>245</v>
      </c>
      <c r="C149" s="59" t="s">
        <v>52</v>
      </c>
      <c r="D149" s="60">
        <v>1</v>
      </c>
      <c r="E149" s="196" t="s">
        <v>252</v>
      </c>
      <c r="F149" s="196"/>
      <c r="G149" s="199"/>
      <c r="H149" s="202"/>
      <c r="I149" s="205"/>
    </row>
    <row r="150" spans="1:9" ht="34.5" customHeight="1" x14ac:dyDescent="0.25">
      <c r="A150" s="61" t="s">
        <v>253</v>
      </c>
      <c r="B150" s="39" t="s">
        <v>254</v>
      </c>
      <c r="C150" s="59" t="s">
        <v>52</v>
      </c>
      <c r="D150" s="60">
        <v>1</v>
      </c>
      <c r="E150" s="197"/>
      <c r="F150" s="197"/>
      <c r="G150" s="200"/>
      <c r="H150" s="203"/>
      <c r="I150" s="206"/>
    </row>
    <row r="151" spans="1:9" ht="34.5" customHeight="1" x14ac:dyDescent="0.25">
      <c r="A151" s="61" t="s">
        <v>255</v>
      </c>
      <c r="B151" s="39" t="s">
        <v>256</v>
      </c>
      <c r="C151" s="59" t="s">
        <v>52</v>
      </c>
      <c r="D151" s="60">
        <v>1</v>
      </c>
      <c r="E151" s="197"/>
      <c r="F151" s="197"/>
      <c r="G151" s="200"/>
      <c r="H151" s="203"/>
      <c r="I151" s="206"/>
    </row>
    <row r="152" spans="1:9" ht="34.5" customHeight="1" x14ac:dyDescent="0.25">
      <c r="A152" s="61" t="s">
        <v>257</v>
      </c>
      <c r="B152" s="39" t="s">
        <v>258</v>
      </c>
      <c r="C152" s="59" t="s">
        <v>52</v>
      </c>
      <c r="D152" s="60">
        <v>1</v>
      </c>
      <c r="E152" s="198"/>
      <c r="F152" s="198"/>
      <c r="G152" s="201"/>
      <c r="H152" s="204"/>
      <c r="I152" s="207"/>
    </row>
    <row r="153" spans="1:9" ht="34.5" customHeight="1" x14ac:dyDescent="0.25">
      <c r="A153" s="84">
        <v>3.7</v>
      </c>
      <c r="B153" s="37" t="s">
        <v>259</v>
      </c>
      <c r="C153" s="59" t="s">
        <v>52</v>
      </c>
      <c r="D153" s="60">
        <v>1</v>
      </c>
      <c r="E153" s="45"/>
      <c r="F153" s="46">
        <f t="shared" ref="F153" si="74">D153*E153</f>
        <v>0</v>
      </c>
      <c r="G153" s="47">
        <v>132304.31</v>
      </c>
      <c r="H153" s="81">
        <f t="shared" ref="H153" si="75">D153*G153</f>
        <v>132304.31</v>
      </c>
      <c r="I153" s="82">
        <f t="shared" ref="I153" si="76">F153+H153</f>
        <v>132304.31</v>
      </c>
    </row>
    <row r="154" spans="1:9" ht="47.25" customHeight="1" x14ac:dyDescent="0.25">
      <c r="A154" s="84" t="s">
        <v>260</v>
      </c>
      <c r="B154" s="39" t="s">
        <v>261</v>
      </c>
      <c r="C154" s="59" t="s">
        <v>52</v>
      </c>
      <c r="D154" s="60">
        <v>1</v>
      </c>
      <c r="E154" s="196" t="s">
        <v>262</v>
      </c>
      <c r="F154" s="196"/>
      <c r="G154" s="199"/>
      <c r="H154" s="202"/>
      <c r="I154" s="205"/>
    </row>
    <row r="155" spans="1:9" ht="47.25" customHeight="1" x14ac:dyDescent="0.25">
      <c r="A155" s="84" t="s">
        <v>263</v>
      </c>
      <c r="B155" s="39" t="s">
        <v>264</v>
      </c>
      <c r="C155" s="59" t="s">
        <v>52</v>
      </c>
      <c r="D155" s="60">
        <v>1</v>
      </c>
      <c r="E155" s="197"/>
      <c r="F155" s="197"/>
      <c r="G155" s="200"/>
      <c r="H155" s="203"/>
      <c r="I155" s="206"/>
    </row>
    <row r="156" spans="1:9" ht="36.75" customHeight="1" x14ac:dyDescent="0.25">
      <c r="A156" s="84" t="s">
        <v>265</v>
      </c>
      <c r="B156" s="39" t="s">
        <v>266</v>
      </c>
      <c r="C156" s="59" t="s">
        <v>52</v>
      </c>
      <c r="D156" s="60">
        <v>1</v>
      </c>
      <c r="E156" s="198"/>
      <c r="F156" s="198"/>
      <c r="G156" s="201"/>
      <c r="H156" s="204"/>
      <c r="I156" s="207"/>
    </row>
    <row r="157" spans="1:9" ht="34.5" customHeight="1" x14ac:dyDescent="0.25">
      <c r="A157" s="84">
        <v>3.8</v>
      </c>
      <c r="B157" s="37" t="s">
        <v>267</v>
      </c>
      <c r="C157" s="59" t="s">
        <v>52</v>
      </c>
      <c r="D157" s="60">
        <v>1</v>
      </c>
      <c r="E157" s="45"/>
      <c r="F157" s="46">
        <f t="shared" ref="F157" si="77">D157*E157</f>
        <v>0</v>
      </c>
      <c r="G157" s="47">
        <v>268326.87</v>
      </c>
      <c r="H157" s="81">
        <f t="shared" ref="H157" si="78">D157*G157</f>
        <v>268326.87</v>
      </c>
      <c r="I157" s="82">
        <f t="shared" ref="I157" si="79">F157+H157</f>
        <v>268326.87</v>
      </c>
    </row>
    <row r="158" spans="1:9" ht="39.75" customHeight="1" x14ac:dyDescent="0.25">
      <c r="A158" s="84" t="s">
        <v>268</v>
      </c>
      <c r="B158" s="39" t="s">
        <v>269</v>
      </c>
      <c r="C158" s="59" t="s">
        <v>52</v>
      </c>
      <c r="D158" s="60">
        <v>1</v>
      </c>
      <c r="E158" s="196" t="s">
        <v>270</v>
      </c>
      <c r="F158" s="196"/>
      <c r="G158" s="199"/>
      <c r="H158" s="202"/>
      <c r="I158" s="205"/>
    </row>
    <row r="159" spans="1:9" ht="34.5" customHeight="1" x14ac:dyDescent="0.25">
      <c r="A159" s="84" t="s">
        <v>271</v>
      </c>
      <c r="B159" s="39" t="s">
        <v>272</v>
      </c>
      <c r="C159" s="59" t="s">
        <v>52</v>
      </c>
      <c r="D159" s="60">
        <v>1</v>
      </c>
      <c r="E159" s="197"/>
      <c r="F159" s="197"/>
      <c r="G159" s="200"/>
      <c r="H159" s="203"/>
      <c r="I159" s="206"/>
    </row>
    <row r="160" spans="1:9" ht="34.5" customHeight="1" x14ac:dyDescent="0.25">
      <c r="A160" s="84" t="s">
        <v>273</v>
      </c>
      <c r="B160" s="39" t="s">
        <v>274</v>
      </c>
      <c r="C160" s="59" t="s">
        <v>52</v>
      </c>
      <c r="D160" s="60">
        <v>1</v>
      </c>
      <c r="E160" s="198"/>
      <c r="F160" s="198"/>
      <c r="G160" s="201"/>
      <c r="H160" s="204"/>
      <c r="I160" s="207"/>
    </row>
    <row r="161" spans="1:9" ht="34.5" customHeight="1" x14ac:dyDescent="0.25">
      <c r="A161" s="84">
        <v>3.9</v>
      </c>
      <c r="B161" s="37" t="s">
        <v>275</v>
      </c>
      <c r="C161" s="59" t="s">
        <v>52</v>
      </c>
      <c r="D161" s="60">
        <v>1</v>
      </c>
      <c r="E161" s="45"/>
      <c r="F161" s="46">
        <f t="shared" ref="F161" si="80">D161*E161</f>
        <v>0</v>
      </c>
      <c r="G161" s="47">
        <v>762533.84</v>
      </c>
      <c r="H161" s="81">
        <f t="shared" ref="H161" si="81">D161*G161</f>
        <v>762533.84</v>
      </c>
      <c r="I161" s="82">
        <f t="shared" ref="I161" si="82">F161+H161</f>
        <v>762533.84</v>
      </c>
    </row>
    <row r="162" spans="1:9" ht="48" customHeight="1" x14ac:dyDescent="0.25">
      <c r="A162" s="84" t="s">
        <v>276</v>
      </c>
      <c r="B162" s="39" t="s">
        <v>277</v>
      </c>
      <c r="C162" s="59" t="s">
        <v>52</v>
      </c>
      <c r="D162" s="60">
        <v>1</v>
      </c>
      <c r="E162" s="196" t="s">
        <v>278</v>
      </c>
      <c r="F162" s="196"/>
      <c r="G162" s="199"/>
      <c r="H162" s="202"/>
      <c r="I162" s="205"/>
    </row>
    <row r="163" spans="1:9" ht="34.5" customHeight="1" x14ac:dyDescent="0.25">
      <c r="A163" s="84" t="s">
        <v>279</v>
      </c>
      <c r="B163" s="39" t="s">
        <v>280</v>
      </c>
      <c r="C163" s="59" t="s">
        <v>52</v>
      </c>
      <c r="D163" s="60">
        <v>1</v>
      </c>
      <c r="E163" s="197"/>
      <c r="F163" s="197"/>
      <c r="G163" s="200"/>
      <c r="H163" s="203"/>
      <c r="I163" s="206"/>
    </row>
    <row r="164" spans="1:9" ht="34.5" customHeight="1" x14ac:dyDescent="0.25">
      <c r="A164" s="84" t="s">
        <v>281</v>
      </c>
      <c r="B164" s="39" t="s">
        <v>282</v>
      </c>
      <c r="C164" s="59" t="s">
        <v>52</v>
      </c>
      <c r="D164" s="60">
        <v>1</v>
      </c>
      <c r="E164" s="198"/>
      <c r="F164" s="198"/>
      <c r="G164" s="201"/>
      <c r="H164" s="204"/>
      <c r="I164" s="207"/>
    </row>
    <row r="165" spans="1:9" ht="34.5" customHeight="1" x14ac:dyDescent="0.25">
      <c r="A165" s="85">
        <v>3.1</v>
      </c>
      <c r="B165" s="37" t="s">
        <v>283</v>
      </c>
      <c r="C165" s="59"/>
      <c r="D165" s="60"/>
      <c r="E165" s="45"/>
      <c r="F165" s="46"/>
      <c r="G165" s="83"/>
      <c r="H165" s="81"/>
      <c r="I165" s="82"/>
    </row>
    <row r="166" spans="1:9" ht="54" customHeight="1" x14ac:dyDescent="0.25">
      <c r="A166" s="85" t="s">
        <v>284</v>
      </c>
      <c r="B166" s="39" t="s">
        <v>285</v>
      </c>
      <c r="C166" s="59" t="s">
        <v>286</v>
      </c>
      <c r="D166" s="60">
        <v>20</v>
      </c>
      <c r="E166" s="45"/>
      <c r="F166" s="46">
        <f t="shared" ref="F166:F168" si="83">D166*E166</f>
        <v>0</v>
      </c>
      <c r="G166" s="47">
        <v>13617.59</v>
      </c>
      <c r="H166" s="81">
        <f t="shared" ref="H166:H168" si="84">D166*G166</f>
        <v>272351.8</v>
      </c>
      <c r="I166" s="82">
        <f t="shared" ref="I166:I168" si="85">F166+H166</f>
        <v>272351.8</v>
      </c>
    </row>
    <row r="167" spans="1:9" ht="54" customHeight="1" x14ac:dyDescent="0.25">
      <c r="A167" s="85" t="s">
        <v>287</v>
      </c>
      <c r="B167" s="39" t="s">
        <v>288</v>
      </c>
      <c r="C167" s="59" t="s">
        <v>52</v>
      </c>
      <c r="D167" s="60">
        <v>1</v>
      </c>
      <c r="E167" s="45"/>
      <c r="F167" s="46">
        <f t="shared" si="83"/>
        <v>0</v>
      </c>
      <c r="G167" s="47">
        <v>179166.07</v>
      </c>
      <c r="H167" s="81">
        <f t="shared" si="84"/>
        <v>179166.07</v>
      </c>
      <c r="I167" s="82">
        <f t="shared" si="85"/>
        <v>179166.07</v>
      </c>
    </row>
    <row r="168" spans="1:9" ht="34.5" customHeight="1" x14ac:dyDescent="0.25">
      <c r="A168" s="85">
        <v>3.11</v>
      </c>
      <c r="B168" s="37" t="s">
        <v>289</v>
      </c>
      <c r="C168" s="59" t="s">
        <v>52</v>
      </c>
      <c r="D168" s="60">
        <v>1</v>
      </c>
      <c r="E168" s="45"/>
      <c r="F168" s="46">
        <f t="shared" si="83"/>
        <v>0</v>
      </c>
      <c r="G168" s="47">
        <v>210828.25</v>
      </c>
      <c r="H168" s="81">
        <f t="shared" si="84"/>
        <v>210828.25</v>
      </c>
      <c r="I168" s="82">
        <f t="shared" si="85"/>
        <v>210828.25</v>
      </c>
    </row>
    <row r="169" spans="1:9" ht="34.5" customHeight="1" x14ac:dyDescent="0.25">
      <c r="A169" s="85" t="s">
        <v>290</v>
      </c>
      <c r="B169" s="39" t="s">
        <v>291</v>
      </c>
      <c r="C169" s="59" t="s">
        <v>52</v>
      </c>
      <c r="D169" s="60">
        <v>1</v>
      </c>
      <c r="E169" s="196" t="s">
        <v>292</v>
      </c>
      <c r="F169" s="196"/>
      <c r="G169" s="199"/>
      <c r="H169" s="202"/>
      <c r="I169" s="205"/>
    </row>
    <row r="170" spans="1:9" ht="34.5" customHeight="1" x14ac:dyDescent="0.25">
      <c r="A170" s="85" t="s">
        <v>293</v>
      </c>
      <c r="B170" s="39" t="s">
        <v>294</v>
      </c>
      <c r="C170" s="59" t="s">
        <v>52</v>
      </c>
      <c r="D170" s="60">
        <v>1</v>
      </c>
      <c r="E170" s="197"/>
      <c r="F170" s="197"/>
      <c r="G170" s="200"/>
      <c r="H170" s="203"/>
      <c r="I170" s="206"/>
    </row>
    <row r="171" spans="1:9" ht="34.5" customHeight="1" x14ac:dyDescent="0.25">
      <c r="A171" s="85" t="s">
        <v>295</v>
      </c>
      <c r="B171" s="39" t="s">
        <v>296</v>
      </c>
      <c r="C171" s="59" t="s">
        <v>52</v>
      </c>
      <c r="D171" s="60">
        <v>1</v>
      </c>
      <c r="E171" s="198"/>
      <c r="F171" s="198"/>
      <c r="G171" s="201"/>
      <c r="H171" s="204"/>
      <c r="I171" s="207"/>
    </row>
    <row r="172" spans="1:9" ht="34.5" customHeight="1" x14ac:dyDescent="0.25">
      <c r="A172" s="85" t="s">
        <v>297</v>
      </c>
      <c r="B172" s="39" t="s">
        <v>298</v>
      </c>
      <c r="C172" s="59" t="s">
        <v>52</v>
      </c>
      <c r="D172" s="60">
        <v>1</v>
      </c>
      <c r="E172" s="45"/>
      <c r="F172" s="46">
        <f t="shared" ref="F172:F173" si="86">D172*E172</f>
        <v>0</v>
      </c>
      <c r="G172" s="47">
        <v>7000</v>
      </c>
      <c r="H172" s="81">
        <f t="shared" ref="H172:H173" si="87">D172*G172</f>
        <v>7000</v>
      </c>
      <c r="I172" s="82">
        <f t="shared" ref="I172:I173" si="88">F172+H172</f>
        <v>7000</v>
      </c>
    </row>
    <row r="173" spans="1:9" ht="34.5" customHeight="1" x14ac:dyDescent="0.25">
      <c r="A173" s="85">
        <v>3.12</v>
      </c>
      <c r="B173" s="37" t="s">
        <v>299</v>
      </c>
      <c r="C173" s="59" t="s">
        <v>52</v>
      </c>
      <c r="D173" s="60">
        <v>1</v>
      </c>
      <c r="E173" s="45"/>
      <c r="F173" s="46">
        <f t="shared" si="86"/>
        <v>0</v>
      </c>
      <c r="G173" s="47">
        <v>207996.12</v>
      </c>
      <c r="H173" s="81">
        <f t="shared" si="87"/>
        <v>207996.12</v>
      </c>
      <c r="I173" s="82">
        <f t="shared" si="88"/>
        <v>207996.12</v>
      </c>
    </row>
    <row r="174" spans="1:9" ht="50.25" customHeight="1" x14ac:dyDescent="0.25">
      <c r="A174" s="85" t="s">
        <v>300</v>
      </c>
      <c r="B174" s="39" t="s">
        <v>301</v>
      </c>
      <c r="C174" s="59" t="s">
        <v>52</v>
      </c>
      <c r="D174" s="60">
        <v>1</v>
      </c>
      <c r="E174" s="196" t="s">
        <v>302</v>
      </c>
      <c r="F174" s="196"/>
      <c r="G174" s="199"/>
      <c r="H174" s="202"/>
      <c r="I174" s="205"/>
    </row>
    <row r="175" spans="1:9" ht="50.25" customHeight="1" x14ac:dyDescent="0.25">
      <c r="A175" s="85" t="s">
        <v>303</v>
      </c>
      <c r="B175" s="39" t="s">
        <v>304</v>
      </c>
      <c r="C175" s="59" t="s">
        <v>52</v>
      </c>
      <c r="D175" s="60">
        <v>1</v>
      </c>
      <c r="E175" s="198"/>
      <c r="F175" s="198"/>
      <c r="G175" s="201"/>
      <c r="H175" s="204"/>
      <c r="I175" s="207"/>
    </row>
    <row r="176" spans="1:9" s="57" customFormat="1" ht="42.75" customHeight="1" x14ac:dyDescent="0.25">
      <c r="A176" s="85">
        <v>3.13</v>
      </c>
      <c r="B176" s="37" t="s">
        <v>305</v>
      </c>
      <c r="C176" s="59" t="s">
        <v>52</v>
      </c>
      <c r="D176" s="60">
        <v>1</v>
      </c>
      <c r="E176" s="52"/>
      <c r="F176" s="53">
        <f t="shared" ref="F176" si="89">D176*E176</f>
        <v>0</v>
      </c>
      <c r="G176" s="47">
        <v>577877.04</v>
      </c>
      <c r="H176" s="87">
        <f>D176*G176</f>
        <v>577877.04</v>
      </c>
      <c r="I176" s="88">
        <f>F176+H176</f>
        <v>577877.04</v>
      </c>
    </row>
    <row r="177" spans="1:9" s="57" customFormat="1" ht="44.25" customHeight="1" x14ac:dyDescent="0.25">
      <c r="A177" s="61" t="s">
        <v>306</v>
      </c>
      <c r="B177" s="39" t="s">
        <v>217</v>
      </c>
      <c r="C177" s="59" t="s">
        <v>52</v>
      </c>
      <c r="D177" s="60">
        <v>1</v>
      </c>
      <c r="E177" s="184" t="s">
        <v>307</v>
      </c>
      <c r="F177" s="184"/>
      <c r="G177" s="187"/>
      <c r="H177" s="190"/>
      <c r="I177" s="193"/>
    </row>
    <row r="178" spans="1:9" s="57" customFormat="1" ht="34.5" customHeight="1" x14ac:dyDescent="0.25">
      <c r="A178" s="61" t="s">
        <v>308</v>
      </c>
      <c r="B178" s="39" t="s">
        <v>220</v>
      </c>
      <c r="C178" s="59" t="s">
        <v>52</v>
      </c>
      <c r="D178" s="60">
        <v>1</v>
      </c>
      <c r="E178" s="185"/>
      <c r="F178" s="185"/>
      <c r="G178" s="188"/>
      <c r="H178" s="191"/>
      <c r="I178" s="194"/>
    </row>
    <row r="179" spans="1:9" s="57" customFormat="1" ht="37.5" x14ac:dyDescent="0.25">
      <c r="A179" s="61" t="s">
        <v>309</v>
      </c>
      <c r="B179" s="39" t="s">
        <v>222</v>
      </c>
      <c r="C179" s="59" t="s">
        <v>52</v>
      </c>
      <c r="D179" s="60">
        <v>1</v>
      </c>
      <c r="E179" s="185"/>
      <c r="F179" s="185"/>
      <c r="G179" s="188"/>
      <c r="H179" s="191"/>
      <c r="I179" s="194"/>
    </row>
    <row r="180" spans="1:9" s="57" customFormat="1" ht="34.5" customHeight="1" x14ac:dyDescent="0.25">
      <c r="A180" s="61" t="s">
        <v>310</v>
      </c>
      <c r="B180" s="39" t="s">
        <v>224</v>
      </c>
      <c r="C180" s="59" t="s">
        <v>52</v>
      </c>
      <c r="D180" s="60">
        <v>1</v>
      </c>
      <c r="E180" s="185"/>
      <c r="F180" s="185"/>
      <c r="G180" s="188"/>
      <c r="H180" s="191"/>
      <c r="I180" s="194"/>
    </row>
    <row r="181" spans="1:9" s="57" customFormat="1" ht="34.5" customHeight="1" x14ac:dyDescent="0.25">
      <c r="A181" s="61" t="s">
        <v>311</v>
      </c>
      <c r="B181" s="39" t="s">
        <v>312</v>
      </c>
      <c r="C181" s="59" t="s">
        <v>52</v>
      </c>
      <c r="D181" s="60">
        <v>1</v>
      </c>
      <c r="E181" s="185"/>
      <c r="F181" s="185"/>
      <c r="G181" s="188"/>
      <c r="H181" s="191"/>
      <c r="I181" s="194"/>
    </row>
    <row r="182" spans="1:9" s="57" customFormat="1" ht="34.5" customHeight="1" x14ac:dyDescent="0.25">
      <c r="A182" s="61" t="s">
        <v>313</v>
      </c>
      <c r="B182" s="39" t="s">
        <v>314</v>
      </c>
      <c r="C182" s="59" t="s">
        <v>52</v>
      </c>
      <c r="D182" s="60">
        <v>1</v>
      </c>
      <c r="E182" s="185"/>
      <c r="F182" s="185"/>
      <c r="G182" s="188"/>
      <c r="H182" s="191"/>
      <c r="I182" s="194"/>
    </row>
    <row r="183" spans="1:9" s="57" customFormat="1" ht="34.5" customHeight="1" x14ac:dyDescent="0.25">
      <c r="A183" s="61" t="s">
        <v>315</v>
      </c>
      <c r="B183" s="39" t="s">
        <v>230</v>
      </c>
      <c r="C183" s="59" t="s">
        <v>52</v>
      </c>
      <c r="D183" s="60">
        <v>1</v>
      </c>
      <c r="E183" s="185"/>
      <c r="F183" s="185"/>
      <c r="G183" s="188"/>
      <c r="H183" s="191"/>
      <c r="I183" s="194"/>
    </row>
    <row r="184" spans="1:9" s="57" customFormat="1" ht="42" customHeight="1" x14ac:dyDescent="0.25">
      <c r="A184" s="61" t="s">
        <v>316</v>
      </c>
      <c r="B184" s="39" t="s">
        <v>317</v>
      </c>
      <c r="C184" s="59" t="s">
        <v>52</v>
      </c>
      <c r="D184" s="60">
        <v>1</v>
      </c>
      <c r="E184" s="186"/>
      <c r="F184" s="186"/>
      <c r="G184" s="189"/>
      <c r="H184" s="192"/>
      <c r="I184" s="195"/>
    </row>
    <row r="185" spans="1:9" ht="34.5" customHeight="1" x14ac:dyDescent="0.25">
      <c r="A185" s="85">
        <v>3.14</v>
      </c>
      <c r="B185" s="37" t="s">
        <v>318</v>
      </c>
      <c r="C185" s="59" t="s">
        <v>52</v>
      </c>
      <c r="D185" s="60">
        <v>1</v>
      </c>
      <c r="E185" s="45"/>
      <c r="F185" s="46">
        <f t="shared" ref="F185" si="90">D185*E185</f>
        <v>0</v>
      </c>
      <c r="G185" s="47">
        <v>577877.04</v>
      </c>
      <c r="H185" s="81">
        <f t="shared" ref="H185" si="91">D185*G185</f>
        <v>577877.04</v>
      </c>
      <c r="I185" s="82">
        <f t="shared" ref="I185" si="92">F185+H185</f>
        <v>577877.04</v>
      </c>
    </row>
    <row r="186" spans="1:9" ht="42" customHeight="1" x14ac:dyDescent="0.25">
      <c r="A186" s="85" t="s">
        <v>319</v>
      </c>
      <c r="B186" s="39" t="s">
        <v>320</v>
      </c>
      <c r="C186" s="59" t="s">
        <v>52</v>
      </c>
      <c r="D186" s="60">
        <v>1</v>
      </c>
      <c r="E186" s="196" t="s">
        <v>321</v>
      </c>
      <c r="F186" s="196"/>
      <c r="G186" s="199"/>
      <c r="H186" s="202"/>
      <c r="I186" s="205"/>
    </row>
    <row r="187" spans="1:9" ht="42" customHeight="1" x14ac:dyDescent="0.25">
      <c r="A187" s="85" t="s">
        <v>322</v>
      </c>
      <c r="B187" s="39" t="s">
        <v>224</v>
      </c>
      <c r="C187" s="59" t="s">
        <v>52</v>
      </c>
      <c r="D187" s="60">
        <v>1</v>
      </c>
      <c r="E187" s="197"/>
      <c r="F187" s="197"/>
      <c r="G187" s="200"/>
      <c r="H187" s="203"/>
      <c r="I187" s="206"/>
    </row>
    <row r="188" spans="1:9" ht="42" customHeight="1" x14ac:dyDescent="0.25">
      <c r="A188" s="85" t="s">
        <v>323</v>
      </c>
      <c r="B188" s="39" t="s">
        <v>324</v>
      </c>
      <c r="C188" s="59" t="s">
        <v>52</v>
      </c>
      <c r="D188" s="60">
        <v>1</v>
      </c>
      <c r="E188" s="197"/>
      <c r="F188" s="197"/>
      <c r="G188" s="200"/>
      <c r="H188" s="203"/>
      <c r="I188" s="206"/>
    </row>
    <row r="189" spans="1:9" ht="34.5" customHeight="1" x14ac:dyDescent="0.25">
      <c r="A189" s="85" t="s">
        <v>325</v>
      </c>
      <c r="B189" s="39" t="s">
        <v>326</v>
      </c>
      <c r="C189" s="59" t="s">
        <v>52</v>
      </c>
      <c r="D189" s="60">
        <v>1</v>
      </c>
      <c r="E189" s="198"/>
      <c r="F189" s="198"/>
      <c r="G189" s="201"/>
      <c r="H189" s="204"/>
      <c r="I189" s="207"/>
    </row>
    <row r="190" spans="1:9" ht="34.5" customHeight="1" x14ac:dyDescent="0.25">
      <c r="A190" s="85">
        <v>3.15</v>
      </c>
      <c r="B190" s="37" t="s">
        <v>327</v>
      </c>
      <c r="C190" s="59" t="s">
        <v>52</v>
      </c>
      <c r="D190" s="60">
        <v>1</v>
      </c>
      <c r="E190" s="45"/>
      <c r="F190" s="46">
        <f t="shared" ref="F190" si="93">D190*E190</f>
        <v>0</v>
      </c>
      <c r="G190" s="47">
        <v>275993.34999999998</v>
      </c>
      <c r="H190" s="81">
        <f t="shared" ref="H190" si="94">D190*G190</f>
        <v>275993.34999999998</v>
      </c>
      <c r="I190" s="82">
        <f t="shared" ref="I190" si="95">F190+H190</f>
        <v>275993.34999999998</v>
      </c>
    </row>
    <row r="191" spans="1:9" ht="34.5" customHeight="1" x14ac:dyDescent="0.25">
      <c r="A191" s="85" t="s">
        <v>328</v>
      </c>
      <c r="B191" s="39" t="s">
        <v>329</v>
      </c>
      <c r="C191" s="59" t="s">
        <v>52</v>
      </c>
      <c r="D191" s="60">
        <v>1</v>
      </c>
      <c r="E191" s="196" t="s">
        <v>330</v>
      </c>
      <c r="F191" s="196"/>
      <c r="G191" s="199"/>
      <c r="H191" s="202"/>
      <c r="I191" s="205"/>
    </row>
    <row r="192" spans="1:9" ht="34.5" customHeight="1" x14ac:dyDescent="0.25">
      <c r="A192" s="85" t="s">
        <v>331</v>
      </c>
      <c r="B192" s="39" t="s">
        <v>332</v>
      </c>
      <c r="C192" s="59" t="s">
        <v>52</v>
      </c>
      <c r="D192" s="60">
        <v>1</v>
      </c>
      <c r="E192" s="197"/>
      <c r="F192" s="197"/>
      <c r="G192" s="200"/>
      <c r="H192" s="203"/>
      <c r="I192" s="206"/>
    </row>
    <row r="193" spans="1:9" ht="34.5" customHeight="1" x14ac:dyDescent="0.25">
      <c r="A193" s="85" t="s">
        <v>333</v>
      </c>
      <c r="B193" s="39" t="s">
        <v>334</v>
      </c>
      <c r="C193" s="59" t="s">
        <v>52</v>
      </c>
      <c r="D193" s="60">
        <v>1</v>
      </c>
      <c r="E193" s="198"/>
      <c r="F193" s="198"/>
      <c r="G193" s="201"/>
      <c r="H193" s="204"/>
      <c r="I193" s="207"/>
    </row>
    <row r="194" spans="1:9" s="57" customFormat="1" ht="42.75" customHeight="1" x14ac:dyDescent="0.25">
      <c r="A194" s="85">
        <v>3.16</v>
      </c>
      <c r="B194" s="37" t="s">
        <v>335</v>
      </c>
      <c r="C194" s="59" t="s">
        <v>52</v>
      </c>
      <c r="D194" s="60">
        <v>1</v>
      </c>
      <c r="E194" s="52"/>
      <c r="F194" s="53">
        <f t="shared" ref="F194" si="96">D194*E194</f>
        <v>0</v>
      </c>
      <c r="G194" s="47">
        <v>139260.26999999999</v>
      </c>
      <c r="H194" s="87">
        <f t="shared" ref="H194" si="97">D194*G194</f>
        <v>139260.26999999999</v>
      </c>
      <c r="I194" s="88">
        <f t="shared" ref="I194" si="98">F194+H194</f>
        <v>139260.26999999999</v>
      </c>
    </row>
    <row r="195" spans="1:9" s="57" customFormat="1" ht="37.5" x14ac:dyDescent="0.25">
      <c r="A195" s="85" t="s">
        <v>336</v>
      </c>
      <c r="B195" s="39" t="s">
        <v>337</v>
      </c>
      <c r="C195" s="59" t="s">
        <v>52</v>
      </c>
      <c r="D195" s="60">
        <v>1</v>
      </c>
      <c r="E195" s="184" t="s">
        <v>338</v>
      </c>
      <c r="F195" s="184"/>
      <c r="G195" s="187"/>
      <c r="H195" s="190"/>
      <c r="I195" s="193"/>
    </row>
    <row r="196" spans="1:9" s="57" customFormat="1" ht="56.25" x14ac:dyDescent="0.25">
      <c r="A196" s="85" t="s">
        <v>339</v>
      </c>
      <c r="B196" s="39" t="s">
        <v>340</v>
      </c>
      <c r="C196" s="59" t="s">
        <v>52</v>
      </c>
      <c r="D196" s="60">
        <v>1</v>
      </c>
      <c r="E196" s="185"/>
      <c r="F196" s="185"/>
      <c r="G196" s="188"/>
      <c r="H196" s="191"/>
      <c r="I196" s="194"/>
    </row>
    <row r="197" spans="1:9" s="57" customFormat="1" ht="42.75" customHeight="1" x14ac:dyDescent="0.25">
      <c r="A197" s="85" t="s">
        <v>341</v>
      </c>
      <c r="B197" s="39" t="s">
        <v>342</v>
      </c>
      <c r="C197" s="59" t="s">
        <v>52</v>
      </c>
      <c r="D197" s="60">
        <v>1</v>
      </c>
      <c r="E197" s="185"/>
      <c r="F197" s="185"/>
      <c r="G197" s="188"/>
      <c r="H197" s="191"/>
      <c r="I197" s="194"/>
    </row>
    <row r="198" spans="1:9" s="57" customFormat="1" ht="82.5" customHeight="1" x14ac:dyDescent="0.25">
      <c r="A198" s="85" t="s">
        <v>343</v>
      </c>
      <c r="B198" s="39" t="s">
        <v>344</v>
      </c>
      <c r="C198" s="59" t="s">
        <v>52</v>
      </c>
      <c r="D198" s="60">
        <v>1</v>
      </c>
      <c r="E198" s="185"/>
      <c r="F198" s="185"/>
      <c r="G198" s="188"/>
      <c r="H198" s="191"/>
      <c r="I198" s="194"/>
    </row>
    <row r="199" spans="1:9" s="57" customFormat="1" ht="54.75" customHeight="1" x14ac:dyDescent="0.25">
      <c r="A199" s="85" t="s">
        <v>345</v>
      </c>
      <c r="B199" s="39" t="s">
        <v>346</v>
      </c>
      <c r="C199" s="59" t="s">
        <v>52</v>
      </c>
      <c r="D199" s="60">
        <v>1</v>
      </c>
      <c r="E199" s="186"/>
      <c r="F199" s="186"/>
      <c r="G199" s="189"/>
      <c r="H199" s="192"/>
      <c r="I199" s="195"/>
    </row>
    <row r="200" spans="1:9" s="57" customFormat="1" ht="42.75" customHeight="1" x14ac:dyDescent="0.25">
      <c r="A200" s="85">
        <v>3.17</v>
      </c>
      <c r="B200" s="37" t="s">
        <v>347</v>
      </c>
      <c r="C200" s="59" t="s">
        <v>52</v>
      </c>
      <c r="D200" s="60">
        <v>1</v>
      </c>
      <c r="E200" s="52"/>
      <c r="F200" s="53">
        <f t="shared" ref="F200" si="99">D200*E200</f>
        <v>0</v>
      </c>
      <c r="G200" s="47">
        <v>253445.91</v>
      </c>
      <c r="H200" s="87">
        <f t="shared" ref="H200" si="100">D200*G200</f>
        <v>253445.91</v>
      </c>
      <c r="I200" s="88">
        <f t="shared" ref="I200" si="101">F200+H200</f>
        <v>253445.91</v>
      </c>
    </row>
    <row r="201" spans="1:9" s="57" customFormat="1" ht="30" customHeight="1" x14ac:dyDescent="0.25">
      <c r="A201" s="85" t="s">
        <v>348</v>
      </c>
      <c r="B201" s="39" t="s">
        <v>349</v>
      </c>
      <c r="C201" s="59" t="s">
        <v>52</v>
      </c>
      <c r="D201" s="60">
        <v>1</v>
      </c>
      <c r="E201" s="184" t="s">
        <v>350</v>
      </c>
      <c r="F201" s="184"/>
      <c r="G201" s="187"/>
      <c r="H201" s="190"/>
      <c r="I201" s="193"/>
    </row>
    <row r="202" spans="1:9" s="57" customFormat="1" ht="75" x14ac:dyDescent="0.25">
      <c r="A202" s="85" t="s">
        <v>351</v>
      </c>
      <c r="B202" s="89" t="s">
        <v>352</v>
      </c>
      <c r="C202" s="59" t="s">
        <v>52</v>
      </c>
      <c r="D202" s="60">
        <v>1</v>
      </c>
      <c r="E202" s="186"/>
      <c r="F202" s="186"/>
      <c r="G202" s="189"/>
      <c r="H202" s="192"/>
      <c r="I202" s="195"/>
    </row>
    <row r="203" spans="1:9" s="57" customFormat="1" x14ac:dyDescent="0.25">
      <c r="A203" s="182">
        <v>3.18</v>
      </c>
      <c r="B203" s="37" t="s">
        <v>353</v>
      </c>
      <c r="C203" s="59"/>
      <c r="D203" s="62"/>
      <c r="E203" s="52"/>
      <c r="F203" s="53"/>
      <c r="G203" s="86"/>
      <c r="H203" s="87"/>
      <c r="I203" s="88"/>
    </row>
    <row r="204" spans="1:9" s="57" customFormat="1" ht="80.25" customHeight="1" x14ac:dyDescent="0.25">
      <c r="A204" s="183"/>
      <c r="B204" s="39" t="s">
        <v>354</v>
      </c>
      <c r="C204" s="59" t="s">
        <v>52</v>
      </c>
      <c r="D204" s="62">
        <v>1</v>
      </c>
      <c r="E204" s="52"/>
      <c r="F204" s="53">
        <f t="shared" ref="F204" si="102">D204*E204</f>
        <v>0</v>
      </c>
      <c r="G204" s="47">
        <v>64050</v>
      </c>
      <c r="H204" s="87">
        <f t="shared" ref="H204" si="103">D204*G204</f>
        <v>64050</v>
      </c>
      <c r="I204" s="88">
        <f t="shared" ref="I204" si="104">F204+H204</f>
        <v>64050</v>
      </c>
    </row>
    <row r="205" spans="1:9" s="57" customFormat="1" ht="42.75" customHeight="1" x14ac:dyDescent="0.25">
      <c r="A205" s="85" t="s">
        <v>355</v>
      </c>
      <c r="B205" s="39" t="s">
        <v>356</v>
      </c>
      <c r="C205" s="59" t="s">
        <v>52</v>
      </c>
      <c r="D205" s="62">
        <v>1</v>
      </c>
      <c r="E205" s="184" t="s">
        <v>357</v>
      </c>
      <c r="F205" s="184"/>
      <c r="G205" s="187"/>
      <c r="H205" s="190"/>
      <c r="I205" s="193"/>
    </row>
    <row r="206" spans="1:9" s="57" customFormat="1" ht="42.75" customHeight="1" x14ac:dyDescent="0.25">
      <c r="A206" s="85" t="s">
        <v>358</v>
      </c>
      <c r="B206" s="39" t="s">
        <v>359</v>
      </c>
      <c r="C206" s="59" t="s">
        <v>52</v>
      </c>
      <c r="D206" s="62">
        <v>1</v>
      </c>
      <c r="E206" s="185"/>
      <c r="F206" s="185"/>
      <c r="G206" s="188"/>
      <c r="H206" s="191"/>
      <c r="I206" s="194"/>
    </row>
    <row r="207" spans="1:9" s="57" customFormat="1" ht="42.75" customHeight="1" x14ac:dyDescent="0.25">
      <c r="A207" s="85" t="s">
        <v>360</v>
      </c>
      <c r="B207" s="39" t="s">
        <v>361</v>
      </c>
      <c r="C207" s="59" t="s">
        <v>52</v>
      </c>
      <c r="D207" s="62">
        <v>1</v>
      </c>
      <c r="E207" s="185"/>
      <c r="F207" s="185"/>
      <c r="G207" s="188"/>
      <c r="H207" s="191"/>
      <c r="I207" s="194"/>
    </row>
    <row r="208" spans="1:9" s="57" customFormat="1" ht="42.75" customHeight="1" x14ac:dyDescent="0.25">
      <c r="A208" s="85" t="s">
        <v>362</v>
      </c>
      <c r="B208" s="39" t="s">
        <v>363</v>
      </c>
      <c r="C208" s="59" t="s">
        <v>52</v>
      </c>
      <c r="D208" s="62">
        <v>1</v>
      </c>
      <c r="E208" s="185"/>
      <c r="F208" s="185"/>
      <c r="G208" s="188"/>
      <c r="H208" s="191"/>
      <c r="I208" s="194"/>
    </row>
    <row r="209" spans="1:9" s="57" customFormat="1" ht="42.75" customHeight="1" x14ac:dyDescent="0.25">
      <c r="A209" s="85" t="s">
        <v>364</v>
      </c>
      <c r="B209" s="39" t="s">
        <v>365</v>
      </c>
      <c r="C209" s="59" t="s">
        <v>52</v>
      </c>
      <c r="D209" s="62">
        <v>1</v>
      </c>
      <c r="E209" s="186"/>
      <c r="F209" s="186"/>
      <c r="G209" s="189"/>
      <c r="H209" s="192"/>
      <c r="I209" s="195"/>
    </row>
    <row r="210" spans="1:9" s="91" customFormat="1" ht="34.5" customHeight="1" x14ac:dyDescent="0.25">
      <c r="A210" s="177" t="s">
        <v>366</v>
      </c>
      <c r="B210" s="178"/>
      <c r="C210" s="90"/>
      <c r="D210" s="67"/>
      <c r="E210" s="90"/>
      <c r="F210" s="90">
        <f>SUM(F121:F209)</f>
        <v>0</v>
      </c>
      <c r="G210" s="67"/>
      <c r="H210" s="90">
        <f>SUM(H121:H209)</f>
        <v>16229499.67</v>
      </c>
      <c r="I210" s="90">
        <f>SUM(I121:I209)</f>
        <v>16229499.67</v>
      </c>
    </row>
    <row r="211" spans="1:9" ht="2.25" customHeight="1" x14ac:dyDescent="0.25">
      <c r="A211" s="179"/>
      <c r="B211" s="179"/>
      <c r="C211" s="92"/>
      <c r="D211" s="49"/>
      <c r="E211" s="93"/>
      <c r="F211" s="49"/>
      <c r="G211" s="49"/>
      <c r="H211" s="49"/>
      <c r="I211" s="49"/>
    </row>
    <row r="212" spans="1:9" ht="21.75" customHeight="1" x14ac:dyDescent="0.25">
      <c r="A212" s="90"/>
      <c r="B212" s="90"/>
      <c r="C212" s="90"/>
      <c r="D212" s="90"/>
      <c r="E212" s="90"/>
      <c r="F212" s="90"/>
      <c r="G212" s="90"/>
      <c r="H212" s="90"/>
      <c r="I212" s="90"/>
    </row>
    <row r="213" spans="1:9" s="97" customFormat="1" ht="35.25" customHeight="1" x14ac:dyDescent="0.25">
      <c r="A213" s="94" t="s">
        <v>367</v>
      </c>
      <c r="B213" s="95" t="str">
        <f>B10</f>
        <v>Electrical Works for new 33/11 kV Primary Substation</v>
      </c>
      <c r="C213" s="96"/>
      <c r="D213" s="96"/>
      <c r="E213" s="96"/>
      <c r="F213" s="96">
        <f>F87</f>
        <v>23787065.996635005</v>
      </c>
      <c r="G213" s="96"/>
      <c r="H213" s="96">
        <f>H87</f>
        <v>4573689.0333649991</v>
      </c>
      <c r="I213" s="96">
        <f>I87</f>
        <v>28360755.030000005</v>
      </c>
    </row>
    <row r="214" spans="1:9" s="97" customFormat="1" ht="35.25" customHeight="1" x14ac:dyDescent="0.25">
      <c r="A214" s="94" t="s">
        <v>368</v>
      </c>
      <c r="B214" s="95" t="str">
        <f>B88</f>
        <v>Mechanical Works for new 33/11 kV Primary Substation</v>
      </c>
      <c r="C214" s="96"/>
      <c r="D214" s="96"/>
      <c r="E214" s="96"/>
      <c r="F214" s="96">
        <f>F117</f>
        <v>4554179.8666666681</v>
      </c>
      <c r="G214" s="96"/>
      <c r="H214" s="96">
        <f>H117</f>
        <v>1043644.7799999993</v>
      </c>
      <c r="I214" s="96">
        <f>I117</f>
        <v>5597824.6466666665</v>
      </c>
    </row>
    <row r="215" spans="1:9" s="97" customFormat="1" ht="35.25" customHeight="1" x14ac:dyDescent="0.25">
      <c r="A215" s="94" t="s">
        <v>369</v>
      </c>
      <c r="B215" s="95" t="str">
        <f>B118</f>
        <v>Civil Works for new 33/11 kV Primary Substation Building</v>
      </c>
      <c r="C215" s="96"/>
      <c r="D215" s="96"/>
      <c r="E215" s="96"/>
      <c r="F215" s="96">
        <f>F210</f>
        <v>0</v>
      </c>
      <c r="G215" s="96"/>
      <c r="H215" s="96">
        <f t="shared" ref="H215:I215" si="105">H210</f>
        <v>16229499.67</v>
      </c>
      <c r="I215" s="96">
        <f t="shared" si="105"/>
        <v>16229499.67</v>
      </c>
    </row>
    <row r="216" spans="1:9" ht="50.25" customHeight="1" x14ac:dyDescent="0.25">
      <c r="A216" s="98"/>
      <c r="B216" s="99"/>
      <c r="C216" s="49"/>
      <c r="D216" s="49"/>
      <c r="E216" s="49"/>
      <c r="F216" s="49"/>
      <c r="G216" s="49"/>
      <c r="H216" s="49"/>
      <c r="I216" s="49"/>
    </row>
    <row r="217" spans="1:9" ht="51.75" customHeight="1" x14ac:dyDescent="0.25">
      <c r="A217" s="180" t="s">
        <v>370</v>
      </c>
      <c r="B217" s="181"/>
      <c r="C217" s="100"/>
      <c r="D217" s="100"/>
      <c r="E217" s="100"/>
      <c r="F217" s="101">
        <f>SUM(F213:F215)</f>
        <v>28341245.863301672</v>
      </c>
      <c r="G217" s="101"/>
      <c r="H217" s="101">
        <f>SUM(H213:H215)</f>
        <v>21846833.483364999</v>
      </c>
      <c r="I217" s="101">
        <f>SUM(I213:I215)</f>
        <v>50188079.346666671</v>
      </c>
    </row>
    <row r="218" spans="1:9" x14ac:dyDescent="0.25">
      <c r="I218" s="102"/>
    </row>
  </sheetData>
  <protectedRanges>
    <protectedRange password="CDE6" sqref="B182" name="Range1_11_1_1_1"/>
    <protectedRange password="CDE6" sqref="B184" name="Range1_14_1_1_2"/>
    <protectedRange password="CDE6" sqref="B135" name="Range1_11_1_1"/>
    <protectedRange password="CDE6" sqref="B137" name="Range1_14_1_1_1"/>
    <protectedRange sqref="B189" name="Range1_17_1_1_1"/>
  </protectedRanges>
  <mergeCells count="111">
    <mergeCell ref="H6:H7"/>
    <mergeCell ref="A11:A12"/>
    <mergeCell ref="A18:A19"/>
    <mergeCell ref="A25:A26"/>
    <mergeCell ref="A27:A28"/>
    <mergeCell ref="A35:A36"/>
    <mergeCell ref="E4:I4"/>
    <mergeCell ref="A5:A7"/>
    <mergeCell ref="B5:B7"/>
    <mergeCell ref="C5:C7"/>
    <mergeCell ref="D5:D7"/>
    <mergeCell ref="E5:F5"/>
    <mergeCell ref="G5:H5"/>
    <mergeCell ref="E6:E7"/>
    <mergeCell ref="F6:F7"/>
    <mergeCell ref="G6:G7"/>
    <mergeCell ref="A69:A70"/>
    <mergeCell ref="A72:A73"/>
    <mergeCell ref="A78:A79"/>
    <mergeCell ref="A83:A84"/>
    <mergeCell ref="A87:B87"/>
    <mergeCell ref="A90:A91"/>
    <mergeCell ref="A39:A40"/>
    <mergeCell ref="A41:A42"/>
    <mergeCell ref="A43:A44"/>
    <mergeCell ref="A45:A49"/>
    <mergeCell ref="A50:A51"/>
    <mergeCell ref="A67:A68"/>
    <mergeCell ref="G130:G137"/>
    <mergeCell ref="H130:H137"/>
    <mergeCell ref="I130:I137"/>
    <mergeCell ref="E139:E142"/>
    <mergeCell ref="F139:F142"/>
    <mergeCell ref="G139:G142"/>
    <mergeCell ref="H139:H142"/>
    <mergeCell ref="I139:I142"/>
    <mergeCell ref="A98:A99"/>
    <mergeCell ref="A111:A112"/>
    <mergeCell ref="A117:B117"/>
    <mergeCell ref="A128:A129"/>
    <mergeCell ref="E130:E137"/>
    <mergeCell ref="F130:F137"/>
    <mergeCell ref="E144:E147"/>
    <mergeCell ref="F144:F147"/>
    <mergeCell ref="G144:G147"/>
    <mergeCell ref="H144:H147"/>
    <mergeCell ref="I144:I147"/>
    <mergeCell ref="E149:E152"/>
    <mergeCell ref="F149:F152"/>
    <mergeCell ref="G149:G152"/>
    <mergeCell ref="H149:H152"/>
    <mergeCell ref="I149:I152"/>
    <mergeCell ref="E154:E156"/>
    <mergeCell ref="F154:F156"/>
    <mergeCell ref="G154:G156"/>
    <mergeCell ref="H154:H156"/>
    <mergeCell ref="I154:I156"/>
    <mergeCell ref="E158:E160"/>
    <mergeCell ref="F158:F160"/>
    <mergeCell ref="G158:G160"/>
    <mergeCell ref="H158:H160"/>
    <mergeCell ref="I158:I160"/>
    <mergeCell ref="E162:E164"/>
    <mergeCell ref="F162:F164"/>
    <mergeCell ref="G162:G164"/>
    <mergeCell ref="H162:H164"/>
    <mergeCell ref="I162:I164"/>
    <mergeCell ref="E169:E171"/>
    <mergeCell ref="F169:F171"/>
    <mergeCell ref="G169:G171"/>
    <mergeCell ref="H169:H171"/>
    <mergeCell ref="I169:I171"/>
    <mergeCell ref="E174:E175"/>
    <mergeCell ref="F174:F175"/>
    <mergeCell ref="G174:G175"/>
    <mergeCell ref="H174:H175"/>
    <mergeCell ref="I174:I175"/>
    <mergeCell ref="E177:E184"/>
    <mergeCell ref="F177:F184"/>
    <mergeCell ref="G177:G184"/>
    <mergeCell ref="H177:H184"/>
    <mergeCell ref="I177:I184"/>
    <mergeCell ref="E186:E189"/>
    <mergeCell ref="F186:F189"/>
    <mergeCell ref="G186:G189"/>
    <mergeCell ref="H186:H189"/>
    <mergeCell ref="I186:I189"/>
    <mergeCell ref="E191:E193"/>
    <mergeCell ref="F191:F193"/>
    <mergeCell ref="G191:G193"/>
    <mergeCell ref="H191:H193"/>
    <mergeCell ref="I191:I193"/>
    <mergeCell ref="E195:E199"/>
    <mergeCell ref="F195:F199"/>
    <mergeCell ref="G195:G199"/>
    <mergeCell ref="H195:H199"/>
    <mergeCell ref="I195:I199"/>
    <mergeCell ref="E201:E202"/>
    <mergeCell ref="F201:F202"/>
    <mergeCell ref="G201:G202"/>
    <mergeCell ref="H201:H202"/>
    <mergeCell ref="I201:I202"/>
    <mergeCell ref="A210:B210"/>
    <mergeCell ref="A211:B211"/>
    <mergeCell ref="A217:B217"/>
    <mergeCell ref="A203:A204"/>
    <mergeCell ref="E205:E209"/>
    <mergeCell ref="F205:F209"/>
    <mergeCell ref="G205:G209"/>
    <mergeCell ref="H205:H209"/>
    <mergeCell ref="I205:I209"/>
  </mergeCells>
  <pageMargins left="0.70866141732283472" right="0.70866141732283472" top="0.74803149606299213" bottom="0.74803149606299213" header="0.31496062992125984" footer="0.31496062992125984"/>
  <pageSetup paperSize="9" scale="48" orientation="landscape" verticalDpi="0" r:id="rId1"/>
  <ignoredErrors>
    <ignoredError sqref="F13 F21 F18 F34 F15 H15:I15 F16 H16:I16 F17 I17 F29 F30 F31 F32 F33 F39 F36 H36:I36 F43 F44 F42 F50 F129:F171 F174:F189 F172 F173 F20 F25 F22 F23 F24 F26 F37:F38 F40 F48 F52:F53 F51 F55 F54 F57 F56 F59 F58 F61 F60 F63:F64 F62 F67 F65:F66 F69 F68 F71:F72 F70 F76:F78 F73:F75 F80:F91 F79 F47 F49 F98:F99 F92 F93 F94 F95 F96 F97 F111:F128 F100 F101 F102 F103 F104 F105 F106 F107 F108 F109 F110 H21:I21 H18:I18 H39:I39 H20:I20 H25:I25 H22:I22 H23:I23 H24:I24 H26:I26 H37:I38 H40:I40"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view="pageBreakPreview" zoomScale="60" zoomScaleNormal="55" workbookViewId="0">
      <pane ySplit="7" topLeftCell="A10" activePane="bottomLeft" state="frozen"/>
      <selection pane="bottomLeft" activeCell="B16" sqref="B16"/>
    </sheetView>
  </sheetViews>
  <sheetFormatPr defaultRowHeight="18.75" x14ac:dyDescent="0.25"/>
  <cols>
    <col min="1" max="1" width="15" style="18" customWidth="1"/>
    <col min="2" max="2" width="95" style="21" customWidth="1"/>
    <col min="3" max="3" width="13" style="19" customWidth="1"/>
    <col min="4" max="4" width="21" style="103" customWidth="1"/>
    <col min="5" max="5" width="22.42578125" style="28" customWidth="1"/>
    <col min="6" max="6" width="23.5703125" style="28" customWidth="1"/>
    <col min="7" max="7" width="22.140625" style="28" customWidth="1"/>
    <col min="8" max="8" width="26" style="28" customWidth="1"/>
    <col min="9" max="9" width="27.42578125" style="91" customWidth="1"/>
    <col min="10" max="244" width="8.85546875" style="28"/>
    <col min="245" max="245" width="7.7109375" style="28" bestFit="1" customWidth="1"/>
    <col min="246" max="246" width="88.28515625" style="28" customWidth="1"/>
    <col min="247" max="247" width="13" style="28" customWidth="1"/>
    <col min="248" max="248" width="18" style="28" customWidth="1"/>
    <col min="249" max="249" width="17" style="28" customWidth="1"/>
    <col min="250" max="250" width="17.85546875" style="28" customWidth="1"/>
    <col min="251" max="251" width="20.42578125" style="28" customWidth="1"/>
    <col min="252" max="252" width="14.85546875" style="28" customWidth="1"/>
    <col min="253" max="255" width="18.140625" style="28" customWidth="1"/>
    <col min="256" max="256" width="20.42578125" style="28" customWidth="1"/>
    <col min="257" max="257" width="14.140625" style="28" bestFit="1" customWidth="1"/>
    <col min="258" max="258" width="10" style="28" bestFit="1" customWidth="1"/>
    <col min="259" max="500" width="8.85546875" style="28"/>
    <col min="501" max="501" width="7.7109375" style="28" bestFit="1" customWidth="1"/>
    <col min="502" max="502" width="88.28515625" style="28" customWidth="1"/>
    <col min="503" max="503" width="13" style="28" customWidth="1"/>
    <col min="504" max="504" width="18" style="28" customWidth="1"/>
    <col min="505" max="505" width="17" style="28" customWidth="1"/>
    <col min="506" max="506" width="17.85546875" style="28" customWidth="1"/>
    <col min="507" max="507" width="20.42578125" style="28" customWidth="1"/>
    <col min="508" max="508" width="14.85546875" style="28" customWidth="1"/>
    <col min="509" max="511" width="18.140625" style="28" customWidth="1"/>
    <col min="512" max="512" width="20.42578125" style="28" customWidth="1"/>
    <col min="513" max="513" width="14.140625" style="28" bestFit="1" customWidth="1"/>
    <col min="514" max="514" width="10" style="28" bestFit="1" customWidth="1"/>
    <col min="515" max="756" width="8.85546875" style="28"/>
    <col min="757" max="757" width="7.7109375" style="28" bestFit="1" customWidth="1"/>
    <col min="758" max="758" width="88.28515625" style="28" customWidth="1"/>
    <col min="759" max="759" width="13" style="28" customWidth="1"/>
    <col min="760" max="760" width="18" style="28" customWidth="1"/>
    <col min="761" max="761" width="17" style="28" customWidth="1"/>
    <col min="762" max="762" width="17.85546875" style="28" customWidth="1"/>
    <col min="763" max="763" width="20.42578125" style="28" customWidth="1"/>
    <col min="764" max="764" width="14.85546875" style="28" customWidth="1"/>
    <col min="765" max="767" width="18.140625" style="28" customWidth="1"/>
    <col min="768" max="768" width="20.42578125" style="28" customWidth="1"/>
    <col min="769" max="769" width="14.140625" style="28" bestFit="1" customWidth="1"/>
    <col min="770" max="770" width="10" style="28" bestFit="1" customWidth="1"/>
    <col min="771" max="1012" width="8.85546875" style="28"/>
    <col min="1013" max="1013" width="7.7109375" style="28" bestFit="1" customWidth="1"/>
    <col min="1014" max="1014" width="88.28515625" style="28" customWidth="1"/>
    <col min="1015" max="1015" width="13" style="28" customWidth="1"/>
    <col min="1016" max="1016" width="18" style="28" customWidth="1"/>
    <col min="1017" max="1017" width="17" style="28" customWidth="1"/>
    <col min="1018" max="1018" width="17.85546875" style="28" customWidth="1"/>
    <col min="1019" max="1019" width="20.42578125" style="28" customWidth="1"/>
    <col min="1020" max="1020" width="14.85546875" style="28" customWidth="1"/>
    <col min="1021" max="1023" width="18.140625" style="28" customWidth="1"/>
    <col min="1024" max="1024" width="20.42578125" style="28" customWidth="1"/>
    <col min="1025" max="1025" width="14.140625" style="28" bestFit="1" customWidth="1"/>
    <col min="1026" max="1026" width="10" style="28" bestFit="1" customWidth="1"/>
    <col min="1027" max="1268" width="8.85546875" style="28"/>
    <col min="1269" max="1269" width="7.7109375" style="28" bestFit="1" customWidth="1"/>
    <col min="1270" max="1270" width="88.28515625" style="28" customWidth="1"/>
    <col min="1271" max="1271" width="13" style="28" customWidth="1"/>
    <col min="1272" max="1272" width="18" style="28" customWidth="1"/>
    <col min="1273" max="1273" width="17" style="28" customWidth="1"/>
    <col min="1274" max="1274" width="17.85546875" style="28" customWidth="1"/>
    <col min="1275" max="1275" width="20.42578125" style="28" customWidth="1"/>
    <col min="1276" max="1276" width="14.85546875" style="28" customWidth="1"/>
    <col min="1277" max="1279" width="18.140625" style="28" customWidth="1"/>
    <col min="1280" max="1280" width="20.42578125" style="28" customWidth="1"/>
    <col min="1281" max="1281" width="14.140625" style="28" bestFit="1" customWidth="1"/>
    <col min="1282" max="1282" width="10" style="28" bestFit="1" customWidth="1"/>
    <col min="1283" max="1524" width="8.85546875" style="28"/>
    <col min="1525" max="1525" width="7.7109375" style="28" bestFit="1" customWidth="1"/>
    <col min="1526" max="1526" width="88.28515625" style="28" customWidth="1"/>
    <col min="1527" max="1527" width="13" style="28" customWidth="1"/>
    <col min="1528" max="1528" width="18" style="28" customWidth="1"/>
    <col min="1529" max="1529" width="17" style="28" customWidth="1"/>
    <col min="1530" max="1530" width="17.85546875" style="28" customWidth="1"/>
    <col min="1531" max="1531" width="20.42578125" style="28" customWidth="1"/>
    <col min="1532" max="1532" width="14.85546875" style="28" customWidth="1"/>
    <col min="1533" max="1535" width="18.140625" style="28" customWidth="1"/>
    <col min="1536" max="1536" width="20.42578125" style="28" customWidth="1"/>
    <col min="1537" max="1537" width="14.140625" style="28" bestFit="1" customWidth="1"/>
    <col min="1538" max="1538" width="10" style="28" bestFit="1" customWidth="1"/>
    <col min="1539" max="1780" width="8.85546875" style="28"/>
    <col min="1781" max="1781" width="7.7109375" style="28" bestFit="1" customWidth="1"/>
    <col min="1782" max="1782" width="88.28515625" style="28" customWidth="1"/>
    <col min="1783" max="1783" width="13" style="28" customWidth="1"/>
    <col min="1784" max="1784" width="18" style="28" customWidth="1"/>
    <col min="1785" max="1785" width="17" style="28" customWidth="1"/>
    <col min="1786" max="1786" width="17.85546875" style="28" customWidth="1"/>
    <col min="1787" max="1787" width="20.42578125" style="28" customWidth="1"/>
    <col min="1788" max="1788" width="14.85546875" style="28" customWidth="1"/>
    <col min="1789" max="1791" width="18.140625" style="28" customWidth="1"/>
    <col min="1792" max="1792" width="20.42578125" style="28" customWidth="1"/>
    <col min="1793" max="1793" width="14.140625" style="28" bestFit="1" customWidth="1"/>
    <col min="1794" max="1794" width="10" style="28" bestFit="1" customWidth="1"/>
    <col min="1795" max="2036" width="8.85546875" style="28"/>
    <col min="2037" max="2037" width="7.7109375" style="28" bestFit="1" customWidth="1"/>
    <col min="2038" max="2038" width="88.28515625" style="28" customWidth="1"/>
    <col min="2039" max="2039" width="13" style="28" customWidth="1"/>
    <col min="2040" max="2040" width="18" style="28" customWidth="1"/>
    <col min="2041" max="2041" width="17" style="28" customWidth="1"/>
    <col min="2042" max="2042" width="17.85546875" style="28" customWidth="1"/>
    <col min="2043" max="2043" width="20.42578125" style="28" customWidth="1"/>
    <col min="2044" max="2044" width="14.85546875" style="28" customWidth="1"/>
    <col min="2045" max="2047" width="18.140625" style="28" customWidth="1"/>
    <col min="2048" max="2048" width="20.42578125" style="28" customWidth="1"/>
    <col min="2049" max="2049" width="14.140625" style="28" bestFit="1" customWidth="1"/>
    <col min="2050" max="2050" width="10" style="28" bestFit="1" customWidth="1"/>
    <col min="2051" max="2292" width="8.85546875" style="28"/>
    <col min="2293" max="2293" width="7.7109375" style="28" bestFit="1" customWidth="1"/>
    <col min="2294" max="2294" width="88.28515625" style="28" customWidth="1"/>
    <col min="2295" max="2295" width="13" style="28" customWidth="1"/>
    <col min="2296" max="2296" width="18" style="28" customWidth="1"/>
    <col min="2297" max="2297" width="17" style="28" customWidth="1"/>
    <col min="2298" max="2298" width="17.85546875" style="28" customWidth="1"/>
    <col min="2299" max="2299" width="20.42578125" style="28" customWidth="1"/>
    <col min="2300" max="2300" width="14.85546875" style="28" customWidth="1"/>
    <col min="2301" max="2303" width="18.140625" style="28" customWidth="1"/>
    <col min="2304" max="2304" width="20.42578125" style="28" customWidth="1"/>
    <col min="2305" max="2305" width="14.140625" style="28" bestFit="1" customWidth="1"/>
    <col min="2306" max="2306" width="10" style="28" bestFit="1" customWidth="1"/>
    <col min="2307" max="2548" width="8.85546875" style="28"/>
    <col min="2549" max="2549" width="7.7109375" style="28" bestFit="1" customWidth="1"/>
    <col min="2550" max="2550" width="88.28515625" style="28" customWidth="1"/>
    <col min="2551" max="2551" width="13" style="28" customWidth="1"/>
    <col min="2552" max="2552" width="18" style="28" customWidth="1"/>
    <col min="2553" max="2553" width="17" style="28" customWidth="1"/>
    <col min="2554" max="2554" width="17.85546875" style="28" customWidth="1"/>
    <col min="2555" max="2555" width="20.42578125" style="28" customWidth="1"/>
    <col min="2556" max="2556" width="14.85546875" style="28" customWidth="1"/>
    <col min="2557" max="2559" width="18.140625" style="28" customWidth="1"/>
    <col min="2560" max="2560" width="20.42578125" style="28" customWidth="1"/>
    <col min="2561" max="2561" width="14.140625" style="28" bestFit="1" customWidth="1"/>
    <col min="2562" max="2562" width="10" style="28" bestFit="1" customWidth="1"/>
    <col min="2563" max="2804" width="8.85546875" style="28"/>
    <col min="2805" max="2805" width="7.7109375" style="28" bestFit="1" customWidth="1"/>
    <col min="2806" max="2806" width="88.28515625" style="28" customWidth="1"/>
    <col min="2807" max="2807" width="13" style="28" customWidth="1"/>
    <col min="2808" max="2808" width="18" style="28" customWidth="1"/>
    <col min="2809" max="2809" width="17" style="28" customWidth="1"/>
    <col min="2810" max="2810" width="17.85546875" style="28" customWidth="1"/>
    <col min="2811" max="2811" width="20.42578125" style="28" customWidth="1"/>
    <col min="2812" max="2812" width="14.85546875" style="28" customWidth="1"/>
    <col min="2813" max="2815" width="18.140625" style="28" customWidth="1"/>
    <col min="2816" max="2816" width="20.42578125" style="28" customWidth="1"/>
    <col min="2817" max="2817" width="14.140625" style="28" bestFit="1" customWidth="1"/>
    <col min="2818" max="2818" width="10" style="28" bestFit="1" customWidth="1"/>
    <col min="2819" max="3060" width="8.85546875" style="28"/>
    <col min="3061" max="3061" width="7.7109375" style="28" bestFit="1" customWidth="1"/>
    <col min="3062" max="3062" width="88.28515625" style="28" customWidth="1"/>
    <col min="3063" max="3063" width="13" style="28" customWidth="1"/>
    <col min="3064" max="3064" width="18" style="28" customWidth="1"/>
    <col min="3065" max="3065" width="17" style="28" customWidth="1"/>
    <col min="3066" max="3066" width="17.85546875" style="28" customWidth="1"/>
    <col min="3067" max="3067" width="20.42578125" style="28" customWidth="1"/>
    <col min="3068" max="3068" width="14.85546875" style="28" customWidth="1"/>
    <col min="3069" max="3071" width="18.140625" style="28" customWidth="1"/>
    <col min="3072" max="3072" width="20.42578125" style="28" customWidth="1"/>
    <col min="3073" max="3073" width="14.140625" style="28" bestFit="1" customWidth="1"/>
    <col min="3074" max="3074" width="10" style="28" bestFit="1" customWidth="1"/>
    <col min="3075" max="3316" width="8.85546875" style="28"/>
    <col min="3317" max="3317" width="7.7109375" style="28" bestFit="1" customWidth="1"/>
    <col min="3318" max="3318" width="88.28515625" style="28" customWidth="1"/>
    <col min="3319" max="3319" width="13" style="28" customWidth="1"/>
    <col min="3320" max="3320" width="18" style="28" customWidth="1"/>
    <col min="3321" max="3321" width="17" style="28" customWidth="1"/>
    <col min="3322" max="3322" width="17.85546875" style="28" customWidth="1"/>
    <col min="3323" max="3323" width="20.42578125" style="28" customWidth="1"/>
    <col min="3324" max="3324" width="14.85546875" style="28" customWidth="1"/>
    <col min="3325" max="3327" width="18.140625" style="28" customWidth="1"/>
    <col min="3328" max="3328" width="20.42578125" style="28" customWidth="1"/>
    <col min="3329" max="3329" width="14.140625" style="28" bestFit="1" customWidth="1"/>
    <col min="3330" max="3330" width="10" style="28" bestFit="1" customWidth="1"/>
    <col min="3331" max="3572" width="8.85546875" style="28"/>
    <col min="3573" max="3573" width="7.7109375" style="28" bestFit="1" customWidth="1"/>
    <col min="3574" max="3574" width="88.28515625" style="28" customWidth="1"/>
    <col min="3575" max="3575" width="13" style="28" customWidth="1"/>
    <col min="3576" max="3576" width="18" style="28" customWidth="1"/>
    <col min="3577" max="3577" width="17" style="28" customWidth="1"/>
    <col min="3578" max="3578" width="17.85546875" style="28" customWidth="1"/>
    <col min="3579" max="3579" width="20.42578125" style="28" customWidth="1"/>
    <col min="3580" max="3580" width="14.85546875" style="28" customWidth="1"/>
    <col min="3581" max="3583" width="18.140625" style="28" customWidth="1"/>
    <col min="3584" max="3584" width="20.42578125" style="28" customWidth="1"/>
    <col min="3585" max="3585" width="14.140625" style="28" bestFit="1" customWidth="1"/>
    <col min="3586" max="3586" width="10" style="28" bestFit="1" customWidth="1"/>
    <col min="3587" max="3828" width="8.85546875" style="28"/>
    <col min="3829" max="3829" width="7.7109375" style="28" bestFit="1" customWidth="1"/>
    <col min="3830" max="3830" width="88.28515625" style="28" customWidth="1"/>
    <col min="3831" max="3831" width="13" style="28" customWidth="1"/>
    <col min="3832" max="3832" width="18" style="28" customWidth="1"/>
    <col min="3833" max="3833" width="17" style="28" customWidth="1"/>
    <col min="3834" max="3834" width="17.85546875" style="28" customWidth="1"/>
    <col min="3835" max="3835" width="20.42578125" style="28" customWidth="1"/>
    <col min="3836" max="3836" width="14.85546875" style="28" customWidth="1"/>
    <col min="3837" max="3839" width="18.140625" style="28" customWidth="1"/>
    <col min="3840" max="3840" width="20.42578125" style="28" customWidth="1"/>
    <col min="3841" max="3841" width="14.140625" style="28" bestFit="1" customWidth="1"/>
    <col min="3842" max="3842" width="10" style="28" bestFit="1" customWidth="1"/>
    <col min="3843" max="4084" width="8.85546875" style="28"/>
    <col min="4085" max="4085" width="7.7109375" style="28" bestFit="1" customWidth="1"/>
    <col min="4086" max="4086" width="88.28515625" style="28" customWidth="1"/>
    <col min="4087" max="4087" width="13" style="28" customWidth="1"/>
    <col min="4088" max="4088" width="18" style="28" customWidth="1"/>
    <col min="4089" max="4089" width="17" style="28" customWidth="1"/>
    <col min="4090" max="4090" width="17.85546875" style="28" customWidth="1"/>
    <col min="4091" max="4091" width="20.42578125" style="28" customWidth="1"/>
    <col min="4092" max="4092" width="14.85546875" style="28" customWidth="1"/>
    <col min="4093" max="4095" width="18.140625" style="28" customWidth="1"/>
    <col min="4096" max="4096" width="20.42578125" style="28" customWidth="1"/>
    <col min="4097" max="4097" width="14.140625" style="28" bestFit="1" customWidth="1"/>
    <col min="4098" max="4098" width="10" style="28" bestFit="1" customWidth="1"/>
    <col min="4099" max="4340" width="8.85546875" style="28"/>
    <col min="4341" max="4341" width="7.7109375" style="28" bestFit="1" customWidth="1"/>
    <col min="4342" max="4342" width="88.28515625" style="28" customWidth="1"/>
    <col min="4343" max="4343" width="13" style="28" customWidth="1"/>
    <col min="4344" max="4344" width="18" style="28" customWidth="1"/>
    <col min="4345" max="4345" width="17" style="28" customWidth="1"/>
    <col min="4346" max="4346" width="17.85546875" style="28" customWidth="1"/>
    <col min="4347" max="4347" width="20.42578125" style="28" customWidth="1"/>
    <col min="4348" max="4348" width="14.85546875" style="28" customWidth="1"/>
    <col min="4349" max="4351" width="18.140625" style="28" customWidth="1"/>
    <col min="4352" max="4352" width="20.42578125" style="28" customWidth="1"/>
    <col min="4353" max="4353" width="14.140625" style="28" bestFit="1" customWidth="1"/>
    <col min="4354" max="4354" width="10" style="28" bestFit="1" customWidth="1"/>
    <col min="4355" max="4596" width="8.85546875" style="28"/>
    <col min="4597" max="4597" width="7.7109375" style="28" bestFit="1" customWidth="1"/>
    <col min="4598" max="4598" width="88.28515625" style="28" customWidth="1"/>
    <col min="4599" max="4599" width="13" style="28" customWidth="1"/>
    <col min="4600" max="4600" width="18" style="28" customWidth="1"/>
    <col min="4601" max="4601" width="17" style="28" customWidth="1"/>
    <col min="4602" max="4602" width="17.85546875" style="28" customWidth="1"/>
    <col min="4603" max="4603" width="20.42578125" style="28" customWidth="1"/>
    <col min="4604" max="4604" width="14.85546875" style="28" customWidth="1"/>
    <col min="4605" max="4607" width="18.140625" style="28" customWidth="1"/>
    <col min="4608" max="4608" width="20.42578125" style="28" customWidth="1"/>
    <col min="4609" max="4609" width="14.140625" style="28" bestFit="1" customWidth="1"/>
    <col min="4610" max="4610" width="10" style="28" bestFit="1" customWidth="1"/>
    <col min="4611" max="4852" width="8.85546875" style="28"/>
    <col min="4853" max="4853" width="7.7109375" style="28" bestFit="1" customWidth="1"/>
    <col min="4854" max="4854" width="88.28515625" style="28" customWidth="1"/>
    <col min="4855" max="4855" width="13" style="28" customWidth="1"/>
    <col min="4856" max="4856" width="18" style="28" customWidth="1"/>
    <col min="4857" max="4857" width="17" style="28" customWidth="1"/>
    <col min="4858" max="4858" width="17.85546875" style="28" customWidth="1"/>
    <col min="4859" max="4859" width="20.42578125" style="28" customWidth="1"/>
    <col min="4860" max="4860" width="14.85546875" style="28" customWidth="1"/>
    <col min="4861" max="4863" width="18.140625" style="28" customWidth="1"/>
    <col min="4864" max="4864" width="20.42578125" style="28" customWidth="1"/>
    <col min="4865" max="4865" width="14.140625" style="28" bestFit="1" customWidth="1"/>
    <col min="4866" max="4866" width="10" style="28" bestFit="1" customWidth="1"/>
    <col min="4867" max="5108" width="8.85546875" style="28"/>
    <col min="5109" max="5109" width="7.7109375" style="28" bestFit="1" customWidth="1"/>
    <col min="5110" max="5110" width="88.28515625" style="28" customWidth="1"/>
    <col min="5111" max="5111" width="13" style="28" customWidth="1"/>
    <col min="5112" max="5112" width="18" style="28" customWidth="1"/>
    <col min="5113" max="5113" width="17" style="28" customWidth="1"/>
    <col min="5114" max="5114" width="17.85546875" style="28" customWidth="1"/>
    <col min="5115" max="5115" width="20.42578125" style="28" customWidth="1"/>
    <col min="5116" max="5116" width="14.85546875" style="28" customWidth="1"/>
    <col min="5117" max="5119" width="18.140625" style="28" customWidth="1"/>
    <col min="5120" max="5120" width="20.42578125" style="28" customWidth="1"/>
    <col min="5121" max="5121" width="14.140625" style="28" bestFit="1" customWidth="1"/>
    <col min="5122" max="5122" width="10" style="28" bestFit="1" customWidth="1"/>
    <col min="5123" max="5364" width="8.85546875" style="28"/>
    <col min="5365" max="5365" width="7.7109375" style="28" bestFit="1" customWidth="1"/>
    <col min="5366" max="5366" width="88.28515625" style="28" customWidth="1"/>
    <col min="5367" max="5367" width="13" style="28" customWidth="1"/>
    <col min="5368" max="5368" width="18" style="28" customWidth="1"/>
    <col min="5369" max="5369" width="17" style="28" customWidth="1"/>
    <col min="5370" max="5370" width="17.85546875" style="28" customWidth="1"/>
    <col min="5371" max="5371" width="20.42578125" style="28" customWidth="1"/>
    <col min="5372" max="5372" width="14.85546875" style="28" customWidth="1"/>
    <col min="5373" max="5375" width="18.140625" style="28" customWidth="1"/>
    <col min="5376" max="5376" width="20.42578125" style="28" customWidth="1"/>
    <col min="5377" max="5377" width="14.140625" style="28" bestFit="1" customWidth="1"/>
    <col min="5378" max="5378" width="10" style="28" bestFit="1" customWidth="1"/>
    <col min="5379" max="5620" width="8.85546875" style="28"/>
    <col min="5621" max="5621" width="7.7109375" style="28" bestFit="1" customWidth="1"/>
    <col min="5622" max="5622" width="88.28515625" style="28" customWidth="1"/>
    <col min="5623" max="5623" width="13" style="28" customWidth="1"/>
    <col min="5624" max="5624" width="18" style="28" customWidth="1"/>
    <col min="5625" max="5625" width="17" style="28" customWidth="1"/>
    <col min="5626" max="5626" width="17.85546875" style="28" customWidth="1"/>
    <col min="5627" max="5627" width="20.42578125" style="28" customWidth="1"/>
    <col min="5628" max="5628" width="14.85546875" style="28" customWidth="1"/>
    <col min="5629" max="5631" width="18.140625" style="28" customWidth="1"/>
    <col min="5632" max="5632" width="20.42578125" style="28" customWidth="1"/>
    <col min="5633" max="5633" width="14.140625" style="28" bestFit="1" customWidth="1"/>
    <col min="5634" max="5634" width="10" style="28" bestFit="1" customWidth="1"/>
    <col min="5635" max="5876" width="8.85546875" style="28"/>
    <col min="5877" max="5877" width="7.7109375" style="28" bestFit="1" customWidth="1"/>
    <col min="5878" max="5878" width="88.28515625" style="28" customWidth="1"/>
    <col min="5879" max="5879" width="13" style="28" customWidth="1"/>
    <col min="5880" max="5880" width="18" style="28" customWidth="1"/>
    <col min="5881" max="5881" width="17" style="28" customWidth="1"/>
    <col min="5882" max="5882" width="17.85546875" style="28" customWidth="1"/>
    <col min="5883" max="5883" width="20.42578125" style="28" customWidth="1"/>
    <col min="5884" max="5884" width="14.85546875" style="28" customWidth="1"/>
    <col min="5885" max="5887" width="18.140625" style="28" customWidth="1"/>
    <col min="5888" max="5888" width="20.42578125" style="28" customWidth="1"/>
    <col min="5889" max="5889" width="14.140625" style="28" bestFit="1" customWidth="1"/>
    <col min="5890" max="5890" width="10" style="28" bestFit="1" customWidth="1"/>
    <col min="5891" max="6132" width="8.85546875" style="28"/>
    <col min="6133" max="6133" width="7.7109375" style="28" bestFit="1" customWidth="1"/>
    <col min="6134" max="6134" width="88.28515625" style="28" customWidth="1"/>
    <col min="6135" max="6135" width="13" style="28" customWidth="1"/>
    <col min="6136" max="6136" width="18" style="28" customWidth="1"/>
    <col min="6137" max="6137" width="17" style="28" customWidth="1"/>
    <col min="6138" max="6138" width="17.85546875" style="28" customWidth="1"/>
    <col min="6139" max="6139" width="20.42578125" style="28" customWidth="1"/>
    <col min="6140" max="6140" width="14.85546875" style="28" customWidth="1"/>
    <col min="6141" max="6143" width="18.140625" style="28" customWidth="1"/>
    <col min="6144" max="6144" width="20.42578125" style="28" customWidth="1"/>
    <col min="6145" max="6145" width="14.140625" style="28" bestFit="1" customWidth="1"/>
    <col min="6146" max="6146" width="10" style="28" bestFit="1" customWidth="1"/>
    <col min="6147" max="6388" width="8.85546875" style="28"/>
    <col min="6389" max="6389" width="7.7109375" style="28" bestFit="1" customWidth="1"/>
    <col min="6390" max="6390" width="88.28515625" style="28" customWidth="1"/>
    <col min="6391" max="6391" width="13" style="28" customWidth="1"/>
    <col min="6392" max="6392" width="18" style="28" customWidth="1"/>
    <col min="6393" max="6393" width="17" style="28" customWidth="1"/>
    <col min="6394" max="6394" width="17.85546875" style="28" customWidth="1"/>
    <col min="6395" max="6395" width="20.42578125" style="28" customWidth="1"/>
    <col min="6396" max="6396" width="14.85546875" style="28" customWidth="1"/>
    <col min="6397" max="6399" width="18.140625" style="28" customWidth="1"/>
    <col min="6400" max="6400" width="20.42578125" style="28" customWidth="1"/>
    <col min="6401" max="6401" width="14.140625" style="28" bestFit="1" customWidth="1"/>
    <col min="6402" max="6402" width="10" style="28" bestFit="1" customWidth="1"/>
    <col min="6403" max="6644" width="8.85546875" style="28"/>
    <col min="6645" max="6645" width="7.7109375" style="28" bestFit="1" customWidth="1"/>
    <col min="6646" max="6646" width="88.28515625" style="28" customWidth="1"/>
    <col min="6647" max="6647" width="13" style="28" customWidth="1"/>
    <col min="6648" max="6648" width="18" style="28" customWidth="1"/>
    <col min="6649" max="6649" width="17" style="28" customWidth="1"/>
    <col min="6650" max="6650" width="17.85546875" style="28" customWidth="1"/>
    <col min="6651" max="6651" width="20.42578125" style="28" customWidth="1"/>
    <col min="6652" max="6652" width="14.85546875" style="28" customWidth="1"/>
    <col min="6653" max="6655" width="18.140625" style="28" customWidth="1"/>
    <col min="6656" max="6656" width="20.42578125" style="28" customWidth="1"/>
    <col min="6657" max="6657" width="14.140625" style="28" bestFit="1" customWidth="1"/>
    <col min="6658" max="6658" width="10" style="28" bestFit="1" customWidth="1"/>
    <col min="6659" max="6900" width="8.85546875" style="28"/>
    <col min="6901" max="6901" width="7.7109375" style="28" bestFit="1" customWidth="1"/>
    <col min="6902" max="6902" width="88.28515625" style="28" customWidth="1"/>
    <col min="6903" max="6903" width="13" style="28" customWidth="1"/>
    <col min="6904" max="6904" width="18" style="28" customWidth="1"/>
    <col min="6905" max="6905" width="17" style="28" customWidth="1"/>
    <col min="6906" max="6906" width="17.85546875" style="28" customWidth="1"/>
    <col min="6907" max="6907" width="20.42578125" style="28" customWidth="1"/>
    <col min="6908" max="6908" width="14.85546875" style="28" customWidth="1"/>
    <col min="6909" max="6911" width="18.140625" style="28" customWidth="1"/>
    <col min="6912" max="6912" width="20.42578125" style="28" customWidth="1"/>
    <col min="6913" max="6913" width="14.140625" style="28" bestFit="1" customWidth="1"/>
    <col min="6914" max="6914" width="10" style="28" bestFit="1" customWidth="1"/>
    <col min="6915" max="7156" width="8.85546875" style="28"/>
    <col min="7157" max="7157" width="7.7109375" style="28" bestFit="1" customWidth="1"/>
    <col min="7158" max="7158" width="88.28515625" style="28" customWidth="1"/>
    <col min="7159" max="7159" width="13" style="28" customWidth="1"/>
    <col min="7160" max="7160" width="18" style="28" customWidth="1"/>
    <col min="7161" max="7161" width="17" style="28" customWidth="1"/>
    <col min="7162" max="7162" width="17.85546875" style="28" customWidth="1"/>
    <col min="7163" max="7163" width="20.42578125" style="28" customWidth="1"/>
    <col min="7164" max="7164" width="14.85546875" style="28" customWidth="1"/>
    <col min="7165" max="7167" width="18.140625" style="28" customWidth="1"/>
    <col min="7168" max="7168" width="20.42578125" style="28" customWidth="1"/>
    <col min="7169" max="7169" width="14.140625" style="28" bestFit="1" customWidth="1"/>
    <col min="7170" max="7170" width="10" style="28" bestFit="1" customWidth="1"/>
    <col min="7171" max="7412" width="8.85546875" style="28"/>
    <col min="7413" max="7413" width="7.7109375" style="28" bestFit="1" customWidth="1"/>
    <col min="7414" max="7414" width="88.28515625" style="28" customWidth="1"/>
    <col min="7415" max="7415" width="13" style="28" customWidth="1"/>
    <col min="7416" max="7416" width="18" style="28" customWidth="1"/>
    <col min="7417" max="7417" width="17" style="28" customWidth="1"/>
    <col min="7418" max="7418" width="17.85546875" style="28" customWidth="1"/>
    <col min="7419" max="7419" width="20.42578125" style="28" customWidth="1"/>
    <col min="7420" max="7420" width="14.85546875" style="28" customWidth="1"/>
    <col min="7421" max="7423" width="18.140625" style="28" customWidth="1"/>
    <col min="7424" max="7424" width="20.42578125" style="28" customWidth="1"/>
    <col min="7425" max="7425" width="14.140625" style="28" bestFit="1" customWidth="1"/>
    <col min="7426" max="7426" width="10" style="28" bestFit="1" customWidth="1"/>
    <col min="7427" max="7668" width="8.85546875" style="28"/>
    <col min="7669" max="7669" width="7.7109375" style="28" bestFit="1" customWidth="1"/>
    <col min="7670" max="7670" width="88.28515625" style="28" customWidth="1"/>
    <col min="7671" max="7671" width="13" style="28" customWidth="1"/>
    <col min="7672" max="7672" width="18" style="28" customWidth="1"/>
    <col min="7673" max="7673" width="17" style="28" customWidth="1"/>
    <col min="7674" max="7674" width="17.85546875" style="28" customWidth="1"/>
    <col min="7675" max="7675" width="20.42578125" style="28" customWidth="1"/>
    <col min="7676" max="7676" width="14.85546875" style="28" customWidth="1"/>
    <col min="7677" max="7679" width="18.140625" style="28" customWidth="1"/>
    <col min="7680" max="7680" width="20.42578125" style="28" customWidth="1"/>
    <col min="7681" max="7681" width="14.140625" style="28" bestFit="1" customWidth="1"/>
    <col min="7682" max="7682" width="10" style="28" bestFit="1" customWidth="1"/>
    <col min="7683" max="7924" width="8.85546875" style="28"/>
    <col min="7925" max="7925" width="7.7109375" style="28" bestFit="1" customWidth="1"/>
    <col min="7926" max="7926" width="88.28515625" style="28" customWidth="1"/>
    <col min="7927" max="7927" width="13" style="28" customWidth="1"/>
    <col min="7928" max="7928" width="18" style="28" customWidth="1"/>
    <col min="7929" max="7929" width="17" style="28" customWidth="1"/>
    <col min="7930" max="7930" width="17.85546875" style="28" customWidth="1"/>
    <col min="7931" max="7931" width="20.42578125" style="28" customWidth="1"/>
    <col min="7932" max="7932" width="14.85546875" style="28" customWidth="1"/>
    <col min="7933" max="7935" width="18.140625" style="28" customWidth="1"/>
    <col min="7936" max="7936" width="20.42578125" style="28" customWidth="1"/>
    <col min="7937" max="7937" width="14.140625" style="28" bestFit="1" customWidth="1"/>
    <col min="7938" max="7938" width="10" style="28" bestFit="1" customWidth="1"/>
    <col min="7939" max="8180" width="8.85546875" style="28"/>
    <col min="8181" max="8181" width="7.7109375" style="28" bestFit="1" customWidth="1"/>
    <col min="8182" max="8182" width="88.28515625" style="28" customWidth="1"/>
    <col min="8183" max="8183" width="13" style="28" customWidth="1"/>
    <col min="8184" max="8184" width="18" style="28" customWidth="1"/>
    <col min="8185" max="8185" width="17" style="28" customWidth="1"/>
    <col min="8186" max="8186" width="17.85546875" style="28" customWidth="1"/>
    <col min="8187" max="8187" width="20.42578125" style="28" customWidth="1"/>
    <col min="8188" max="8188" width="14.85546875" style="28" customWidth="1"/>
    <col min="8189" max="8191" width="18.140625" style="28" customWidth="1"/>
    <col min="8192" max="8192" width="20.42578125" style="28" customWidth="1"/>
    <col min="8193" max="8193" width="14.140625" style="28" bestFit="1" customWidth="1"/>
    <col min="8194" max="8194" width="10" style="28" bestFit="1" customWidth="1"/>
    <col min="8195" max="8436" width="8.85546875" style="28"/>
    <col min="8437" max="8437" width="7.7109375" style="28" bestFit="1" customWidth="1"/>
    <col min="8438" max="8438" width="88.28515625" style="28" customWidth="1"/>
    <col min="8439" max="8439" width="13" style="28" customWidth="1"/>
    <col min="8440" max="8440" width="18" style="28" customWidth="1"/>
    <col min="8441" max="8441" width="17" style="28" customWidth="1"/>
    <col min="8442" max="8442" width="17.85546875" style="28" customWidth="1"/>
    <col min="8443" max="8443" width="20.42578125" style="28" customWidth="1"/>
    <col min="8444" max="8444" width="14.85546875" style="28" customWidth="1"/>
    <col min="8445" max="8447" width="18.140625" style="28" customWidth="1"/>
    <col min="8448" max="8448" width="20.42578125" style="28" customWidth="1"/>
    <col min="8449" max="8449" width="14.140625" style="28" bestFit="1" customWidth="1"/>
    <col min="8450" max="8450" width="10" style="28" bestFit="1" customWidth="1"/>
    <col min="8451" max="8692" width="8.85546875" style="28"/>
    <col min="8693" max="8693" width="7.7109375" style="28" bestFit="1" customWidth="1"/>
    <col min="8694" max="8694" width="88.28515625" style="28" customWidth="1"/>
    <col min="8695" max="8695" width="13" style="28" customWidth="1"/>
    <col min="8696" max="8696" width="18" style="28" customWidth="1"/>
    <col min="8697" max="8697" width="17" style="28" customWidth="1"/>
    <col min="8698" max="8698" width="17.85546875" style="28" customWidth="1"/>
    <col min="8699" max="8699" width="20.42578125" style="28" customWidth="1"/>
    <col min="8700" max="8700" width="14.85546875" style="28" customWidth="1"/>
    <col min="8701" max="8703" width="18.140625" style="28" customWidth="1"/>
    <col min="8704" max="8704" width="20.42578125" style="28" customWidth="1"/>
    <col min="8705" max="8705" width="14.140625" style="28" bestFit="1" customWidth="1"/>
    <col min="8706" max="8706" width="10" style="28" bestFit="1" customWidth="1"/>
    <col min="8707" max="8948" width="8.85546875" style="28"/>
    <col min="8949" max="8949" width="7.7109375" style="28" bestFit="1" customWidth="1"/>
    <col min="8950" max="8950" width="88.28515625" style="28" customWidth="1"/>
    <col min="8951" max="8951" width="13" style="28" customWidth="1"/>
    <col min="8952" max="8952" width="18" style="28" customWidth="1"/>
    <col min="8953" max="8953" width="17" style="28" customWidth="1"/>
    <col min="8954" max="8954" width="17.85546875" style="28" customWidth="1"/>
    <col min="8955" max="8955" width="20.42578125" style="28" customWidth="1"/>
    <col min="8956" max="8956" width="14.85546875" style="28" customWidth="1"/>
    <col min="8957" max="8959" width="18.140625" style="28" customWidth="1"/>
    <col min="8960" max="8960" width="20.42578125" style="28" customWidth="1"/>
    <col min="8961" max="8961" width="14.140625" style="28" bestFit="1" customWidth="1"/>
    <col min="8962" max="8962" width="10" style="28" bestFit="1" customWidth="1"/>
    <col min="8963" max="9204" width="8.85546875" style="28"/>
    <col min="9205" max="9205" width="7.7109375" style="28" bestFit="1" customWidth="1"/>
    <col min="9206" max="9206" width="88.28515625" style="28" customWidth="1"/>
    <col min="9207" max="9207" width="13" style="28" customWidth="1"/>
    <col min="9208" max="9208" width="18" style="28" customWidth="1"/>
    <col min="9209" max="9209" width="17" style="28" customWidth="1"/>
    <col min="9210" max="9210" width="17.85546875" style="28" customWidth="1"/>
    <col min="9211" max="9211" width="20.42578125" style="28" customWidth="1"/>
    <col min="9212" max="9212" width="14.85546875" style="28" customWidth="1"/>
    <col min="9213" max="9215" width="18.140625" style="28" customWidth="1"/>
    <col min="9216" max="9216" width="20.42578125" style="28" customWidth="1"/>
    <col min="9217" max="9217" width="14.140625" style="28" bestFit="1" customWidth="1"/>
    <col min="9218" max="9218" width="10" style="28" bestFit="1" customWidth="1"/>
    <col min="9219" max="9460" width="8.85546875" style="28"/>
    <col min="9461" max="9461" width="7.7109375" style="28" bestFit="1" customWidth="1"/>
    <col min="9462" max="9462" width="88.28515625" style="28" customWidth="1"/>
    <col min="9463" max="9463" width="13" style="28" customWidth="1"/>
    <col min="9464" max="9464" width="18" style="28" customWidth="1"/>
    <col min="9465" max="9465" width="17" style="28" customWidth="1"/>
    <col min="9466" max="9466" width="17.85546875" style="28" customWidth="1"/>
    <col min="9467" max="9467" width="20.42578125" style="28" customWidth="1"/>
    <col min="9468" max="9468" width="14.85546875" style="28" customWidth="1"/>
    <col min="9469" max="9471" width="18.140625" style="28" customWidth="1"/>
    <col min="9472" max="9472" width="20.42578125" style="28" customWidth="1"/>
    <col min="9473" max="9473" width="14.140625" style="28" bestFit="1" customWidth="1"/>
    <col min="9474" max="9474" width="10" style="28" bestFit="1" customWidth="1"/>
    <col min="9475" max="9716" width="8.85546875" style="28"/>
    <col min="9717" max="9717" width="7.7109375" style="28" bestFit="1" customWidth="1"/>
    <col min="9718" max="9718" width="88.28515625" style="28" customWidth="1"/>
    <col min="9719" max="9719" width="13" style="28" customWidth="1"/>
    <col min="9720" max="9720" width="18" style="28" customWidth="1"/>
    <col min="9721" max="9721" width="17" style="28" customWidth="1"/>
    <col min="9722" max="9722" width="17.85546875" style="28" customWidth="1"/>
    <col min="9723" max="9723" width="20.42578125" style="28" customWidth="1"/>
    <col min="9724" max="9724" width="14.85546875" style="28" customWidth="1"/>
    <col min="9725" max="9727" width="18.140625" style="28" customWidth="1"/>
    <col min="9728" max="9728" width="20.42578125" style="28" customWidth="1"/>
    <col min="9729" max="9729" width="14.140625" style="28" bestFit="1" customWidth="1"/>
    <col min="9730" max="9730" width="10" style="28" bestFit="1" customWidth="1"/>
    <col min="9731" max="9972" width="8.85546875" style="28"/>
    <col min="9973" max="9973" width="7.7109375" style="28" bestFit="1" customWidth="1"/>
    <col min="9974" max="9974" width="88.28515625" style="28" customWidth="1"/>
    <col min="9975" max="9975" width="13" style="28" customWidth="1"/>
    <col min="9976" max="9976" width="18" style="28" customWidth="1"/>
    <col min="9977" max="9977" width="17" style="28" customWidth="1"/>
    <col min="9978" max="9978" width="17.85546875" style="28" customWidth="1"/>
    <col min="9979" max="9979" width="20.42578125" style="28" customWidth="1"/>
    <col min="9980" max="9980" width="14.85546875" style="28" customWidth="1"/>
    <col min="9981" max="9983" width="18.140625" style="28" customWidth="1"/>
    <col min="9984" max="9984" width="20.42578125" style="28" customWidth="1"/>
    <col min="9985" max="9985" width="14.140625" style="28" bestFit="1" customWidth="1"/>
    <col min="9986" max="9986" width="10" style="28" bestFit="1" customWidth="1"/>
    <col min="9987" max="10228" width="8.85546875" style="28"/>
    <col min="10229" max="10229" width="7.7109375" style="28" bestFit="1" customWidth="1"/>
    <col min="10230" max="10230" width="88.28515625" style="28" customWidth="1"/>
    <col min="10231" max="10231" width="13" style="28" customWidth="1"/>
    <col min="10232" max="10232" width="18" style="28" customWidth="1"/>
    <col min="10233" max="10233" width="17" style="28" customWidth="1"/>
    <col min="10234" max="10234" width="17.85546875" style="28" customWidth="1"/>
    <col min="10235" max="10235" width="20.42578125" style="28" customWidth="1"/>
    <col min="10236" max="10236" width="14.85546875" style="28" customWidth="1"/>
    <col min="10237" max="10239" width="18.140625" style="28" customWidth="1"/>
    <col min="10240" max="10240" width="20.42578125" style="28" customWidth="1"/>
    <col min="10241" max="10241" width="14.140625" style="28" bestFit="1" customWidth="1"/>
    <col min="10242" max="10242" width="10" style="28" bestFit="1" customWidth="1"/>
    <col min="10243" max="10484" width="8.85546875" style="28"/>
    <col min="10485" max="10485" width="7.7109375" style="28" bestFit="1" customWidth="1"/>
    <col min="10486" max="10486" width="88.28515625" style="28" customWidth="1"/>
    <col min="10487" max="10487" width="13" style="28" customWidth="1"/>
    <col min="10488" max="10488" width="18" style="28" customWidth="1"/>
    <col min="10489" max="10489" width="17" style="28" customWidth="1"/>
    <col min="10490" max="10490" width="17.85546875" style="28" customWidth="1"/>
    <col min="10491" max="10491" width="20.42578125" style="28" customWidth="1"/>
    <col min="10492" max="10492" width="14.85546875" style="28" customWidth="1"/>
    <col min="10493" max="10495" width="18.140625" style="28" customWidth="1"/>
    <col min="10496" max="10496" width="20.42578125" style="28" customWidth="1"/>
    <col min="10497" max="10497" width="14.140625" style="28" bestFit="1" customWidth="1"/>
    <col min="10498" max="10498" width="10" style="28" bestFit="1" customWidth="1"/>
    <col min="10499" max="10740" width="8.85546875" style="28"/>
    <col min="10741" max="10741" width="7.7109375" style="28" bestFit="1" customWidth="1"/>
    <col min="10742" max="10742" width="88.28515625" style="28" customWidth="1"/>
    <col min="10743" max="10743" width="13" style="28" customWidth="1"/>
    <col min="10744" max="10744" width="18" style="28" customWidth="1"/>
    <col min="10745" max="10745" width="17" style="28" customWidth="1"/>
    <col min="10746" max="10746" width="17.85546875" style="28" customWidth="1"/>
    <col min="10747" max="10747" width="20.42578125" style="28" customWidth="1"/>
    <col min="10748" max="10748" width="14.85546875" style="28" customWidth="1"/>
    <col min="10749" max="10751" width="18.140625" style="28" customWidth="1"/>
    <col min="10752" max="10752" width="20.42578125" style="28" customWidth="1"/>
    <col min="10753" max="10753" width="14.140625" style="28" bestFit="1" customWidth="1"/>
    <col min="10754" max="10754" width="10" style="28" bestFit="1" customWidth="1"/>
    <col min="10755" max="10996" width="8.85546875" style="28"/>
    <col min="10997" max="10997" width="7.7109375" style="28" bestFit="1" customWidth="1"/>
    <col min="10998" max="10998" width="88.28515625" style="28" customWidth="1"/>
    <col min="10999" max="10999" width="13" style="28" customWidth="1"/>
    <col min="11000" max="11000" width="18" style="28" customWidth="1"/>
    <col min="11001" max="11001" width="17" style="28" customWidth="1"/>
    <col min="11002" max="11002" width="17.85546875" style="28" customWidth="1"/>
    <col min="11003" max="11003" width="20.42578125" style="28" customWidth="1"/>
    <col min="11004" max="11004" width="14.85546875" style="28" customWidth="1"/>
    <col min="11005" max="11007" width="18.140625" style="28" customWidth="1"/>
    <col min="11008" max="11008" width="20.42578125" style="28" customWidth="1"/>
    <col min="11009" max="11009" width="14.140625" style="28" bestFit="1" customWidth="1"/>
    <col min="11010" max="11010" width="10" style="28" bestFit="1" customWidth="1"/>
    <col min="11011" max="11252" width="8.85546875" style="28"/>
    <col min="11253" max="11253" width="7.7109375" style="28" bestFit="1" customWidth="1"/>
    <col min="11254" max="11254" width="88.28515625" style="28" customWidth="1"/>
    <col min="11255" max="11255" width="13" style="28" customWidth="1"/>
    <col min="11256" max="11256" width="18" style="28" customWidth="1"/>
    <col min="11257" max="11257" width="17" style="28" customWidth="1"/>
    <col min="11258" max="11258" width="17.85546875" style="28" customWidth="1"/>
    <col min="11259" max="11259" width="20.42578125" style="28" customWidth="1"/>
    <col min="11260" max="11260" width="14.85546875" style="28" customWidth="1"/>
    <col min="11261" max="11263" width="18.140625" style="28" customWidth="1"/>
    <col min="11264" max="11264" width="20.42578125" style="28" customWidth="1"/>
    <col min="11265" max="11265" width="14.140625" style="28" bestFit="1" customWidth="1"/>
    <col min="11266" max="11266" width="10" style="28" bestFit="1" customWidth="1"/>
    <col min="11267" max="11508" width="8.85546875" style="28"/>
    <col min="11509" max="11509" width="7.7109375" style="28" bestFit="1" customWidth="1"/>
    <col min="11510" max="11510" width="88.28515625" style="28" customWidth="1"/>
    <col min="11511" max="11511" width="13" style="28" customWidth="1"/>
    <col min="11512" max="11512" width="18" style="28" customWidth="1"/>
    <col min="11513" max="11513" width="17" style="28" customWidth="1"/>
    <col min="11514" max="11514" width="17.85546875" style="28" customWidth="1"/>
    <col min="11515" max="11515" width="20.42578125" style="28" customWidth="1"/>
    <col min="11516" max="11516" width="14.85546875" style="28" customWidth="1"/>
    <col min="11517" max="11519" width="18.140625" style="28" customWidth="1"/>
    <col min="11520" max="11520" width="20.42578125" style="28" customWidth="1"/>
    <col min="11521" max="11521" width="14.140625" style="28" bestFit="1" customWidth="1"/>
    <col min="11522" max="11522" width="10" style="28" bestFit="1" customWidth="1"/>
    <col min="11523" max="11764" width="8.85546875" style="28"/>
    <col min="11765" max="11765" width="7.7109375" style="28" bestFit="1" customWidth="1"/>
    <col min="11766" max="11766" width="88.28515625" style="28" customWidth="1"/>
    <col min="11767" max="11767" width="13" style="28" customWidth="1"/>
    <col min="11768" max="11768" width="18" style="28" customWidth="1"/>
    <col min="11769" max="11769" width="17" style="28" customWidth="1"/>
    <col min="11770" max="11770" width="17.85546875" style="28" customWidth="1"/>
    <col min="11771" max="11771" width="20.42578125" style="28" customWidth="1"/>
    <col min="11772" max="11772" width="14.85546875" style="28" customWidth="1"/>
    <col min="11773" max="11775" width="18.140625" style="28" customWidth="1"/>
    <col min="11776" max="11776" width="20.42578125" style="28" customWidth="1"/>
    <col min="11777" max="11777" width="14.140625" style="28" bestFit="1" customWidth="1"/>
    <col min="11778" max="11778" width="10" style="28" bestFit="1" customWidth="1"/>
    <col min="11779" max="12020" width="8.85546875" style="28"/>
    <col min="12021" max="12021" width="7.7109375" style="28" bestFit="1" customWidth="1"/>
    <col min="12022" max="12022" width="88.28515625" style="28" customWidth="1"/>
    <col min="12023" max="12023" width="13" style="28" customWidth="1"/>
    <col min="12024" max="12024" width="18" style="28" customWidth="1"/>
    <col min="12025" max="12025" width="17" style="28" customWidth="1"/>
    <col min="12026" max="12026" width="17.85546875" style="28" customWidth="1"/>
    <col min="12027" max="12027" width="20.42578125" style="28" customWidth="1"/>
    <col min="12028" max="12028" width="14.85546875" style="28" customWidth="1"/>
    <col min="12029" max="12031" width="18.140625" style="28" customWidth="1"/>
    <col min="12032" max="12032" width="20.42578125" style="28" customWidth="1"/>
    <col min="12033" max="12033" width="14.140625" style="28" bestFit="1" customWidth="1"/>
    <col min="12034" max="12034" width="10" style="28" bestFit="1" customWidth="1"/>
    <col min="12035" max="12276" width="8.85546875" style="28"/>
    <col min="12277" max="12277" width="7.7109375" style="28" bestFit="1" customWidth="1"/>
    <col min="12278" max="12278" width="88.28515625" style="28" customWidth="1"/>
    <col min="12279" max="12279" width="13" style="28" customWidth="1"/>
    <col min="12280" max="12280" width="18" style="28" customWidth="1"/>
    <col min="12281" max="12281" width="17" style="28" customWidth="1"/>
    <col min="12282" max="12282" width="17.85546875" style="28" customWidth="1"/>
    <col min="12283" max="12283" width="20.42578125" style="28" customWidth="1"/>
    <col min="12284" max="12284" width="14.85546875" style="28" customWidth="1"/>
    <col min="12285" max="12287" width="18.140625" style="28" customWidth="1"/>
    <col min="12288" max="12288" width="20.42578125" style="28" customWidth="1"/>
    <col min="12289" max="12289" width="14.140625" style="28" bestFit="1" customWidth="1"/>
    <col min="12290" max="12290" width="10" style="28" bestFit="1" customWidth="1"/>
    <col min="12291" max="12532" width="8.85546875" style="28"/>
    <col min="12533" max="12533" width="7.7109375" style="28" bestFit="1" customWidth="1"/>
    <col min="12534" max="12534" width="88.28515625" style="28" customWidth="1"/>
    <col min="12535" max="12535" width="13" style="28" customWidth="1"/>
    <col min="12536" max="12536" width="18" style="28" customWidth="1"/>
    <col min="12537" max="12537" width="17" style="28" customWidth="1"/>
    <col min="12538" max="12538" width="17.85546875" style="28" customWidth="1"/>
    <col min="12539" max="12539" width="20.42578125" style="28" customWidth="1"/>
    <col min="12540" max="12540" width="14.85546875" style="28" customWidth="1"/>
    <col min="12541" max="12543" width="18.140625" style="28" customWidth="1"/>
    <col min="12544" max="12544" width="20.42578125" style="28" customWidth="1"/>
    <col min="12545" max="12545" width="14.140625" style="28" bestFit="1" customWidth="1"/>
    <col min="12546" max="12546" width="10" style="28" bestFit="1" customWidth="1"/>
    <col min="12547" max="12788" width="8.85546875" style="28"/>
    <col min="12789" max="12789" width="7.7109375" style="28" bestFit="1" customWidth="1"/>
    <col min="12790" max="12790" width="88.28515625" style="28" customWidth="1"/>
    <col min="12791" max="12791" width="13" style="28" customWidth="1"/>
    <col min="12792" max="12792" width="18" style="28" customWidth="1"/>
    <col min="12793" max="12793" width="17" style="28" customWidth="1"/>
    <col min="12794" max="12794" width="17.85546875" style="28" customWidth="1"/>
    <col min="12795" max="12795" width="20.42578125" style="28" customWidth="1"/>
    <col min="12796" max="12796" width="14.85546875" style="28" customWidth="1"/>
    <col min="12797" max="12799" width="18.140625" style="28" customWidth="1"/>
    <col min="12800" max="12800" width="20.42578125" style="28" customWidth="1"/>
    <col min="12801" max="12801" width="14.140625" style="28" bestFit="1" customWidth="1"/>
    <col min="12802" max="12802" width="10" style="28" bestFit="1" customWidth="1"/>
    <col min="12803" max="13044" width="8.85546875" style="28"/>
    <col min="13045" max="13045" width="7.7109375" style="28" bestFit="1" customWidth="1"/>
    <col min="13046" max="13046" width="88.28515625" style="28" customWidth="1"/>
    <col min="13047" max="13047" width="13" style="28" customWidth="1"/>
    <col min="13048" max="13048" width="18" style="28" customWidth="1"/>
    <col min="13049" max="13049" width="17" style="28" customWidth="1"/>
    <col min="13050" max="13050" width="17.85546875" style="28" customWidth="1"/>
    <col min="13051" max="13051" width="20.42578125" style="28" customWidth="1"/>
    <col min="13052" max="13052" width="14.85546875" style="28" customWidth="1"/>
    <col min="13053" max="13055" width="18.140625" style="28" customWidth="1"/>
    <col min="13056" max="13056" width="20.42578125" style="28" customWidth="1"/>
    <col min="13057" max="13057" width="14.140625" style="28" bestFit="1" customWidth="1"/>
    <col min="13058" max="13058" width="10" style="28" bestFit="1" customWidth="1"/>
    <col min="13059" max="13300" width="8.85546875" style="28"/>
    <col min="13301" max="13301" width="7.7109375" style="28" bestFit="1" customWidth="1"/>
    <col min="13302" max="13302" width="88.28515625" style="28" customWidth="1"/>
    <col min="13303" max="13303" width="13" style="28" customWidth="1"/>
    <col min="13304" max="13304" width="18" style="28" customWidth="1"/>
    <col min="13305" max="13305" width="17" style="28" customWidth="1"/>
    <col min="13306" max="13306" width="17.85546875" style="28" customWidth="1"/>
    <col min="13307" max="13307" width="20.42578125" style="28" customWidth="1"/>
    <col min="13308" max="13308" width="14.85546875" style="28" customWidth="1"/>
    <col min="13309" max="13311" width="18.140625" style="28" customWidth="1"/>
    <col min="13312" max="13312" width="20.42578125" style="28" customWidth="1"/>
    <col min="13313" max="13313" width="14.140625" style="28" bestFit="1" customWidth="1"/>
    <col min="13314" max="13314" width="10" style="28" bestFit="1" customWidth="1"/>
    <col min="13315" max="13556" width="8.85546875" style="28"/>
    <col min="13557" max="13557" width="7.7109375" style="28" bestFit="1" customWidth="1"/>
    <col min="13558" max="13558" width="88.28515625" style="28" customWidth="1"/>
    <col min="13559" max="13559" width="13" style="28" customWidth="1"/>
    <col min="13560" max="13560" width="18" style="28" customWidth="1"/>
    <col min="13561" max="13561" width="17" style="28" customWidth="1"/>
    <col min="13562" max="13562" width="17.85546875" style="28" customWidth="1"/>
    <col min="13563" max="13563" width="20.42578125" style="28" customWidth="1"/>
    <col min="13564" max="13564" width="14.85546875" style="28" customWidth="1"/>
    <col min="13565" max="13567" width="18.140625" style="28" customWidth="1"/>
    <col min="13568" max="13568" width="20.42578125" style="28" customWidth="1"/>
    <col min="13569" max="13569" width="14.140625" style="28" bestFit="1" customWidth="1"/>
    <col min="13570" max="13570" width="10" style="28" bestFit="1" customWidth="1"/>
    <col min="13571" max="13812" width="8.85546875" style="28"/>
    <col min="13813" max="13813" width="7.7109375" style="28" bestFit="1" customWidth="1"/>
    <col min="13814" max="13814" width="88.28515625" style="28" customWidth="1"/>
    <col min="13815" max="13815" width="13" style="28" customWidth="1"/>
    <col min="13816" max="13816" width="18" style="28" customWidth="1"/>
    <col min="13817" max="13817" width="17" style="28" customWidth="1"/>
    <col min="13818" max="13818" width="17.85546875" style="28" customWidth="1"/>
    <col min="13819" max="13819" width="20.42578125" style="28" customWidth="1"/>
    <col min="13820" max="13820" width="14.85546875" style="28" customWidth="1"/>
    <col min="13821" max="13823" width="18.140625" style="28" customWidth="1"/>
    <col min="13824" max="13824" width="20.42578125" style="28" customWidth="1"/>
    <col min="13825" max="13825" width="14.140625" style="28" bestFit="1" customWidth="1"/>
    <col min="13826" max="13826" width="10" style="28" bestFit="1" customWidth="1"/>
    <col min="13827" max="14068" width="8.85546875" style="28"/>
    <col min="14069" max="14069" width="7.7109375" style="28" bestFit="1" customWidth="1"/>
    <col min="14070" max="14070" width="88.28515625" style="28" customWidth="1"/>
    <col min="14071" max="14071" width="13" style="28" customWidth="1"/>
    <col min="14072" max="14072" width="18" style="28" customWidth="1"/>
    <col min="14073" max="14073" width="17" style="28" customWidth="1"/>
    <col min="14074" max="14074" width="17.85546875" style="28" customWidth="1"/>
    <col min="14075" max="14075" width="20.42578125" style="28" customWidth="1"/>
    <col min="14076" max="14076" width="14.85546875" style="28" customWidth="1"/>
    <col min="14077" max="14079" width="18.140625" style="28" customWidth="1"/>
    <col min="14080" max="14080" width="20.42578125" style="28" customWidth="1"/>
    <col min="14081" max="14081" width="14.140625" style="28" bestFit="1" customWidth="1"/>
    <col min="14082" max="14082" width="10" style="28" bestFit="1" customWidth="1"/>
    <col min="14083" max="14324" width="8.85546875" style="28"/>
    <col min="14325" max="14325" width="7.7109375" style="28" bestFit="1" customWidth="1"/>
    <col min="14326" max="14326" width="88.28515625" style="28" customWidth="1"/>
    <col min="14327" max="14327" width="13" style="28" customWidth="1"/>
    <col min="14328" max="14328" width="18" style="28" customWidth="1"/>
    <col min="14329" max="14329" width="17" style="28" customWidth="1"/>
    <col min="14330" max="14330" width="17.85546875" style="28" customWidth="1"/>
    <col min="14331" max="14331" width="20.42578125" style="28" customWidth="1"/>
    <col min="14332" max="14332" width="14.85546875" style="28" customWidth="1"/>
    <col min="14333" max="14335" width="18.140625" style="28" customWidth="1"/>
    <col min="14336" max="14336" width="20.42578125" style="28" customWidth="1"/>
    <col min="14337" max="14337" width="14.140625" style="28" bestFit="1" customWidth="1"/>
    <col min="14338" max="14338" width="10" style="28" bestFit="1" customWidth="1"/>
    <col min="14339" max="14580" width="8.85546875" style="28"/>
    <col min="14581" max="14581" width="7.7109375" style="28" bestFit="1" customWidth="1"/>
    <col min="14582" max="14582" width="88.28515625" style="28" customWidth="1"/>
    <col min="14583" max="14583" width="13" style="28" customWidth="1"/>
    <col min="14584" max="14584" width="18" style="28" customWidth="1"/>
    <col min="14585" max="14585" width="17" style="28" customWidth="1"/>
    <col min="14586" max="14586" width="17.85546875" style="28" customWidth="1"/>
    <col min="14587" max="14587" width="20.42578125" style="28" customWidth="1"/>
    <col min="14588" max="14588" width="14.85546875" style="28" customWidth="1"/>
    <col min="14589" max="14591" width="18.140625" style="28" customWidth="1"/>
    <col min="14592" max="14592" width="20.42578125" style="28" customWidth="1"/>
    <col min="14593" max="14593" width="14.140625" style="28" bestFit="1" customWidth="1"/>
    <col min="14594" max="14594" width="10" style="28" bestFit="1" customWidth="1"/>
    <col min="14595" max="14836" width="8.85546875" style="28"/>
    <col min="14837" max="14837" width="7.7109375" style="28" bestFit="1" customWidth="1"/>
    <col min="14838" max="14838" width="88.28515625" style="28" customWidth="1"/>
    <col min="14839" max="14839" width="13" style="28" customWidth="1"/>
    <col min="14840" max="14840" width="18" style="28" customWidth="1"/>
    <col min="14841" max="14841" width="17" style="28" customWidth="1"/>
    <col min="14842" max="14842" width="17.85546875" style="28" customWidth="1"/>
    <col min="14843" max="14843" width="20.42578125" style="28" customWidth="1"/>
    <col min="14844" max="14844" width="14.85546875" style="28" customWidth="1"/>
    <col min="14845" max="14847" width="18.140625" style="28" customWidth="1"/>
    <col min="14848" max="14848" width="20.42578125" style="28" customWidth="1"/>
    <col min="14849" max="14849" width="14.140625" style="28" bestFit="1" customWidth="1"/>
    <col min="14850" max="14850" width="10" style="28" bestFit="1" customWidth="1"/>
    <col min="14851" max="15092" width="8.85546875" style="28"/>
    <col min="15093" max="15093" width="7.7109375" style="28" bestFit="1" customWidth="1"/>
    <col min="15094" max="15094" width="88.28515625" style="28" customWidth="1"/>
    <col min="15095" max="15095" width="13" style="28" customWidth="1"/>
    <col min="15096" max="15096" width="18" style="28" customWidth="1"/>
    <col min="15097" max="15097" width="17" style="28" customWidth="1"/>
    <col min="15098" max="15098" width="17.85546875" style="28" customWidth="1"/>
    <col min="15099" max="15099" width="20.42578125" style="28" customWidth="1"/>
    <col min="15100" max="15100" width="14.85546875" style="28" customWidth="1"/>
    <col min="15101" max="15103" width="18.140625" style="28" customWidth="1"/>
    <col min="15104" max="15104" width="20.42578125" style="28" customWidth="1"/>
    <col min="15105" max="15105" width="14.140625" style="28" bestFit="1" customWidth="1"/>
    <col min="15106" max="15106" width="10" style="28" bestFit="1" customWidth="1"/>
    <col min="15107" max="15348" width="8.85546875" style="28"/>
    <col min="15349" max="15349" width="7.7109375" style="28" bestFit="1" customWidth="1"/>
    <col min="15350" max="15350" width="88.28515625" style="28" customWidth="1"/>
    <col min="15351" max="15351" width="13" style="28" customWidth="1"/>
    <col min="15352" max="15352" width="18" style="28" customWidth="1"/>
    <col min="15353" max="15353" width="17" style="28" customWidth="1"/>
    <col min="15354" max="15354" width="17.85546875" style="28" customWidth="1"/>
    <col min="15355" max="15355" width="20.42578125" style="28" customWidth="1"/>
    <col min="15356" max="15356" width="14.85546875" style="28" customWidth="1"/>
    <col min="15357" max="15359" width="18.140625" style="28" customWidth="1"/>
    <col min="15360" max="15360" width="20.42578125" style="28" customWidth="1"/>
    <col min="15361" max="15361" width="14.140625" style="28" bestFit="1" customWidth="1"/>
    <col min="15362" max="15362" width="10" style="28" bestFit="1" customWidth="1"/>
    <col min="15363" max="15604" width="8.85546875" style="28"/>
    <col min="15605" max="15605" width="7.7109375" style="28" bestFit="1" customWidth="1"/>
    <col min="15606" max="15606" width="88.28515625" style="28" customWidth="1"/>
    <col min="15607" max="15607" width="13" style="28" customWidth="1"/>
    <col min="15608" max="15608" width="18" style="28" customWidth="1"/>
    <col min="15609" max="15609" width="17" style="28" customWidth="1"/>
    <col min="15610" max="15610" width="17.85546875" style="28" customWidth="1"/>
    <col min="15611" max="15611" width="20.42578125" style="28" customWidth="1"/>
    <col min="15612" max="15612" width="14.85546875" style="28" customWidth="1"/>
    <col min="15613" max="15615" width="18.140625" style="28" customWidth="1"/>
    <col min="15616" max="15616" width="20.42578125" style="28" customWidth="1"/>
    <col min="15617" max="15617" width="14.140625" style="28" bestFit="1" customWidth="1"/>
    <col min="15618" max="15618" width="10" style="28" bestFit="1" customWidth="1"/>
    <col min="15619" max="15860" width="8.85546875" style="28"/>
    <col min="15861" max="15861" width="7.7109375" style="28" bestFit="1" customWidth="1"/>
    <col min="15862" max="15862" width="88.28515625" style="28" customWidth="1"/>
    <col min="15863" max="15863" width="13" style="28" customWidth="1"/>
    <col min="15864" max="15864" width="18" style="28" customWidth="1"/>
    <col min="15865" max="15865" width="17" style="28" customWidth="1"/>
    <col min="15866" max="15866" width="17.85546875" style="28" customWidth="1"/>
    <col min="15867" max="15867" width="20.42578125" style="28" customWidth="1"/>
    <col min="15868" max="15868" width="14.85546875" style="28" customWidth="1"/>
    <col min="15869" max="15871" width="18.140625" style="28" customWidth="1"/>
    <col min="15872" max="15872" width="20.42578125" style="28" customWidth="1"/>
    <col min="15873" max="15873" width="14.140625" style="28" bestFit="1" customWidth="1"/>
    <col min="15874" max="15874" width="10" style="28" bestFit="1" customWidth="1"/>
    <col min="15875" max="16116" width="8.85546875" style="28"/>
    <col min="16117" max="16117" width="7.7109375" style="28" bestFit="1" customWidth="1"/>
    <col min="16118" max="16118" width="88.28515625" style="28" customWidth="1"/>
    <col min="16119" max="16119" width="13" style="28" customWidth="1"/>
    <col min="16120" max="16120" width="18" style="28" customWidth="1"/>
    <col min="16121" max="16121" width="17" style="28" customWidth="1"/>
    <col min="16122" max="16122" width="17.85546875" style="28" customWidth="1"/>
    <col min="16123" max="16123" width="20.42578125" style="28" customWidth="1"/>
    <col min="16124" max="16124" width="14.85546875" style="28" customWidth="1"/>
    <col min="16125" max="16127" width="18.140625" style="28" customWidth="1"/>
    <col min="16128" max="16128" width="20.42578125" style="28" customWidth="1"/>
    <col min="16129" max="16129" width="14.140625" style="28" bestFit="1" customWidth="1"/>
    <col min="16130" max="16130" width="10" style="28" bestFit="1" customWidth="1"/>
    <col min="16131" max="16384" width="8.85546875" style="28"/>
  </cols>
  <sheetData>
    <row r="1" spans="1:9" s="21" customFormat="1" x14ac:dyDescent="0.25">
      <c r="A1" s="18" t="s">
        <v>10</v>
      </c>
      <c r="B1" s="19"/>
      <c r="C1" s="19"/>
      <c r="D1" s="103"/>
      <c r="E1" s="19"/>
      <c r="F1" s="19"/>
      <c r="G1" s="19"/>
      <c r="H1" s="19"/>
      <c r="I1" s="20"/>
    </row>
    <row r="2" spans="1:9" s="21" customFormat="1" x14ac:dyDescent="0.25">
      <c r="A2" s="18" t="str">
        <f>'[1]Items 1,2,3-Construction Works'!A2</f>
        <v>TENDER NO. :   D-111808</v>
      </c>
      <c r="B2" s="19"/>
      <c r="C2" s="19"/>
      <c r="D2" s="103"/>
      <c r="E2" s="19"/>
      <c r="F2" s="19"/>
      <c r="G2" s="19"/>
      <c r="H2" s="19"/>
      <c r="I2" s="20"/>
    </row>
    <row r="3" spans="1:9" s="21" customFormat="1" x14ac:dyDescent="0.25">
      <c r="A3" s="18" t="str">
        <f>'[1]Items 1,2,3-Construction Works'!A3</f>
        <v>CONSTRUCTION WORKS FOR REPLACEMENT OF SHBPRY, SMHPRY AND DRPRY SUBSTATION IN EASTERN REGION</v>
      </c>
      <c r="C3" s="20"/>
      <c r="D3" s="104"/>
      <c r="E3" s="18"/>
      <c r="F3" s="18"/>
      <c r="G3" s="18"/>
      <c r="H3" s="18"/>
      <c r="I3" s="18"/>
    </row>
    <row r="4" spans="1:9" s="21" customFormat="1" ht="27.75" customHeight="1" x14ac:dyDescent="0.25">
      <c r="A4" s="105" t="str">
        <f>'[1]Items 1,2,3-Construction Works'!A4</f>
        <v>LOT 1: SHOBAISI PRY (SHBPRY)</v>
      </c>
      <c r="C4" s="19"/>
      <c r="D4" s="103"/>
      <c r="E4" s="219"/>
      <c r="F4" s="219"/>
      <c r="G4" s="219"/>
      <c r="H4" s="219"/>
      <c r="I4" s="219"/>
    </row>
    <row r="5" spans="1:9" s="21" customFormat="1" ht="42" customHeight="1" x14ac:dyDescent="0.25">
      <c r="A5" s="220" t="s">
        <v>14</v>
      </c>
      <c r="B5" s="218" t="s">
        <v>15</v>
      </c>
      <c r="C5" s="218" t="s">
        <v>16</v>
      </c>
      <c r="D5" s="226" t="s">
        <v>17</v>
      </c>
      <c r="E5" s="218" t="s">
        <v>5</v>
      </c>
      <c r="F5" s="218"/>
      <c r="G5" s="218" t="s">
        <v>6</v>
      </c>
      <c r="H5" s="218"/>
      <c r="I5" s="22" t="s">
        <v>3</v>
      </c>
    </row>
    <row r="6" spans="1:9" s="21" customFormat="1" ht="10.5" customHeight="1" x14ac:dyDescent="0.25">
      <c r="A6" s="221"/>
      <c r="B6" s="218"/>
      <c r="C6" s="218"/>
      <c r="D6" s="226"/>
      <c r="E6" s="218" t="s">
        <v>18</v>
      </c>
      <c r="F6" s="218" t="s">
        <v>19</v>
      </c>
      <c r="G6" s="218" t="s">
        <v>20</v>
      </c>
      <c r="H6" s="218" t="s">
        <v>21</v>
      </c>
      <c r="I6" s="22"/>
    </row>
    <row r="7" spans="1:9" s="21" customFormat="1" ht="21.75" customHeight="1" x14ac:dyDescent="0.25">
      <c r="A7" s="222"/>
      <c r="B7" s="218"/>
      <c r="C7" s="218"/>
      <c r="D7" s="226"/>
      <c r="E7" s="218"/>
      <c r="F7" s="218"/>
      <c r="G7" s="218"/>
      <c r="H7" s="218"/>
      <c r="I7" s="22" t="s">
        <v>22</v>
      </c>
    </row>
    <row r="8" spans="1:9" ht="144.75" customHeight="1" x14ac:dyDescent="0.25">
      <c r="A8" s="23"/>
      <c r="B8" s="24" t="s">
        <v>23</v>
      </c>
      <c r="C8" s="25"/>
      <c r="D8" s="106"/>
      <c r="E8" s="26"/>
      <c r="F8" s="27"/>
      <c r="G8" s="26"/>
      <c r="H8" s="27"/>
      <c r="I8" s="25"/>
    </row>
    <row r="9" spans="1:9" ht="54" customHeight="1" x14ac:dyDescent="0.25">
      <c r="A9" s="33">
        <v>4</v>
      </c>
      <c r="B9" s="34" t="s">
        <v>371</v>
      </c>
      <c r="C9" s="35"/>
      <c r="D9" s="107"/>
      <c r="E9" s="36"/>
      <c r="F9" s="35"/>
      <c r="G9" s="36"/>
      <c r="H9" s="35"/>
      <c r="I9" s="35"/>
    </row>
    <row r="10" spans="1:9" x14ac:dyDescent="0.25">
      <c r="A10" s="108">
        <v>4.0999999999999996</v>
      </c>
      <c r="B10" s="39" t="s">
        <v>372</v>
      </c>
      <c r="C10" s="49"/>
      <c r="D10" s="109"/>
      <c r="E10" s="110"/>
      <c r="F10" s="49"/>
      <c r="G10" s="110"/>
      <c r="H10" s="49"/>
      <c r="I10" s="49"/>
    </row>
    <row r="11" spans="1:9" x14ac:dyDescent="0.25">
      <c r="A11" s="224">
        <v>4.2</v>
      </c>
      <c r="B11" s="37" t="s">
        <v>89</v>
      </c>
      <c r="C11" s="59"/>
      <c r="D11" s="111"/>
      <c r="E11" s="45"/>
      <c r="F11" s="46"/>
      <c r="G11" s="47"/>
      <c r="H11" s="48"/>
      <c r="I11" s="49"/>
    </row>
    <row r="12" spans="1:9" ht="37.5" x14ac:dyDescent="0.25">
      <c r="A12" s="225"/>
      <c r="B12" s="39" t="s">
        <v>373</v>
      </c>
      <c r="C12" s="59"/>
      <c r="D12" s="111"/>
      <c r="E12" s="45"/>
      <c r="F12" s="46"/>
      <c r="G12" s="47"/>
      <c r="H12" s="48"/>
      <c r="I12" s="49"/>
    </row>
    <row r="13" spans="1:9" ht="56.25" x14ac:dyDescent="0.25">
      <c r="A13" s="112" t="s">
        <v>374</v>
      </c>
      <c r="B13" s="39" t="s">
        <v>375</v>
      </c>
      <c r="C13" s="59" t="s">
        <v>286</v>
      </c>
      <c r="D13" s="111">
        <v>1570</v>
      </c>
      <c r="E13" s="45"/>
      <c r="F13" s="46">
        <f t="shared" ref="F13" si="0">D13*E13</f>
        <v>0</v>
      </c>
      <c r="G13" s="47">
        <v>12.74</v>
      </c>
      <c r="H13" s="48">
        <f t="shared" ref="H13:H17" si="1">D13*G13</f>
        <v>20001.8</v>
      </c>
      <c r="I13" s="49">
        <f t="shared" ref="I13:I17" si="2">F13+H13</f>
        <v>20001.8</v>
      </c>
    </row>
    <row r="14" spans="1:9" ht="56.25" x14ac:dyDescent="0.25">
      <c r="A14" s="112" t="s">
        <v>376</v>
      </c>
      <c r="B14" s="39" t="s">
        <v>377</v>
      </c>
      <c r="C14" s="59" t="s">
        <v>37</v>
      </c>
      <c r="D14" s="111">
        <v>3</v>
      </c>
      <c r="E14" s="46" t="s">
        <v>94</v>
      </c>
      <c r="F14" s="46"/>
      <c r="G14" s="47">
        <v>2081.25</v>
      </c>
      <c r="H14" s="48">
        <f t="shared" si="1"/>
        <v>6243.75</v>
      </c>
      <c r="I14" s="49">
        <f t="shared" si="2"/>
        <v>6243.75</v>
      </c>
    </row>
    <row r="15" spans="1:9" ht="88.5" customHeight="1" x14ac:dyDescent="0.25">
      <c r="A15" s="112" t="s">
        <v>378</v>
      </c>
      <c r="B15" s="39" t="s">
        <v>379</v>
      </c>
      <c r="C15" s="59" t="s">
        <v>37</v>
      </c>
      <c r="D15" s="111">
        <v>2</v>
      </c>
      <c r="E15" s="45"/>
      <c r="F15" s="46">
        <f t="shared" ref="F15:F17" si="3">D15*E15</f>
        <v>0</v>
      </c>
      <c r="G15" s="47">
        <v>922.19</v>
      </c>
      <c r="H15" s="48">
        <f t="shared" si="1"/>
        <v>1844.38</v>
      </c>
      <c r="I15" s="49">
        <f t="shared" si="2"/>
        <v>1844.38</v>
      </c>
    </row>
    <row r="16" spans="1:9" ht="77.25" customHeight="1" x14ac:dyDescent="0.25">
      <c r="A16" s="112" t="s">
        <v>380</v>
      </c>
      <c r="B16" s="39" t="s">
        <v>381</v>
      </c>
      <c r="C16" s="59" t="s">
        <v>37</v>
      </c>
      <c r="D16" s="111">
        <v>1</v>
      </c>
      <c r="E16" s="45"/>
      <c r="F16" s="46">
        <f t="shared" si="3"/>
        <v>0</v>
      </c>
      <c r="G16" s="47">
        <v>1159.06</v>
      </c>
      <c r="H16" s="48">
        <f t="shared" si="1"/>
        <v>1159.06</v>
      </c>
      <c r="I16" s="49">
        <f t="shared" si="2"/>
        <v>1159.06</v>
      </c>
    </row>
    <row r="17" spans="1:9" ht="77.25" customHeight="1" x14ac:dyDescent="0.25">
      <c r="A17" s="112" t="s">
        <v>382</v>
      </c>
      <c r="B17" s="39" t="s">
        <v>383</v>
      </c>
      <c r="C17" s="59" t="s">
        <v>37</v>
      </c>
      <c r="D17" s="111">
        <v>2</v>
      </c>
      <c r="E17" s="45"/>
      <c r="F17" s="46">
        <f t="shared" si="3"/>
        <v>0</v>
      </c>
      <c r="G17" s="47">
        <v>1697.78</v>
      </c>
      <c r="H17" s="48">
        <f t="shared" si="1"/>
        <v>3395.56</v>
      </c>
      <c r="I17" s="49">
        <f t="shared" si="2"/>
        <v>3395.56</v>
      </c>
    </row>
    <row r="18" spans="1:9" ht="27.75" customHeight="1" x14ac:dyDescent="0.25">
      <c r="A18" s="224">
        <v>4.3</v>
      </c>
      <c r="B18" s="37" t="s">
        <v>98</v>
      </c>
      <c r="C18" s="59"/>
      <c r="D18" s="111"/>
      <c r="E18" s="45"/>
      <c r="F18" s="46"/>
      <c r="G18" s="47"/>
      <c r="H18" s="48"/>
      <c r="I18" s="49"/>
    </row>
    <row r="19" spans="1:9" ht="37.5" x14ac:dyDescent="0.25">
      <c r="A19" s="225"/>
      <c r="B19" s="39" t="s">
        <v>384</v>
      </c>
      <c r="C19" s="59"/>
      <c r="D19" s="111"/>
      <c r="E19" s="45"/>
      <c r="F19" s="46"/>
      <c r="G19" s="47"/>
      <c r="H19" s="48"/>
      <c r="I19" s="49"/>
    </row>
    <row r="20" spans="1:9" ht="56.25" x14ac:dyDescent="0.25">
      <c r="A20" s="112" t="s">
        <v>385</v>
      </c>
      <c r="B20" s="39" t="s">
        <v>386</v>
      </c>
      <c r="C20" s="59" t="s">
        <v>286</v>
      </c>
      <c r="D20" s="111">
        <v>10485</v>
      </c>
      <c r="E20" s="45"/>
      <c r="F20" s="46">
        <f t="shared" ref="F20:F24" si="4">D20*E20</f>
        <v>0</v>
      </c>
      <c r="G20" s="47">
        <v>12.74</v>
      </c>
      <c r="H20" s="48">
        <f t="shared" ref="H20:H24" si="5">D20*G20</f>
        <v>133578.9</v>
      </c>
      <c r="I20" s="49">
        <f t="shared" ref="I20:I24" si="6">F20+H20</f>
        <v>133578.9</v>
      </c>
    </row>
    <row r="21" spans="1:9" ht="56.25" x14ac:dyDescent="0.25">
      <c r="A21" s="112" t="s">
        <v>387</v>
      </c>
      <c r="B21" s="39" t="s">
        <v>388</v>
      </c>
      <c r="C21" s="59" t="s">
        <v>37</v>
      </c>
      <c r="D21" s="111">
        <v>13</v>
      </c>
      <c r="E21" s="46" t="s">
        <v>103</v>
      </c>
      <c r="F21" s="46"/>
      <c r="G21" s="47">
        <v>801.42</v>
      </c>
      <c r="H21" s="48">
        <f t="shared" si="5"/>
        <v>10418.459999999999</v>
      </c>
      <c r="I21" s="49">
        <f t="shared" si="6"/>
        <v>10418.459999999999</v>
      </c>
    </row>
    <row r="22" spans="1:9" ht="75" x14ac:dyDescent="0.25">
      <c r="A22" s="112" t="s">
        <v>389</v>
      </c>
      <c r="B22" s="39" t="s">
        <v>390</v>
      </c>
      <c r="C22" s="59" t="s">
        <v>37</v>
      </c>
      <c r="D22" s="111">
        <v>5</v>
      </c>
      <c r="E22" s="45"/>
      <c r="F22" s="46">
        <f t="shared" ref="F22" si="7">D22*E22</f>
        <v>0</v>
      </c>
      <c r="G22" s="47">
        <v>801.42</v>
      </c>
      <c r="H22" s="48">
        <f t="shared" si="5"/>
        <v>4007.1</v>
      </c>
      <c r="I22" s="49">
        <f t="shared" si="6"/>
        <v>4007.1</v>
      </c>
    </row>
    <row r="23" spans="1:9" ht="56.25" x14ac:dyDescent="0.25">
      <c r="A23" s="112" t="s">
        <v>391</v>
      </c>
      <c r="B23" s="39" t="s">
        <v>392</v>
      </c>
      <c r="C23" s="59" t="s">
        <v>37</v>
      </c>
      <c r="D23" s="111">
        <v>20</v>
      </c>
      <c r="E23" s="45"/>
      <c r="F23" s="46">
        <f t="shared" si="4"/>
        <v>0</v>
      </c>
      <c r="G23" s="47">
        <v>801.42</v>
      </c>
      <c r="H23" s="48">
        <f t="shared" si="5"/>
        <v>16028.4</v>
      </c>
      <c r="I23" s="49">
        <f t="shared" si="6"/>
        <v>16028.4</v>
      </c>
    </row>
    <row r="24" spans="1:9" ht="75" x14ac:dyDescent="0.25">
      <c r="A24" s="112" t="s">
        <v>393</v>
      </c>
      <c r="B24" s="39" t="s">
        <v>394</v>
      </c>
      <c r="C24" s="59" t="s">
        <v>37</v>
      </c>
      <c r="D24" s="111">
        <v>12</v>
      </c>
      <c r="E24" s="45"/>
      <c r="F24" s="46">
        <f t="shared" si="4"/>
        <v>0</v>
      </c>
      <c r="G24" s="47">
        <v>919.85</v>
      </c>
      <c r="H24" s="48">
        <f t="shared" si="5"/>
        <v>11038.2</v>
      </c>
      <c r="I24" s="49">
        <f t="shared" si="6"/>
        <v>11038.2</v>
      </c>
    </row>
    <row r="25" spans="1:9" x14ac:dyDescent="0.25">
      <c r="A25" s="224">
        <v>4.4000000000000004</v>
      </c>
      <c r="B25" s="37" t="s">
        <v>395</v>
      </c>
      <c r="C25" s="59"/>
      <c r="D25" s="111"/>
      <c r="E25" s="45"/>
      <c r="F25" s="46"/>
      <c r="G25" s="47"/>
      <c r="H25" s="48"/>
      <c r="I25" s="49"/>
    </row>
    <row r="26" spans="1:9" ht="37.5" x14ac:dyDescent="0.25">
      <c r="A26" s="225"/>
      <c r="B26" s="39" t="s">
        <v>396</v>
      </c>
      <c r="C26" s="59"/>
      <c r="D26" s="111"/>
      <c r="E26" s="45"/>
      <c r="F26" s="46"/>
      <c r="G26" s="47"/>
      <c r="H26" s="48"/>
      <c r="I26" s="49"/>
    </row>
    <row r="27" spans="1:9" ht="37.5" x14ac:dyDescent="0.25">
      <c r="A27" s="113" t="s">
        <v>397</v>
      </c>
      <c r="B27" s="39" t="s">
        <v>398</v>
      </c>
      <c r="C27" s="59" t="s">
        <v>286</v>
      </c>
      <c r="D27" s="111">
        <v>2150</v>
      </c>
      <c r="E27" s="45"/>
      <c r="F27" s="46">
        <f t="shared" ref="F27:F30" si="8">D27*E27</f>
        <v>0</v>
      </c>
      <c r="G27" s="47">
        <v>4.24</v>
      </c>
      <c r="H27" s="48">
        <f t="shared" ref="H27:H30" si="9">D27*G27</f>
        <v>9116</v>
      </c>
      <c r="I27" s="49">
        <f t="shared" ref="I27:I30" si="10">F27+H27</f>
        <v>9116</v>
      </c>
    </row>
    <row r="28" spans="1:9" ht="37.5" x14ac:dyDescent="0.25">
      <c r="A28" s="113" t="s">
        <v>399</v>
      </c>
      <c r="B28" s="39" t="s">
        <v>400</v>
      </c>
      <c r="C28" s="59" t="s">
        <v>37</v>
      </c>
      <c r="D28" s="111">
        <v>2</v>
      </c>
      <c r="E28" s="45"/>
      <c r="F28" s="46">
        <f t="shared" si="8"/>
        <v>0</v>
      </c>
      <c r="G28" s="47">
        <v>5685.97</v>
      </c>
      <c r="H28" s="48">
        <f t="shared" si="9"/>
        <v>11371.94</v>
      </c>
      <c r="I28" s="49">
        <f t="shared" si="10"/>
        <v>11371.94</v>
      </c>
    </row>
    <row r="29" spans="1:9" ht="37.5" x14ac:dyDescent="0.25">
      <c r="A29" s="113" t="s">
        <v>401</v>
      </c>
      <c r="B29" s="39" t="s">
        <v>402</v>
      </c>
      <c r="C29" s="59" t="s">
        <v>30</v>
      </c>
      <c r="D29" s="111">
        <v>2</v>
      </c>
      <c r="E29" s="45"/>
      <c r="F29" s="46">
        <f t="shared" si="8"/>
        <v>0</v>
      </c>
      <c r="G29" s="47">
        <v>17249.580000000002</v>
      </c>
      <c r="H29" s="48">
        <f t="shared" si="9"/>
        <v>34499.160000000003</v>
      </c>
      <c r="I29" s="49">
        <f t="shared" si="10"/>
        <v>34499.160000000003</v>
      </c>
    </row>
    <row r="30" spans="1:9" ht="37.5" x14ac:dyDescent="0.25">
      <c r="A30" s="113" t="s">
        <v>403</v>
      </c>
      <c r="B30" s="39" t="s">
        <v>404</v>
      </c>
      <c r="C30" s="59" t="s">
        <v>30</v>
      </c>
      <c r="D30" s="111">
        <v>4</v>
      </c>
      <c r="E30" s="45"/>
      <c r="F30" s="46">
        <f t="shared" si="8"/>
        <v>0</v>
      </c>
      <c r="G30" s="47">
        <v>19166.2</v>
      </c>
      <c r="H30" s="48">
        <f t="shared" si="9"/>
        <v>76664.800000000003</v>
      </c>
      <c r="I30" s="49">
        <f t="shared" si="10"/>
        <v>76664.800000000003</v>
      </c>
    </row>
    <row r="31" spans="1:9" s="57" customFormat="1" x14ac:dyDescent="0.25">
      <c r="A31" s="114">
        <v>4.5</v>
      </c>
      <c r="B31" s="37" t="s">
        <v>405</v>
      </c>
      <c r="C31" s="59"/>
      <c r="D31" s="115"/>
      <c r="E31" s="52"/>
      <c r="F31" s="53"/>
      <c r="G31" s="54"/>
      <c r="H31" s="55"/>
      <c r="I31" s="56"/>
    </row>
    <row r="32" spans="1:9" s="57" customFormat="1" ht="75" x14ac:dyDescent="0.25">
      <c r="A32" s="116" t="s">
        <v>406</v>
      </c>
      <c r="B32" s="39" t="s">
        <v>407</v>
      </c>
      <c r="C32" s="59" t="s">
        <v>52</v>
      </c>
      <c r="D32" s="115">
        <v>1</v>
      </c>
      <c r="E32" s="52"/>
      <c r="F32" s="53">
        <f t="shared" ref="F32:F33" si="11">D32*E32</f>
        <v>0</v>
      </c>
      <c r="G32" s="47">
        <v>111802.86</v>
      </c>
      <c r="H32" s="55">
        <f t="shared" ref="H32:H33" si="12">D32*G32</f>
        <v>111802.86</v>
      </c>
      <c r="I32" s="56">
        <f t="shared" ref="I32:I33" si="13">F32+H32</f>
        <v>111802.86</v>
      </c>
    </row>
    <row r="33" spans="1:9" s="57" customFormat="1" ht="80.25" customHeight="1" x14ac:dyDescent="0.25">
      <c r="A33" s="116" t="s">
        <v>408</v>
      </c>
      <c r="B33" s="39" t="s">
        <v>409</v>
      </c>
      <c r="C33" s="59" t="s">
        <v>30</v>
      </c>
      <c r="D33" s="115">
        <v>2</v>
      </c>
      <c r="E33" s="52"/>
      <c r="F33" s="53">
        <f t="shared" si="11"/>
        <v>0</v>
      </c>
      <c r="G33" s="47">
        <v>9583.1</v>
      </c>
      <c r="H33" s="55">
        <f t="shared" si="12"/>
        <v>19166.2</v>
      </c>
      <c r="I33" s="56">
        <f t="shared" si="13"/>
        <v>19166.2</v>
      </c>
    </row>
    <row r="34" spans="1:9" x14ac:dyDescent="0.25">
      <c r="A34" s="210">
        <v>4.5999999999999996</v>
      </c>
      <c r="B34" s="37" t="s">
        <v>410</v>
      </c>
      <c r="C34" s="39"/>
      <c r="D34" s="117"/>
      <c r="E34" s="75"/>
      <c r="F34" s="39"/>
      <c r="G34" s="75"/>
      <c r="H34" s="39"/>
      <c r="I34" s="39"/>
    </row>
    <row r="35" spans="1:9" ht="75" x14ac:dyDescent="0.25">
      <c r="A35" s="211"/>
      <c r="B35" s="39" t="s">
        <v>411</v>
      </c>
      <c r="C35" s="39"/>
      <c r="D35" s="117"/>
      <c r="E35" s="75"/>
      <c r="F35" s="39"/>
      <c r="G35" s="75"/>
      <c r="H35" s="39"/>
      <c r="I35" s="39"/>
    </row>
    <row r="36" spans="1:9" ht="56.25" x14ac:dyDescent="0.25">
      <c r="A36" s="61">
        <v>4.7</v>
      </c>
      <c r="B36" s="118" t="s">
        <v>412</v>
      </c>
      <c r="C36" s="119" t="s">
        <v>413</v>
      </c>
      <c r="D36" s="115">
        <f>(D13+D20+D27)*0.5*1</f>
        <v>7102.5</v>
      </c>
      <c r="E36" s="47"/>
      <c r="F36" s="48">
        <f t="shared" ref="F36:F43" si="14">D36*E36</f>
        <v>0</v>
      </c>
      <c r="G36" s="47">
        <v>64.12</v>
      </c>
      <c r="H36" s="48">
        <f>D36*G36</f>
        <v>455412.30000000005</v>
      </c>
      <c r="I36" s="49">
        <f>F36+H36</f>
        <v>455412.30000000005</v>
      </c>
    </row>
    <row r="37" spans="1:9" ht="75" x14ac:dyDescent="0.25">
      <c r="A37" s="61" t="s">
        <v>414</v>
      </c>
      <c r="B37" s="118" t="s">
        <v>415</v>
      </c>
      <c r="C37" s="119" t="s">
        <v>413</v>
      </c>
      <c r="D37" s="115">
        <v>10</v>
      </c>
      <c r="E37" s="47"/>
      <c r="F37" s="48">
        <f t="shared" si="14"/>
        <v>0</v>
      </c>
      <c r="G37" s="47">
        <v>64.12</v>
      </c>
      <c r="H37" s="48">
        <f>D37*G37</f>
        <v>641.20000000000005</v>
      </c>
      <c r="I37" s="49">
        <f>F37+H37</f>
        <v>641.20000000000005</v>
      </c>
    </row>
    <row r="38" spans="1:9" ht="28.5" customHeight="1" x14ac:dyDescent="0.25">
      <c r="A38" s="61">
        <v>4.8</v>
      </c>
      <c r="B38" s="118" t="s">
        <v>416</v>
      </c>
      <c r="C38" s="119" t="s">
        <v>52</v>
      </c>
      <c r="D38" s="115">
        <v>1</v>
      </c>
      <c r="E38" s="47"/>
      <c r="F38" s="48">
        <f t="shared" si="14"/>
        <v>0</v>
      </c>
      <c r="G38" s="47">
        <v>46737.25</v>
      </c>
      <c r="H38" s="48">
        <f t="shared" ref="H38:H43" si="15">D38*G38</f>
        <v>46737.25</v>
      </c>
      <c r="I38" s="49">
        <f t="shared" ref="I38:I43" si="16">F38+H38</f>
        <v>46737.25</v>
      </c>
    </row>
    <row r="39" spans="1:9" ht="63.75" customHeight="1" x14ac:dyDescent="0.25">
      <c r="A39" s="61">
        <v>4.9000000000000004</v>
      </c>
      <c r="B39" s="120" t="s">
        <v>417</v>
      </c>
      <c r="C39" s="119" t="s">
        <v>69</v>
      </c>
      <c r="D39" s="115">
        <f>(D13*2)+(D20*1)+(D27*1)</f>
        <v>15775</v>
      </c>
      <c r="E39" s="47"/>
      <c r="F39" s="48">
        <f t="shared" si="14"/>
        <v>0</v>
      </c>
      <c r="G39" s="47">
        <v>9.2100000000000009</v>
      </c>
      <c r="H39" s="48">
        <f t="shared" si="15"/>
        <v>145287.75</v>
      </c>
      <c r="I39" s="49">
        <f t="shared" si="16"/>
        <v>145287.75</v>
      </c>
    </row>
    <row r="40" spans="1:9" ht="42.75" customHeight="1" x14ac:dyDescent="0.25">
      <c r="A40" s="85">
        <v>4.0999999999999996</v>
      </c>
      <c r="B40" s="120" t="s">
        <v>418</v>
      </c>
      <c r="C40" s="119" t="s">
        <v>286</v>
      </c>
      <c r="D40" s="115">
        <f>D13+D20+D27</f>
        <v>14205</v>
      </c>
      <c r="E40" s="47"/>
      <c r="F40" s="48">
        <f t="shared" si="14"/>
        <v>0</v>
      </c>
      <c r="G40" s="47">
        <v>0.9</v>
      </c>
      <c r="H40" s="48">
        <f t="shared" si="15"/>
        <v>12784.5</v>
      </c>
      <c r="I40" s="49">
        <f t="shared" si="16"/>
        <v>12784.5</v>
      </c>
    </row>
    <row r="41" spans="1:9" x14ac:dyDescent="0.25">
      <c r="A41" s="85">
        <v>4.1100000000000003</v>
      </c>
      <c r="B41" s="120" t="s">
        <v>419</v>
      </c>
      <c r="C41" s="119"/>
      <c r="D41" s="115"/>
      <c r="E41" s="47"/>
      <c r="F41" s="48"/>
      <c r="G41" s="47"/>
      <c r="H41" s="48"/>
      <c r="I41" s="49"/>
    </row>
    <row r="42" spans="1:9" ht="42.75" customHeight="1" x14ac:dyDescent="0.25">
      <c r="A42" s="85" t="s">
        <v>420</v>
      </c>
      <c r="B42" s="120" t="s">
        <v>421</v>
      </c>
      <c r="C42" s="119" t="s">
        <v>69</v>
      </c>
      <c r="D42" s="115">
        <f>(D13+D20)/50</f>
        <v>241.1</v>
      </c>
      <c r="E42" s="47"/>
      <c r="F42" s="48">
        <f t="shared" si="14"/>
        <v>0</v>
      </c>
      <c r="G42" s="47">
        <v>106.47</v>
      </c>
      <c r="H42" s="48">
        <f t="shared" si="15"/>
        <v>25669.916999999998</v>
      </c>
      <c r="I42" s="49">
        <f t="shared" si="16"/>
        <v>25669.916999999998</v>
      </c>
    </row>
    <row r="43" spans="1:9" ht="54" customHeight="1" x14ac:dyDescent="0.25">
      <c r="A43" s="85" t="s">
        <v>422</v>
      </c>
      <c r="B43" s="120" t="s">
        <v>423</v>
      </c>
      <c r="C43" s="119" t="s">
        <v>69</v>
      </c>
      <c r="D43" s="115">
        <v>35</v>
      </c>
      <c r="E43" s="47"/>
      <c r="F43" s="48">
        <f t="shared" si="14"/>
        <v>0</v>
      </c>
      <c r="G43" s="47">
        <v>157.58000000000001</v>
      </c>
      <c r="H43" s="48">
        <f t="shared" si="15"/>
        <v>5515.3</v>
      </c>
      <c r="I43" s="49">
        <f t="shared" si="16"/>
        <v>5515.3</v>
      </c>
    </row>
    <row r="44" spans="1:9" ht="75" x14ac:dyDescent="0.25">
      <c r="A44" s="85">
        <v>4.12</v>
      </c>
      <c r="B44" s="120" t="s">
        <v>424</v>
      </c>
      <c r="C44" s="119"/>
      <c r="D44" s="115"/>
      <c r="E44" s="47"/>
      <c r="F44" s="48"/>
      <c r="G44" s="47"/>
      <c r="H44" s="48"/>
      <c r="I44" s="49"/>
    </row>
    <row r="45" spans="1:9" ht="27.75" customHeight="1" x14ac:dyDescent="0.25">
      <c r="A45" s="85" t="s">
        <v>425</v>
      </c>
      <c r="B45" s="78" t="s">
        <v>426</v>
      </c>
      <c r="C45" s="119" t="s">
        <v>286</v>
      </c>
      <c r="D45" s="115">
        <v>10</v>
      </c>
      <c r="E45" s="47"/>
      <c r="F45" s="48">
        <f t="shared" ref="F45:F49" si="17">D45*E45</f>
        <v>0</v>
      </c>
      <c r="G45" s="47">
        <v>781.98</v>
      </c>
      <c r="H45" s="48">
        <f t="shared" ref="H45:H49" si="18">D45*G45</f>
        <v>7819.8</v>
      </c>
      <c r="I45" s="49">
        <f t="shared" ref="I45:I49" si="19">F45+H45</f>
        <v>7819.8</v>
      </c>
    </row>
    <row r="46" spans="1:9" ht="27.75" customHeight="1" x14ac:dyDescent="0.25">
      <c r="A46" s="85" t="s">
        <v>427</v>
      </c>
      <c r="B46" s="78" t="s">
        <v>428</v>
      </c>
      <c r="C46" s="119" t="s">
        <v>286</v>
      </c>
      <c r="D46" s="115">
        <v>16</v>
      </c>
      <c r="E46" s="47"/>
      <c r="F46" s="48">
        <f t="shared" si="17"/>
        <v>0</v>
      </c>
      <c r="G46" s="47">
        <v>1137.19</v>
      </c>
      <c r="H46" s="48">
        <f t="shared" si="18"/>
        <v>18195.04</v>
      </c>
      <c r="I46" s="49">
        <f t="shared" si="19"/>
        <v>18195.04</v>
      </c>
    </row>
    <row r="47" spans="1:9" ht="27.75" customHeight="1" x14ac:dyDescent="0.25">
      <c r="A47" s="85" t="s">
        <v>429</v>
      </c>
      <c r="B47" s="78" t="s">
        <v>430</v>
      </c>
      <c r="C47" s="119" t="s">
        <v>286</v>
      </c>
      <c r="D47" s="115">
        <v>5</v>
      </c>
      <c r="E47" s="47"/>
      <c r="F47" s="48">
        <f t="shared" si="17"/>
        <v>0</v>
      </c>
      <c r="G47" s="47">
        <v>1654.68</v>
      </c>
      <c r="H47" s="48">
        <f t="shared" si="18"/>
        <v>8273.4</v>
      </c>
      <c r="I47" s="49">
        <f t="shared" si="19"/>
        <v>8273.4</v>
      </c>
    </row>
    <row r="48" spans="1:9" ht="27.75" customHeight="1" x14ac:dyDescent="0.25">
      <c r="A48" s="85" t="s">
        <v>431</v>
      </c>
      <c r="B48" s="78" t="s">
        <v>432</v>
      </c>
      <c r="C48" s="119" t="s">
        <v>286</v>
      </c>
      <c r="D48" s="115">
        <v>5</v>
      </c>
      <c r="E48" s="47"/>
      <c r="F48" s="48">
        <f t="shared" si="17"/>
        <v>0</v>
      </c>
      <c r="G48" s="47">
        <v>2132.56</v>
      </c>
      <c r="H48" s="48">
        <f t="shared" si="18"/>
        <v>10662.8</v>
      </c>
      <c r="I48" s="49">
        <f t="shared" si="19"/>
        <v>10662.8</v>
      </c>
    </row>
    <row r="49" spans="1:9" ht="27.75" customHeight="1" x14ac:dyDescent="0.25">
      <c r="A49" s="85" t="s">
        <v>433</v>
      </c>
      <c r="B49" s="78" t="s">
        <v>434</v>
      </c>
      <c r="C49" s="119" t="s">
        <v>286</v>
      </c>
      <c r="D49" s="115">
        <v>20</v>
      </c>
      <c r="E49" s="47"/>
      <c r="F49" s="48">
        <f t="shared" si="17"/>
        <v>0</v>
      </c>
      <c r="G49" s="47">
        <v>2601.4899999999998</v>
      </c>
      <c r="H49" s="48">
        <f t="shared" si="18"/>
        <v>52029.799999999996</v>
      </c>
      <c r="I49" s="49">
        <f t="shared" si="19"/>
        <v>52029.799999999996</v>
      </c>
    </row>
    <row r="50" spans="1:9" ht="87.75" customHeight="1" x14ac:dyDescent="0.25">
      <c r="A50" s="85">
        <v>4.13</v>
      </c>
      <c r="B50" s="120" t="s">
        <v>435</v>
      </c>
      <c r="C50" s="119"/>
      <c r="D50" s="115"/>
      <c r="E50" s="47"/>
      <c r="F50" s="48"/>
      <c r="G50" s="47"/>
      <c r="H50" s="48"/>
      <c r="I50" s="49"/>
    </row>
    <row r="51" spans="1:9" ht="27.75" customHeight="1" x14ac:dyDescent="0.25">
      <c r="A51" s="85" t="s">
        <v>436</v>
      </c>
      <c r="B51" s="78" t="s">
        <v>437</v>
      </c>
      <c r="C51" s="119" t="s">
        <v>286</v>
      </c>
      <c r="D51" s="115">
        <v>20</v>
      </c>
      <c r="E51" s="47"/>
      <c r="F51" s="48">
        <f t="shared" ref="F51:F55" si="20">D51*E51</f>
        <v>0</v>
      </c>
      <c r="G51" s="47">
        <v>496.21</v>
      </c>
      <c r="H51" s="48">
        <f t="shared" ref="H51:H55" si="21">D51*G51</f>
        <v>9924.1999999999989</v>
      </c>
      <c r="I51" s="49">
        <f t="shared" ref="I51:I55" si="22">F51+H51</f>
        <v>9924.1999999999989</v>
      </c>
    </row>
    <row r="52" spans="1:9" ht="27.75" customHeight="1" x14ac:dyDescent="0.25">
      <c r="A52" s="85" t="s">
        <v>438</v>
      </c>
      <c r="B52" s="78" t="s">
        <v>439</v>
      </c>
      <c r="C52" s="119" t="s">
        <v>286</v>
      </c>
      <c r="D52" s="115">
        <v>16</v>
      </c>
      <c r="E52" s="47"/>
      <c r="F52" s="48">
        <f t="shared" si="20"/>
        <v>0</v>
      </c>
      <c r="G52" s="47">
        <v>635.49</v>
      </c>
      <c r="H52" s="48">
        <f t="shared" si="21"/>
        <v>10167.84</v>
      </c>
      <c r="I52" s="49">
        <f t="shared" si="22"/>
        <v>10167.84</v>
      </c>
    </row>
    <row r="53" spans="1:9" ht="27.75" customHeight="1" x14ac:dyDescent="0.25">
      <c r="A53" s="85" t="s">
        <v>440</v>
      </c>
      <c r="B53" s="78" t="s">
        <v>441</v>
      </c>
      <c r="C53" s="119" t="s">
        <v>286</v>
      </c>
      <c r="D53" s="115">
        <v>34</v>
      </c>
      <c r="E53" s="47"/>
      <c r="F53" s="48">
        <f t="shared" si="20"/>
        <v>0</v>
      </c>
      <c r="G53" s="47">
        <v>888.48</v>
      </c>
      <c r="H53" s="48">
        <f t="shared" si="21"/>
        <v>30208.32</v>
      </c>
      <c r="I53" s="49">
        <f t="shared" si="22"/>
        <v>30208.32</v>
      </c>
    </row>
    <row r="54" spans="1:9" ht="27.75" customHeight="1" x14ac:dyDescent="0.25">
      <c r="A54" s="85" t="s">
        <v>442</v>
      </c>
      <c r="B54" s="78" t="s">
        <v>443</v>
      </c>
      <c r="C54" s="119" t="s">
        <v>286</v>
      </c>
      <c r="D54" s="115">
        <v>5</v>
      </c>
      <c r="E54" s="47"/>
      <c r="F54" s="48">
        <f t="shared" si="20"/>
        <v>0</v>
      </c>
      <c r="G54" s="47">
        <v>1179.81</v>
      </c>
      <c r="H54" s="48">
        <f t="shared" si="21"/>
        <v>5899.0499999999993</v>
      </c>
      <c r="I54" s="49">
        <f t="shared" si="22"/>
        <v>5899.0499999999993</v>
      </c>
    </row>
    <row r="55" spans="1:9" ht="27.75" customHeight="1" x14ac:dyDescent="0.25">
      <c r="A55" s="85" t="s">
        <v>444</v>
      </c>
      <c r="B55" s="78" t="s">
        <v>445</v>
      </c>
      <c r="C55" s="119" t="s">
        <v>286</v>
      </c>
      <c r="D55" s="115">
        <v>5</v>
      </c>
      <c r="E55" s="47"/>
      <c r="F55" s="48">
        <f t="shared" si="20"/>
        <v>0</v>
      </c>
      <c r="G55" s="47">
        <v>1471.14</v>
      </c>
      <c r="H55" s="48">
        <f t="shared" si="21"/>
        <v>7355.7000000000007</v>
      </c>
      <c r="I55" s="49">
        <f t="shared" si="22"/>
        <v>7355.7000000000007</v>
      </c>
    </row>
    <row r="56" spans="1:9" ht="37.5" x14ac:dyDescent="0.25">
      <c r="A56" s="85">
        <v>4.1399999999999997</v>
      </c>
      <c r="B56" s="121" t="s">
        <v>446</v>
      </c>
      <c r="C56" s="119"/>
      <c r="D56" s="115"/>
      <c r="E56" s="47"/>
      <c r="F56" s="48"/>
      <c r="G56" s="47"/>
      <c r="H56" s="48"/>
      <c r="I56" s="49"/>
    </row>
    <row r="57" spans="1:9" ht="27.75" customHeight="1" x14ac:dyDescent="0.25">
      <c r="A57" s="85" t="s">
        <v>447</v>
      </c>
      <c r="B57" s="121" t="s">
        <v>448</v>
      </c>
      <c r="C57" s="122" t="s">
        <v>449</v>
      </c>
      <c r="D57" s="115">
        <v>5</v>
      </c>
      <c r="E57" s="47"/>
      <c r="F57" s="48">
        <f t="shared" ref="F57:F58" si="23">D57*E57</f>
        <v>0</v>
      </c>
      <c r="G57" s="47">
        <v>1054.1400000000001</v>
      </c>
      <c r="H57" s="48">
        <f t="shared" ref="H57:H58" si="24">D57*G57</f>
        <v>5270.7000000000007</v>
      </c>
      <c r="I57" s="49">
        <f t="shared" ref="I57:I58" si="25">F57+H57</f>
        <v>5270.7000000000007</v>
      </c>
    </row>
    <row r="58" spans="1:9" ht="27.75" customHeight="1" x14ac:dyDescent="0.25">
      <c r="A58" s="85" t="s">
        <v>450</v>
      </c>
      <c r="B58" s="121" t="s">
        <v>451</v>
      </c>
      <c r="C58" s="122" t="s">
        <v>449</v>
      </c>
      <c r="D58" s="115">
        <v>5</v>
      </c>
      <c r="E58" s="47"/>
      <c r="F58" s="48">
        <f t="shared" si="23"/>
        <v>0</v>
      </c>
      <c r="G58" s="47">
        <v>1054.1400000000001</v>
      </c>
      <c r="H58" s="48">
        <f t="shared" si="24"/>
        <v>5270.7000000000007</v>
      </c>
      <c r="I58" s="49">
        <f t="shared" si="25"/>
        <v>5270.7000000000007</v>
      </c>
    </row>
    <row r="59" spans="1:9" ht="27.75" customHeight="1" x14ac:dyDescent="0.25">
      <c r="A59" s="85">
        <v>4.1500000000000004</v>
      </c>
      <c r="B59" s="121" t="s">
        <v>452</v>
      </c>
      <c r="C59" s="122"/>
      <c r="D59" s="115"/>
      <c r="E59" s="47"/>
      <c r="F59" s="48"/>
      <c r="G59" s="47"/>
      <c r="H59" s="48"/>
      <c r="I59" s="49"/>
    </row>
    <row r="60" spans="1:9" ht="27.75" customHeight="1" x14ac:dyDescent="0.25">
      <c r="A60" s="85" t="s">
        <v>453</v>
      </c>
      <c r="B60" s="121" t="s">
        <v>454</v>
      </c>
      <c r="C60" s="122" t="s">
        <v>69</v>
      </c>
      <c r="D60" s="115">
        <v>5</v>
      </c>
      <c r="E60" s="47"/>
      <c r="F60" s="48">
        <f t="shared" ref="F60:F64" si="26">D60*E60</f>
        <v>0</v>
      </c>
      <c r="G60" s="47">
        <v>82.84</v>
      </c>
      <c r="H60" s="48">
        <f t="shared" ref="H60:H64" si="27">D60*G60</f>
        <v>414.20000000000005</v>
      </c>
      <c r="I60" s="49">
        <f t="shared" ref="I60:I64" si="28">F60+H60</f>
        <v>414.20000000000005</v>
      </c>
    </row>
    <row r="61" spans="1:9" ht="27.75" customHeight="1" x14ac:dyDescent="0.25">
      <c r="A61" s="85" t="s">
        <v>455</v>
      </c>
      <c r="B61" s="121" t="s">
        <v>456</v>
      </c>
      <c r="C61" s="122" t="s">
        <v>449</v>
      </c>
      <c r="D61" s="115">
        <v>5</v>
      </c>
      <c r="E61" s="47"/>
      <c r="F61" s="48">
        <f t="shared" si="26"/>
        <v>0</v>
      </c>
      <c r="G61" s="47">
        <v>82.84</v>
      </c>
      <c r="H61" s="48">
        <f t="shared" si="27"/>
        <v>414.20000000000005</v>
      </c>
      <c r="I61" s="49">
        <f t="shared" si="28"/>
        <v>414.20000000000005</v>
      </c>
    </row>
    <row r="62" spans="1:9" ht="27.75" customHeight="1" x14ac:dyDescent="0.25">
      <c r="A62" s="85" t="s">
        <v>457</v>
      </c>
      <c r="B62" s="121" t="s">
        <v>458</v>
      </c>
      <c r="C62" s="122" t="s">
        <v>449</v>
      </c>
      <c r="D62" s="115">
        <v>5</v>
      </c>
      <c r="E62" s="47"/>
      <c r="F62" s="48">
        <f t="shared" si="26"/>
        <v>0</v>
      </c>
      <c r="G62" s="47">
        <v>82.84</v>
      </c>
      <c r="H62" s="48">
        <f t="shared" si="27"/>
        <v>414.20000000000005</v>
      </c>
      <c r="I62" s="49">
        <f t="shared" si="28"/>
        <v>414.20000000000005</v>
      </c>
    </row>
    <row r="63" spans="1:9" ht="37.5" x14ac:dyDescent="0.25">
      <c r="A63" s="85">
        <v>4.16</v>
      </c>
      <c r="B63" s="89" t="s">
        <v>459</v>
      </c>
      <c r="C63" s="119" t="s">
        <v>286</v>
      </c>
      <c r="D63" s="115">
        <f>(D45*2)+(D46*4)+(D49*10)+(D51)+(D52*2)+(D53*4)</f>
        <v>472</v>
      </c>
      <c r="E63" s="47"/>
      <c r="F63" s="48">
        <f t="shared" si="26"/>
        <v>0</v>
      </c>
      <c r="G63" s="47">
        <v>54.32</v>
      </c>
      <c r="H63" s="48">
        <f t="shared" si="27"/>
        <v>25639.040000000001</v>
      </c>
      <c r="I63" s="49">
        <f t="shared" si="28"/>
        <v>25639.040000000001</v>
      </c>
    </row>
    <row r="64" spans="1:9" ht="37.5" x14ac:dyDescent="0.25">
      <c r="A64" s="85">
        <v>4.17</v>
      </c>
      <c r="B64" s="89" t="s">
        <v>460</v>
      </c>
      <c r="C64" s="119" t="s">
        <v>286</v>
      </c>
      <c r="D64" s="115">
        <v>1300</v>
      </c>
      <c r="E64" s="47"/>
      <c r="F64" s="48">
        <f t="shared" si="26"/>
        <v>0</v>
      </c>
      <c r="G64" s="47">
        <v>22.34</v>
      </c>
      <c r="H64" s="48">
        <f t="shared" si="27"/>
        <v>29042</v>
      </c>
      <c r="I64" s="49">
        <f t="shared" si="28"/>
        <v>29042</v>
      </c>
    </row>
    <row r="65" spans="1:9" x14ac:dyDescent="0.25">
      <c r="A65" s="85">
        <v>4.18</v>
      </c>
      <c r="B65" s="120" t="s">
        <v>32</v>
      </c>
      <c r="C65" s="119"/>
      <c r="D65" s="115"/>
      <c r="E65" s="47"/>
      <c r="F65" s="48"/>
      <c r="G65" s="47"/>
      <c r="H65" s="48"/>
      <c r="I65" s="49"/>
    </row>
    <row r="66" spans="1:9" s="57" customFormat="1" x14ac:dyDescent="0.25">
      <c r="A66" s="85">
        <v>4.1900000000000004</v>
      </c>
      <c r="B66" s="120" t="s">
        <v>32</v>
      </c>
      <c r="C66" s="119"/>
      <c r="D66" s="115"/>
      <c r="E66" s="54"/>
      <c r="F66" s="55"/>
      <c r="G66" s="54"/>
      <c r="H66" s="55"/>
      <c r="I66" s="56"/>
    </row>
    <row r="67" spans="1:9" s="57" customFormat="1" x14ac:dyDescent="0.25">
      <c r="A67" s="85">
        <v>4.2</v>
      </c>
      <c r="B67" s="120" t="s">
        <v>32</v>
      </c>
      <c r="C67" s="119"/>
      <c r="D67" s="115"/>
      <c r="E67" s="54"/>
      <c r="F67" s="55"/>
      <c r="G67" s="54"/>
      <c r="H67" s="55"/>
      <c r="I67" s="56"/>
    </row>
    <row r="68" spans="1:9" s="57" customFormat="1" x14ac:dyDescent="0.25">
      <c r="A68" s="85">
        <v>4.21</v>
      </c>
      <c r="B68" s="120" t="s">
        <v>32</v>
      </c>
      <c r="C68" s="119"/>
      <c r="D68" s="115"/>
      <c r="E68" s="54"/>
      <c r="F68" s="55"/>
      <c r="G68" s="54"/>
      <c r="H68" s="55"/>
      <c r="I68" s="56"/>
    </row>
    <row r="69" spans="1:9" ht="56.25" customHeight="1" x14ac:dyDescent="0.25">
      <c r="A69" s="177" t="s">
        <v>461</v>
      </c>
      <c r="B69" s="178"/>
      <c r="C69" s="123"/>
      <c r="D69" s="124"/>
      <c r="E69" s="123"/>
      <c r="F69" s="67">
        <f>SUM(F11:F68)</f>
        <v>0</v>
      </c>
      <c r="G69" s="67"/>
      <c r="H69" s="67">
        <f>SUM(H11:H68)</f>
        <v>1389385.777</v>
      </c>
      <c r="I69" s="67">
        <f>SUM(I11:I68)</f>
        <v>1389385.777</v>
      </c>
    </row>
    <row r="70" spans="1:9" ht="25.5" customHeight="1" x14ac:dyDescent="0.25">
      <c r="A70" s="90"/>
      <c r="B70" s="90"/>
      <c r="C70" s="90"/>
      <c r="D70" s="125"/>
      <c r="E70" s="90"/>
      <c r="F70" s="90"/>
      <c r="G70" s="90"/>
      <c r="H70" s="90"/>
      <c r="I70" s="90"/>
    </row>
    <row r="71" spans="1:9" ht="45" customHeight="1" x14ac:dyDescent="0.25">
      <c r="A71" s="94" t="s">
        <v>462</v>
      </c>
      <c r="B71" s="95" t="str">
        <f>B9</f>
        <v>Interconnecting Cables between Grid Station and the new Primary Substation and Load Diversion works</v>
      </c>
      <c r="C71" s="49"/>
      <c r="D71" s="109"/>
      <c r="E71" s="49"/>
      <c r="F71" s="49">
        <f>F69</f>
        <v>0</v>
      </c>
      <c r="G71" s="49"/>
      <c r="H71" s="49">
        <f>H69</f>
        <v>1389385.777</v>
      </c>
      <c r="I71" s="49">
        <f>I69</f>
        <v>1389385.777</v>
      </c>
    </row>
    <row r="72" spans="1:9" ht="50.25" customHeight="1" x14ac:dyDescent="0.25">
      <c r="A72" s="98"/>
      <c r="B72" s="99"/>
      <c r="C72" s="49"/>
      <c r="D72" s="109"/>
      <c r="E72" s="49"/>
      <c r="F72" s="49"/>
      <c r="G72" s="49"/>
      <c r="H72" s="49"/>
      <c r="I72" s="49"/>
    </row>
    <row r="73" spans="1:9" ht="51.75" customHeight="1" x14ac:dyDescent="0.25">
      <c r="A73" s="223" t="s">
        <v>463</v>
      </c>
      <c r="B73" s="223"/>
      <c r="C73" s="100"/>
      <c r="D73" s="126"/>
      <c r="E73" s="100"/>
      <c r="F73" s="101">
        <f>SUM(F71:F71)</f>
        <v>0</v>
      </c>
      <c r="G73" s="101"/>
      <c r="H73" s="101">
        <f>SUM(H71:H71)</f>
        <v>1389385.777</v>
      </c>
      <c r="I73" s="101">
        <f>SUM(I71:I71)</f>
        <v>1389385.777</v>
      </c>
    </row>
  </sheetData>
  <mergeCells count="17">
    <mergeCell ref="E4:I4"/>
    <mergeCell ref="A5:A7"/>
    <mergeCell ref="B5:B7"/>
    <mergeCell ref="C5:C7"/>
    <mergeCell ref="D5:D7"/>
    <mergeCell ref="E5:F5"/>
    <mergeCell ref="G5:H5"/>
    <mergeCell ref="E6:E7"/>
    <mergeCell ref="F6:F7"/>
    <mergeCell ref="G6:G7"/>
    <mergeCell ref="A73:B73"/>
    <mergeCell ref="H6:H7"/>
    <mergeCell ref="A11:A12"/>
    <mergeCell ref="A18:A19"/>
    <mergeCell ref="A25:A26"/>
    <mergeCell ref="A34:A35"/>
    <mergeCell ref="A69:B69"/>
  </mergeCells>
  <pageMargins left="0.70866141732283472" right="0.70866141732283472" top="0.74803149606299213" bottom="0.74803149606299213" header="0.31496062992125984" footer="0.31496062992125984"/>
  <pageSetup paperSize="9" scale="48"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view="pageBreakPreview" zoomScale="60" zoomScaleNormal="55" workbookViewId="0">
      <selection activeCell="I8" sqref="I8"/>
    </sheetView>
  </sheetViews>
  <sheetFormatPr defaultRowHeight="18.75" x14ac:dyDescent="0.25"/>
  <cols>
    <col min="1" max="1" width="15" style="18" customWidth="1"/>
    <col min="2" max="2" width="95" style="21" customWidth="1"/>
    <col min="3" max="3" width="13" style="19" customWidth="1"/>
    <col min="4" max="4" width="21" style="103" customWidth="1"/>
    <col min="5" max="5" width="22.42578125" style="28" customWidth="1"/>
    <col min="6" max="6" width="23.5703125" style="28" customWidth="1"/>
    <col min="7" max="7" width="22.140625" style="28" customWidth="1"/>
    <col min="8" max="8" width="26" style="28" customWidth="1"/>
    <col min="9" max="9" width="27.42578125" style="91" customWidth="1"/>
    <col min="10" max="246" width="8.85546875" style="28"/>
    <col min="247" max="247" width="7.7109375" style="28" bestFit="1" customWidth="1"/>
    <col min="248" max="248" width="88.28515625" style="28" customWidth="1"/>
    <col min="249" max="249" width="13" style="28" customWidth="1"/>
    <col min="250" max="250" width="18" style="28" customWidth="1"/>
    <col min="251" max="251" width="17" style="28" customWidth="1"/>
    <col min="252" max="252" width="17.85546875" style="28" customWidth="1"/>
    <col min="253" max="253" width="20.42578125" style="28" customWidth="1"/>
    <col min="254" max="254" width="14.85546875" style="28" customWidth="1"/>
    <col min="255" max="257" width="18.140625" style="28" customWidth="1"/>
    <col min="258" max="258" width="20.42578125" style="28" customWidth="1"/>
    <col min="259" max="259" width="14.140625" style="28" bestFit="1" customWidth="1"/>
    <col min="260" max="260" width="10" style="28" bestFit="1" customWidth="1"/>
    <col min="261" max="502" width="8.85546875" style="28"/>
    <col min="503" max="503" width="7.7109375" style="28" bestFit="1" customWidth="1"/>
    <col min="504" max="504" width="88.28515625" style="28" customWidth="1"/>
    <col min="505" max="505" width="13" style="28" customWidth="1"/>
    <col min="506" max="506" width="18" style="28" customWidth="1"/>
    <col min="507" max="507" width="17" style="28" customWidth="1"/>
    <col min="508" max="508" width="17.85546875" style="28" customWidth="1"/>
    <col min="509" max="509" width="20.42578125" style="28" customWidth="1"/>
    <col min="510" max="510" width="14.85546875" style="28" customWidth="1"/>
    <col min="511" max="513" width="18.140625" style="28" customWidth="1"/>
    <col min="514" max="514" width="20.42578125" style="28" customWidth="1"/>
    <col min="515" max="515" width="14.140625" style="28" bestFit="1" customWidth="1"/>
    <col min="516" max="516" width="10" style="28" bestFit="1" customWidth="1"/>
    <col min="517" max="758" width="8.85546875" style="28"/>
    <col min="759" max="759" width="7.7109375" style="28" bestFit="1" customWidth="1"/>
    <col min="760" max="760" width="88.28515625" style="28" customWidth="1"/>
    <col min="761" max="761" width="13" style="28" customWidth="1"/>
    <col min="762" max="762" width="18" style="28" customWidth="1"/>
    <col min="763" max="763" width="17" style="28" customWidth="1"/>
    <col min="764" max="764" width="17.85546875" style="28" customWidth="1"/>
    <col min="765" max="765" width="20.42578125" style="28" customWidth="1"/>
    <col min="766" max="766" width="14.85546875" style="28" customWidth="1"/>
    <col min="767" max="769" width="18.140625" style="28" customWidth="1"/>
    <col min="770" max="770" width="20.42578125" style="28" customWidth="1"/>
    <col min="771" max="771" width="14.140625" style="28" bestFit="1" customWidth="1"/>
    <col min="772" max="772" width="10" style="28" bestFit="1" customWidth="1"/>
    <col min="773" max="1014" width="8.85546875" style="28"/>
    <col min="1015" max="1015" width="7.7109375" style="28" bestFit="1" customWidth="1"/>
    <col min="1016" max="1016" width="88.28515625" style="28" customWidth="1"/>
    <col min="1017" max="1017" width="13" style="28" customWidth="1"/>
    <col min="1018" max="1018" width="18" style="28" customWidth="1"/>
    <col min="1019" max="1019" width="17" style="28" customWidth="1"/>
    <col min="1020" max="1020" width="17.85546875" style="28" customWidth="1"/>
    <col min="1021" max="1021" width="20.42578125" style="28" customWidth="1"/>
    <col min="1022" max="1022" width="14.85546875" style="28" customWidth="1"/>
    <col min="1023" max="1025" width="18.140625" style="28" customWidth="1"/>
    <col min="1026" max="1026" width="20.42578125" style="28" customWidth="1"/>
    <col min="1027" max="1027" width="14.140625" style="28" bestFit="1" customWidth="1"/>
    <col min="1028" max="1028" width="10" style="28" bestFit="1" customWidth="1"/>
    <col min="1029" max="1270" width="8.85546875" style="28"/>
    <col min="1271" max="1271" width="7.7109375" style="28" bestFit="1" customWidth="1"/>
    <col min="1272" max="1272" width="88.28515625" style="28" customWidth="1"/>
    <col min="1273" max="1273" width="13" style="28" customWidth="1"/>
    <col min="1274" max="1274" width="18" style="28" customWidth="1"/>
    <col min="1275" max="1275" width="17" style="28" customWidth="1"/>
    <col min="1276" max="1276" width="17.85546875" style="28" customWidth="1"/>
    <col min="1277" max="1277" width="20.42578125" style="28" customWidth="1"/>
    <col min="1278" max="1278" width="14.85546875" style="28" customWidth="1"/>
    <col min="1279" max="1281" width="18.140625" style="28" customWidth="1"/>
    <col min="1282" max="1282" width="20.42578125" style="28" customWidth="1"/>
    <col min="1283" max="1283" width="14.140625" style="28" bestFit="1" customWidth="1"/>
    <col min="1284" max="1284" width="10" style="28" bestFit="1" customWidth="1"/>
    <col min="1285" max="1526" width="8.85546875" style="28"/>
    <col min="1527" max="1527" width="7.7109375" style="28" bestFit="1" customWidth="1"/>
    <col min="1528" max="1528" width="88.28515625" style="28" customWidth="1"/>
    <col min="1529" max="1529" width="13" style="28" customWidth="1"/>
    <col min="1530" max="1530" width="18" style="28" customWidth="1"/>
    <col min="1531" max="1531" width="17" style="28" customWidth="1"/>
    <col min="1532" max="1532" width="17.85546875" style="28" customWidth="1"/>
    <col min="1533" max="1533" width="20.42578125" style="28" customWidth="1"/>
    <col min="1534" max="1534" width="14.85546875" style="28" customWidth="1"/>
    <col min="1535" max="1537" width="18.140625" style="28" customWidth="1"/>
    <col min="1538" max="1538" width="20.42578125" style="28" customWidth="1"/>
    <col min="1539" max="1539" width="14.140625" style="28" bestFit="1" customWidth="1"/>
    <col min="1540" max="1540" width="10" style="28" bestFit="1" customWidth="1"/>
    <col min="1541" max="1782" width="8.85546875" style="28"/>
    <col min="1783" max="1783" width="7.7109375" style="28" bestFit="1" customWidth="1"/>
    <col min="1784" max="1784" width="88.28515625" style="28" customWidth="1"/>
    <col min="1785" max="1785" width="13" style="28" customWidth="1"/>
    <col min="1786" max="1786" width="18" style="28" customWidth="1"/>
    <col min="1787" max="1787" width="17" style="28" customWidth="1"/>
    <col min="1788" max="1788" width="17.85546875" style="28" customWidth="1"/>
    <col min="1789" max="1789" width="20.42578125" style="28" customWidth="1"/>
    <col min="1790" max="1790" width="14.85546875" style="28" customWidth="1"/>
    <col min="1791" max="1793" width="18.140625" style="28" customWidth="1"/>
    <col min="1794" max="1794" width="20.42578125" style="28" customWidth="1"/>
    <col min="1795" max="1795" width="14.140625" style="28" bestFit="1" customWidth="1"/>
    <col min="1796" max="1796" width="10" style="28" bestFit="1" customWidth="1"/>
    <col min="1797" max="2038" width="8.85546875" style="28"/>
    <col min="2039" max="2039" width="7.7109375" style="28" bestFit="1" customWidth="1"/>
    <col min="2040" max="2040" width="88.28515625" style="28" customWidth="1"/>
    <col min="2041" max="2041" width="13" style="28" customWidth="1"/>
    <col min="2042" max="2042" width="18" style="28" customWidth="1"/>
    <col min="2043" max="2043" width="17" style="28" customWidth="1"/>
    <col min="2044" max="2044" width="17.85546875" style="28" customWidth="1"/>
    <col min="2045" max="2045" width="20.42578125" style="28" customWidth="1"/>
    <col min="2046" max="2046" width="14.85546875" style="28" customWidth="1"/>
    <col min="2047" max="2049" width="18.140625" style="28" customWidth="1"/>
    <col min="2050" max="2050" width="20.42578125" style="28" customWidth="1"/>
    <col min="2051" max="2051" width="14.140625" style="28" bestFit="1" customWidth="1"/>
    <col min="2052" max="2052" width="10" style="28" bestFit="1" customWidth="1"/>
    <col min="2053" max="2294" width="8.85546875" style="28"/>
    <col min="2295" max="2295" width="7.7109375" style="28" bestFit="1" customWidth="1"/>
    <col min="2296" max="2296" width="88.28515625" style="28" customWidth="1"/>
    <col min="2297" max="2297" width="13" style="28" customWidth="1"/>
    <col min="2298" max="2298" width="18" style="28" customWidth="1"/>
    <col min="2299" max="2299" width="17" style="28" customWidth="1"/>
    <col min="2300" max="2300" width="17.85546875" style="28" customWidth="1"/>
    <col min="2301" max="2301" width="20.42578125" style="28" customWidth="1"/>
    <col min="2302" max="2302" width="14.85546875" style="28" customWidth="1"/>
    <col min="2303" max="2305" width="18.140625" style="28" customWidth="1"/>
    <col min="2306" max="2306" width="20.42578125" style="28" customWidth="1"/>
    <col min="2307" max="2307" width="14.140625" style="28" bestFit="1" customWidth="1"/>
    <col min="2308" max="2308" width="10" style="28" bestFit="1" customWidth="1"/>
    <col min="2309" max="2550" width="8.85546875" style="28"/>
    <col min="2551" max="2551" width="7.7109375" style="28" bestFit="1" customWidth="1"/>
    <col min="2552" max="2552" width="88.28515625" style="28" customWidth="1"/>
    <col min="2553" max="2553" width="13" style="28" customWidth="1"/>
    <col min="2554" max="2554" width="18" style="28" customWidth="1"/>
    <col min="2555" max="2555" width="17" style="28" customWidth="1"/>
    <col min="2556" max="2556" width="17.85546875" style="28" customWidth="1"/>
    <col min="2557" max="2557" width="20.42578125" style="28" customWidth="1"/>
    <col min="2558" max="2558" width="14.85546875" style="28" customWidth="1"/>
    <col min="2559" max="2561" width="18.140625" style="28" customWidth="1"/>
    <col min="2562" max="2562" width="20.42578125" style="28" customWidth="1"/>
    <col min="2563" max="2563" width="14.140625" style="28" bestFit="1" customWidth="1"/>
    <col min="2564" max="2564" width="10" style="28" bestFit="1" customWidth="1"/>
    <col min="2565" max="2806" width="8.85546875" style="28"/>
    <col min="2807" max="2807" width="7.7109375" style="28" bestFit="1" customWidth="1"/>
    <col min="2808" max="2808" width="88.28515625" style="28" customWidth="1"/>
    <col min="2809" max="2809" width="13" style="28" customWidth="1"/>
    <col min="2810" max="2810" width="18" style="28" customWidth="1"/>
    <col min="2811" max="2811" width="17" style="28" customWidth="1"/>
    <col min="2812" max="2812" width="17.85546875" style="28" customWidth="1"/>
    <col min="2813" max="2813" width="20.42578125" style="28" customWidth="1"/>
    <col min="2814" max="2814" width="14.85546875" style="28" customWidth="1"/>
    <col min="2815" max="2817" width="18.140625" style="28" customWidth="1"/>
    <col min="2818" max="2818" width="20.42578125" style="28" customWidth="1"/>
    <col min="2819" max="2819" width="14.140625" style="28" bestFit="1" customWidth="1"/>
    <col min="2820" max="2820" width="10" style="28" bestFit="1" customWidth="1"/>
    <col min="2821" max="3062" width="8.85546875" style="28"/>
    <col min="3063" max="3063" width="7.7109375" style="28" bestFit="1" customWidth="1"/>
    <col min="3064" max="3064" width="88.28515625" style="28" customWidth="1"/>
    <col min="3065" max="3065" width="13" style="28" customWidth="1"/>
    <col min="3066" max="3066" width="18" style="28" customWidth="1"/>
    <col min="3067" max="3067" width="17" style="28" customWidth="1"/>
    <col min="3068" max="3068" width="17.85546875" style="28" customWidth="1"/>
    <col min="3069" max="3069" width="20.42578125" style="28" customWidth="1"/>
    <col min="3070" max="3070" width="14.85546875" style="28" customWidth="1"/>
    <col min="3071" max="3073" width="18.140625" style="28" customWidth="1"/>
    <col min="3074" max="3074" width="20.42578125" style="28" customWidth="1"/>
    <col min="3075" max="3075" width="14.140625" style="28" bestFit="1" customWidth="1"/>
    <col min="3076" max="3076" width="10" style="28" bestFit="1" customWidth="1"/>
    <col min="3077" max="3318" width="8.85546875" style="28"/>
    <col min="3319" max="3319" width="7.7109375" style="28" bestFit="1" customWidth="1"/>
    <col min="3320" max="3320" width="88.28515625" style="28" customWidth="1"/>
    <col min="3321" max="3321" width="13" style="28" customWidth="1"/>
    <col min="3322" max="3322" width="18" style="28" customWidth="1"/>
    <col min="3323" max="3323" width="17" style="28" customWidth="1"/>
    <col min="3324" max="3324" width="17.85546875" style="28" customWidth="1"/>
    <col min="3325" max="3325" width="20.42578125" style="28" customWidth="1"/>
    <col min="3326" max="3326" width="14.85546875" style="28" customWidth="1"/>
    <col min="3327" max="3329" width="18.140625" style="28" customWidth="1"/>
    <col min="3330" max="3330" width="20.42578125" style="28" customWidth="1"/>
    <col min="3331" max="3331" width="14.140625" style="28" bestFit="1" customWidth="1"/>
    <col min="3332" max="3332" width="10" style="28" bestFit="1" customWidth="1"/>
    <col min="3333" max="3574" width="8.85546875" style="28"/>
    <col min="3575" max="3575" width="7.7109375" style="28" bestFit="1" customWidth="1"/>
    <col min="3576" max="3576" width="88.28515625" style="28" customWidth="1"/>
    <col min="3577" max="3577" width="13" style="28" customWidth="1"/>
    <col min="3578" max="3578" width="18" style="28" customWidth="1"/>
    <col min="3579" max="3579" width="17" style="28" customWidth="1"/>
    <col min="3580" max="3580" width="17.85546875" style="28" customWidth="1"/>
    <col min="3581" max="3581" width="20.42578125" style="28" customWidth="1"/>
    <col min="3582" max="3582" width="14.85546875" style="28" customWidth="1"/>
    <col min="3583" max="3585" width="18.140625" style="28" customWidth="1"/>
    <col min="3586" max="3586" width="20.42578125" style="28" customWidth="1"/>
    <col min="3587" max="3587" width="14.140625" style="28" bestFit="1" customWidth="1"/>
    <col min="3588" max="3588" width="10" style="28" bestFit="1" customWidth="1"/>
    <col min="3589" max="3830" width="8.85546875" style="28"/>
    <col min="3831" max="3831" width="7.7109375" style="28" bestFit="1" customWidth="1"/>
    <col min="3832" max="3832" width="88.28515625" style="28" customWidth="1"/>
    <col min="3833" max="3833" width="13" style="28" customWidth="1"/>
    <col min="3834" max="3834" width="18" style="28" customWidth="1"/>
    <col min="3835" max="3835" width="17" style="28" customWidth="1"/>
    <col min="3836" max="3836" width="17.85546875" style="28" customWidth="1"/>
    <col min="3837" max="3837" width="20.42578125" style="28" customWidth="1"/>
    <col min="3838" max="3838" width="14.85546875" style="28" customWidth="1"/>
    <col min="3839" max="3841" width="18.140625" style="28" customWidth="1"/>
    <col min="3842" max="3842" width="20.42578125" style="28" customWidth="1"/>
    <col min="3843" max="3843" width="14.140625" style="28" bestFit="1" customWidth="1"/>
    <col min="3844" max="3844" width="10" style="28" bestFit="1" customWidth="1"/>
    <col min="3845" max="4086" width="8.85546875" style="28"/>
    <col min="4087" max="4087" width="7.7109375" style="28" bestFit="1" customWidth="1"/>
    <col min="4088" max="4088" width="88.28515625" style="28" customWidth="1"/>
    <col min="4089" max="4089" width="13" style="28" customWidth="1"/>
    <col min="4090" max="4090" width="18" style="28" customWidth="1"/>
    <col min="4091" max="4091" width="17" style="28" customWidth="1"/>
    <col min="4092" max="4092" width="17.85546875" style="28" customWidth="1"/>
    <col min="4093" max="4093" width="20.42578125" style="28" customWidth="1"/>
    <col min="4094" max="4094" width="14.85546875" style="28" customWidth="1"/>
    <col min="4095" max="4097" width="18.140625" style="28" customWidth="1"/>
    <col min="4098" max="4098" width="20.42578125" style="28" customWidth="1"/>
    <col min="4099" max="4099" width="14.140625" style="28" bestFit="1" customWidth="1"/>
    <col min="4100" max="4100" width="10" style="28" bestFit="1" customWidth="1"/>
    <col min="4101" max="4342" width="8.85546875" style="28"/>
    <col min="4343" max="4343" width="7.7109375" style="28" bestFit="1" customWidth="1"/>
    <col min="4344" max="4344" width="88.28515625" style="28" customWidth="1"/>
    <col min="4345" max="4345" width="13" style="28" customWidth="1"/>
    <col min="4346" max="4346" width="18" style="28" customWidth="1"/>
    <col min="4347" max="4347" width="17" style="28" customWidth="1"/>
    <col min="4348" max="4348" width="17.85546875" style="28" customWidth="1"/>
    <col min="4349" max="4349" width="20.42578125" style="28" customWidth="1"/>
    <col min="4350" max="4350" width="14.85546875" style="28" customWidth="1"/>
    <col min="4351" max="4353" width="18.140625" style="28" customWidth="1"/>
    <col min="4354" max="4354" width="20.42578125" style="28" customWidth="1"/>
    <col min="4355" max="4355" width="14.140625" style="28" bestFit="1" customWidth="1"/>
    <col min="4356" max="4356" width="10" style="28" bestFit="1" customWidth="1"/>
    <col min="4357" max="4598" width="8.85546875" style="28"/>
    <col min="4599" max="4599" width="7.7109375" style="28" bestFit="1" customWidth="1"/>
    <col min="4600" max="4600" width="88.28515625" style="28" customWidth="1"/>
    <col min="4601" max="4601" width="13" style="28" customWidth="1"/>
    <col min="4602" max="4602" width="18" style="28" customWidth="1"/>
    <col min="4603" max="4603" width="17" style="28" customWidth="1"/>
    <col min="4604" max="4604" width="17.85546875" style="28" customWidth="1"/>
    <col min="4605" max="4605" width="20.42578125" style="28" customWidth="1"/>
    <col min="4606" max="4606" width="14.85546875" style="28" customWidth="1"/>
    <col min="4607" max="4609" width="18.140625" style="28" customWidth="1"/>
    <col min="4610" max="4610" width="20.42578125" style="28" customWidth="1"/>
    <col min="4611" max="4611" width="14.140625" style="28" bestFit="1" customWidth="1"/>
    <col min="4612" max="4612" width="10" style="28" bestFit="1" customWidth="1"/>
    <col min="4613" max="4854" width="8.85546875" style="28"/>
    <col min="4855" max="4855" width="7.7109375" style="28" bestFit="1" customWidth="1"/>
    <col min="4856" max="4856" width="88.28515625" style="28" customWidth="1"/>
    <col min="4857" max="4857" width="13" style="28" customWidth="1"/>
    <col min="4858" max="4858" width="18" style="28" customWidth="1"/>
    <col min="4859" max="4859" width="17" style="28" customWidth="1"/>
    <col min="4860" max="4860" width="17.85546875" style="28" customWidth="1"/>
    <col min="4861" max="4861" width="20.42578125" style="28" customWidth="1"/>
    <col min="4862" max="4862" width="14.85546875" style="28" customWidth="1"/>
    <col min="4863" max="4865" width="18.140625" style="28" customWidth="1"/>
    <col min="4866" max="4866" width="20.42578125" style="28" customWidth="1"/>
    <col min="4867" max="4867" width="14.140625" style="28" bestFit="1" customWidth="1"/>
    <col min="4868" max="4868" width="10" style="28" bestFit="1" customWidth="1"/>
    <col min="4869" max="5110" width="8.85546875" style="28"/>
    <col min="5111" max="5111" width="7.7109375" style="28" bestFit="1" customWidth="1"/>
    <col min="5112" max="5112" width="88.28515625" style="28" customWidth="1"/>
    <col min="5113" max="5113" width="13" style="28" customWidth="1"/>
    <col min="5114" max="5114" width="18" style="28" customWidth="1"/>
    <col min="5115" max="5115" width="17" style="28" customWidth="1"/>
    <col min="5116" max="5116" width="17.85546875" style="28" customWidth="1"/>
    <col min="5117" max="5117" width="20.42578125" style="28" customWidth="1"/>
    <col min="5118" max="5118" width="14.85546875" style="28" customWidth="1"/>
    <col min="5119" max="5121" width="18.140625" style="28" customWidth="1"/>
    <col min="5122" max="5122" width="20.42578125" style="28" customWidth="1"/>
    <col min="5123" max="5123" width="14.140625" style="28" bestFit="1" customWidth="1"/>
    <col min="5124" max="5124" width="10" style="28" bestFit="1" customWidth="1"/>
    <col min="5125" max="5366" width="8.85546875" style="28"/>
    <col min="5367" max="5367" width="7.7109375" style="28" bestFit="1" customWidth="1"/>
    <col min="5368" max="5368" width="88.28515625" style="28" customWidth="1"/>
    <col min="5369" max="5369" width="13" style="28" customWidth="1"/>
    <col min="5370" max="5370" width="18" style="28" customWidth="1"/>
    <col min="5371" max="5371" width="17" style="28" customWidth="1"/>
    <col min="5372" max="5372" width="17.85546875" style="28" customWidth="1"/>
    <col min="5373" max="5373" width="20.42578125" style="28" customWidth="1"/>
    <col min="5374" max="5374" width="14.85546875" style="28" customWidth="1"/>
    <col min="5375" max="5377" width="18.140625" style="28" customWidth="1"/>
    <col min="5378" max="5378" width="20.42578125" style="28" customWidth="1"/>
    <col min="5379" max="5379" width="14.140625" style="28" bestFit="1" customWidth="1"/>
    <col min="5380" max="5380" width="10" style="28" bestFit="1" customWidth="1"/>
    <col min="5381" max="5622" width="8.85546875" style="28"/>
    <col min="5623" max="5623" width="7.7109375" style="28" bestFit="1" customWidth="1"/>
    <col min="5624" max="5624" width="88.28515625" style="28" customWidth="1"/>
    <col min="5625" max="5625" width="13" style="28" customWidth="1"/>
    <col min="5626" max="5626" width="18" style="28" customWidth="1"/>
    <col min="5627" max="5627" width="17" style="28" customWidth="1"/>
    <col min="5628" max="5628" width="17.85546875" style="28" customWidth="1"/>
    <col min="5629" max="5629" width="20.42578125" style="28" customWidth="1"/>
    <col min="5630" max="5630" width="14.85546875" style="28" customWidth="1"/>
    <col min="5631" max="5633" width="18.140625" style="28" customWidth="1"/>
    <col min="5634" max="5634" width="20.42578125" style="28" customWidth="1"/>
    <col min="5635" max="5635" width="14.140625" style="28" bestFit="1" customWidth="1"/>
    <col min="5636" max="5636" width="10" style="28" bestFit="1" customWidth="1"/>
    <col min="5637" max="5878" width="8.85546875" style="28"/>
    <col min="5879" max="5879" width="7.7109375" style="28" bestFit="1" customWidth="1"/>
    <col min="5880" max="5880" width="88.28515625" style="28" customWidth="1"/>
    <col min="5881" max="5881" width="13" style="28" customWidth="1"/>
    <col min="5882" max="5882" width="18" style="28" customWidth="1"/>
    <col min="5883" max="5883" width="17" style="28" customWidth="1"/>
    <col min="5884" max="5884" width="17.85546875" style="28" customWidth="1"/>
    <col min="5885" max="5885" width="20.42578125" style="28" customWidth="1"/>
    <col min="5886" max="5886" width="14.85546875" style="28" customWidth="1"/>
    <col min="5887" max="5889" width="18.140625" style="28" customWidth="1"/>
    <col min="5890" max="5890" width="20.42578125" style="28" customWidth="1"/>
    <col min="5891" max="5891" width="14.140625" style="28" bestFit="1" customWidth="1"/>
    <col min="5892" max="5892" width="10" style="28" bestFit="1" customWidth="1"/>
    <col min="5893" max="6134" width="8.85546875" style="28"/>
    <col min="6135" max="6135" width="7.7109375" style="28" bestFit="1" customWidth="1"/>
    <col min="6136" max="6136" width="88.28515625" style="28" customWidth="1"/>
    <col min="6137" max="6137" width="13" style="28" customWidth="1"/>
    <col min="6138" max="6138" width="18" style="28" customWidth="1"/>
    <col min="6139" max="6139" width="17" style="28" customWidth="1"/>
    <col min="6140" max="6140" width="17.85546875" style="28" customWidth="1"/>
    <col min="6141" max="6141" width="20.42578125" style="28" customWidth="1"/>
    <col min="6142" max="6142" width="14.85546875" style="28" customWidth="1"/>
    <col min="6143" max="6145" width="18.140625" style="28" customWidth="1"/>
    <col min="6146" max="6146" width="20.42578125" style="28" customWidth="1"/>
    <col min="6147" max="6147" width="14.140625" style="28" bestFit="1" customWidth="1"/>
    <col min="6148" max="6148" width="10" style="28" bestFit="1" customWidth="1"/>
    <col min="6149" max="6390" width="8.85546875" style="28"/>
    <col min="6391" max="6391" width="7.7109375" style="28" bestFit="1" customWidth="1"/>
    <col min="6392" max="6392" width="88.28515625" style="28" customWidth="1"/>
    <col min="6393" max="6393" width="13" style="28" customWidth="1"/>
    <col min="6394" max="6394" width="18" style="28" customWidth="1"/>
    <col min="6395" max="6395" width="17" style="28" customWidth="1"/>
    <col min="6396" max="6396" width="17.85546875" style="28" customWidth="1"/>
    <col min="6397" max="6397" width="20.42578125" style="28" customWidth="1"/>
    <col min="6398" max="6398" width="14.85546875" style="28" customWidth="1"/>
    <col min="6399" max="6401" width="18.140625" style="28" customWidth="1"/>
    <col min="6402" max="6402" width="20.42578125" style="28" customWidth="1"/>
    <col min="6403" max="6403" width="14.140625" style="28" bestFit="1" customWidth="1"/>
    <col min="6404" max="6404" width="10" style="28" bestFit="1" customWidth="1"/>
    <col min="6405" max="6646" width="8.85546875" style="28"/>
    <col min="6647" max="6647" width="7.7109375" style="28" bestFit="1" customWidth="1"/>
    <col min="6648" max="6648" width="88.28515625" style="28" customWidth="1"/>
    <col min="6649" max="6649" width="13" style="28" customWidth="1"/>
    <col min="6650" max="6650" width="18" style="28" customWidth="1"/>
    <col min="6651" max="6651" width="17" style="28" customWidth="1"/>
    <col min="6652" max="6652" width="17.85546875" style="28" customWidth="1"/>
    <col min="6653" max="6653" width="20.42578125" style="28" customWidth="1"/>
    <col min="6654" max="6654" width="14.85546875" style="28" customWidth="1"/>
    <col min="6655" max="6657" width="18.140625" style="28" customWidth="1"/>
    <col min="6658" max="6658" width="20.42578125" style="28" customWidth="1"/>
    <col min="6659" max="6659" width="14.140625" style="28" bestFit="1" customWidth="1"/>
    <col min="6660" max="6660" width="10" style="28" bestFit="1" customWidth="1"/>
    <col min="6661" max="6902" width="8.85546875" style="28"/>
    <col min="6903" max="6903" width="7.7109375" style="28" bestFit="1" customWidth="1"/>
    <col min="6904" max="6904" width="88.28515625" style="28" customWidth="1"/>
    <col min="6905" max="6905" width="13" style="28" customWidth="1"/>
    <col min="6906" max="6906" width="18" style="28" customWidth="1"/>
    <col min="6907" max="6907" width="17" style="28" customWidth="1"/>
    <col min="6908" max="6908" width="17.85546875" style="28" customWidth="1"/>
    <col min="6909" max="6909" width="20.42578125" style="28" customWidth="1"/>
    <col min="6910" max="6910" width="14.85546875" style="28" customWidth="1"/>
    <col min="6911" max="6913" width="18.140625" style="28" customWidth="1"/>
    <col min="6914" max="6914" width="20.42578125" style="28" customWidth="1"/>
    <col min="6915" max="6915" width="14.140625" style="28" bestFit="1" customWidth="1"/>
    <col min="6916" max="6916" width="10" style="28" bestFit="1" customWidth="1"/>
    <col min="6917" max="7158" width="8.85546875" style="28"/>
    <col min="7159" max="7159" width="7.7109375" style="28" bestFit="1" customWidth="1"/>
    <col min="7160" max="7160" width="88.28515625" style="28" customWidth="1"/>
    <col min="7161" max="7161" width="13" style="28" customWidth="1"/>
    <col min="7162" max="7162" width="18" style="28" customWidth="1"/>
    <col min="7163" max="7163" width="17" style="28" customWidth="1"/>
    <col min="7164" max="7164" width="17.85546875" style="28" customWidth="1"/>
    <col min="7165" max="7165" width="20.42578125" style="28" customWidth="1"/>
    <col min="7166" max="7166" width="14.85546875" style="28" customWidth="1"/>
    <col min="7167" max="7169" width="18.140625" style="28" customWidth="1"/>
    <col min="7170" max="7170" width="20.42578125" style="28" customWidth="1"/>
    <col min="7171" max="7171" width="14.140625" style="28" bestFit="1" customWidth="1"/>
    <col min="7172" max="7172" width="10" style="28" bestFit="1" customWidth="1"/>
    <col min="7173" max="7414" width="8.85546875" style="28"/>
    <col min="7415" max="7415" width="7.7109375" style="28" bestFit="1" customWidth="1"/>
    <col min="7416" max="7416" width="88.28515625" style="28" customWidth="1"/>
    <col min="7417" max="7417" width="13" style="28" customWidth="1"/>
    <col min="7418" max="7418" width="18" style="28" customWidth="1"/>
    <col min="7419" max="7419" width="17" style="28" customWidth="1"/>
    <col min="7420" max="7420" width="17.85546875" style="28" customWidth="1"/>
    <col min="7421" max="7421" width="20.42578125" style="28" customWidth="1"/>
    <col min="7422" max="7422" width="14.85546875" style="28" customWidth="1"/>
    <col min="7423" max="7425" width="18.140625" style="28" customWidth="1"/>
    <col min="7426" max="7426" width="20.42578125" style="28" customWidth="1"/>
    <col min="7427" max="7427" width="14.140625" style="28" bestFit="1" customWidth="1"/>
    <col min="7428" max="7428" width="10" style="28" bestFit="1" customWidth="1"/>
    <col min="7429" max="7670" width="8.85546875" style="28"/>
    <col min="7671" max="7671" width="7.7109375" style="28" bestFit="1" customWidth="1"/>
    <col min="7672" max="7672" width="88.28515625" style="28" customWidth="1"/>
    <col min="7673" max="7673" width="13" style="28" customWidth="1"/>
    <col min="7674" max="7674" width="18" style="28" customWidth="1"/>
    <col min="7675" max="7675" width="17" style="28" customWidth="1"/>
    <col min="7676" max="7676" width="17.85546875" style="28" customWidth="1"/>
    <col min="7677" max="7677" width="20.42578125" style="28" customWidth="1"/>
    <col min="7678" max="7678" width="14.85546875" style="28" customWidth="1"/>
    <col min="7679" max="7681" width="18.140625" style="28" customWidth="1"/>
    <col min="7682" max="7682" width="20.42578125" style="28" customWidth="1"/>
    <col min="7683" max="7683" width="14.140625" style="28" bestFit="1" customWidth="1"/>
    <col min="7684" max="7684" width="10" style="28" bestFit="1" customWidth="1"/>
    <col min="7685" max="7926" width="8.85546875" style="28"/>
    <col min="7927" max="7927" width="7.7109375" style="28" bestFit="1" customWidth="1"/>
    <col min="7928" max="7928" width="88.28515625" style="28" customWidth="1"/>
    <col min="7929" max="7929" width="13" style="28" customWidth="1"/>
    <col min="7930" max="7930" width="18" style="28" customWidth="1"/>
    <col min="7931" max="7931" width="17" style="28" customWidth="1"/>
    <col min="7932" max="7932" width="17.85546875" style="28" customWidth="1"/>
    <col min="7933" max="7933" width="20.42578125" style="28" customWidth="1"/>
    <col min="7934" max="7934" width="14.85546875" style="28" customWidth="1"/>
    <col min="7935" max="7937" width="18.140625" style="28" customWidth="1"/>
    <col min="7938" max="7938" width="20.42578125" style="28" customWidth="1"/>
    <col min="7939" max="7939" width="14.140625" style="28" bestFit="1" customWidth="1"/>
    <col min="7940" max="7940" width="10" style="28" bestFit="1" customWidth="1"/>
    <col min="7941" max="8182" width="8.85546875" style="28"/>
    <col min="8183" max="8183" width="7.7109375" style="28" bestFit="1" customWidth="1"/>
    <col min="8184" max="8184" width="88.28515625" style="28" customWidth="1"/>
    <col min="8185" max="8185" width="13" style="28" customWidth="1"/>
    <col min="8186" max="8186" width="18" style="28" customWidth="1"/>
    <col min="8187" max="8187" width="17" style="28" customWidth="1"/>
    <col min="8188" max="8188" width="17.85546875" style="28" customWidth="1"/>
    <col min="8189" max="8189" width="20.42578125" style="28" customWidth="1"/>
    <col min="8190" max="8190" width="14.85546875" style="28" customWidth="1"/>
    <col min="8191" max="8193" width="18.140625" style="28" customWidth="1"/>
    <col min="8194" max="8194" width="20.42578125" style="28" customWidth="1"/>
    <col min="8195" max="8195" width="14.140625" style="28" bestFit="1" customWidth="1"/>
    <col min="8196" max="8196" width="10" style="28" bestFit="1" customWidth="1"/>
    <col min="8197" max="8438" width="8.85546875" style="28"/>
    <col min="8439" max="8439" width="7.7109375" style="28" bestFit="1" customWidth="1"/>
    <col min="8440" max="8440" width="88.28515625" style="28" customWidth="1"/>
    <col min="8441" max="8441" width="13" style="28" customWidth="1"/>
    <col min="8442" max="8442" width="18" style="28" customWidth="1"/>
    <col min="8443" max="8443" width="17" style="28" customWidth="1"/>
    <col min="8444" max="8444" width="17.85546875" style="28" customWidth="1"/>
    <col min="8445" max="8445" width="20.42578125" style="28" customWidth="1"/>
    <col min="8446" max="8446" width="14.85546875" style="28" customWidth="1"/>
    <col min="8447" max="8449" width="18.140625" style="28" customWidth="1"/>
    <col min="8450" max="8450" width="20.42578125" style="28" customWidth="1"/>
    <col min="8451" max="8451" width="14.140625" style="28" bestFit="1" customWidth="1"/>
    <col min="8452" max="8452" width="10" style="28" bestFit="1" customWidth="1"/>
    <col min="8453" max="8694" width="8.85546875" style="28"/>
    <col min="8695" max="8695" width="7.7109375" style="28" bestFit="1" customWidth="1"/>
    <col min="8696" max="8696" width="88.28515625" style="28" customWidth="1"/>
    <col min="8697" max="8697" width="13" style="28" customWidth="1"/>
    <col min="8698" max="8698" width="18" style="28" customWidth="1"/>
    <col min="8699" max="8699" width="17" style="28" customWidth="1"/>
    <col min="8700" max="8700" width="17.85546875" style="28" customWidth="1"/>
    <col min="8701" max="8701" width="20.42578125" style="28" customWidth="1"/>
    <col min="8702" max="8702" width="14.85546875" style="28" customWidth="1"/>
    <col min="8703" max="8705" width="18.140625" style="28" customWidth="1"/>
    <col min="8706" max="8706" width="20.42578125" style="28" customWidth="1"/>
    <col min="8707" max="8707" width="14.140625" style="28" bestFit="1" customWidth="1"/>
    <col min="8708" max="8708" width="10" style="28" bestFit="1" customWidth="1"/>
    <col min="8709" max="8950" width="8.85546875" style="28"/>
    <col min="8951" max="8951" width="7.7109375" style="28" bestFit="1" customWidth="1"/>
    <col min="8952" max="8952" width="88.28515625" style="28" customWidth="1"/>
    <col min="8953" max="8953" width="13" style="28" customWidth="1"/>
    <col min="8954" max="8954" width="18" style="28" customWidth="1"/>
    <col min="8955" max="8955" width="17" style="28" customWidth="1"/>
    <col min="8956" max="8956" width="17.85546875" style="28" customWidth="1"/>
    <col min="8957" max="8957" width="20.42578125" style="28" customWidth="1"/>
    <col min="8958" max="8958" width="14.85546875" style="28" customWidth="1"/>
    <col min="8959" max="8961" width="18.140625" style="28" customWidth="1"/>
    <col min="8962" max="8962" width="20.42578125" style="28" customWidth="1"/>
    <col min="8963" max="8963" width="14.140625" style="28" bestFit="1" customWidth="1"/>
    <col min="8964" max="8964" width="10" style="28" bestFit="1" customWidth="1"/>
    <col min="8965" max="9206" width="8.85546875" style="28"/>
    <col min="9207" max="9207" width="7.7109375" style="28" bestFit="1" customWidth="1"/>
    <col min="9208" max="9208" width="88.28515625" style="28" customWidth="1"/>
    <col min="9209" max="9209" width="13" style="28" customWidth="1"/>
    <col min="9210" max="9210" width="18" style="28" customWidth="1"/>
    <col min="9211" max="9211" width="17" style="28" customWidth="1"/>
    <col min="9212" max="9212" width="17.85546875" style="28" customWidth="1"/>
    <col min="9213" max="9213" width="20.42578125" style="28" customWidth="1"/>
    <col min="9214" max="9214" width="14.85546875" style="28" customWidth="1"/>
    <col min="9215" max="9217" width="18.140625" style="28" customWidth="1"/>
    <col min="9218" max="9218" width="20.42578125" style="28" customWidth="1"/>
    <col min="9219" max="9219" width="14.140625" style="28" bestFit="1" customWidth="1"/>
    <col min="9220" max="9220" width="10" style="28" bestFit="1" customWidth="1"/>
    <col min="9221" max="9462" width="8.85546875" style="28"/>
    <col min="9463" max="9463" width="7.7109375" style="28" bestFit="1" customWidth="1"/>
    <col min="9464" max="9464" width="88.28515625" style="28" customWidth="1"/>
    <col min="9465" max="9465" width="13" style="28" customWidth="1"/>
    <col min="9466" max="9466" width="18" style="28" customWidth="1"/>
    <col min="9467" max="9467" width="17" style="28" customWidth="1"/>
    <col min="9468" max="9468" width="17.85546875" style="28" customWidth="1"/>
    <col min="9469" max="9469" width="20.42578125" style="28" customWidth="1"/>
    <col min="9470" max="9470" width="14.85546875" style="28" customWidth="1"/>
    <col min="9471" max="9473" width="18.140625" style="28" customWidth="1"/>
    <col min="9474" max="9474" width="20.42578125" style="28" customWidth="1"/>
    <col min="9475" max="9475" width="14.140625" style="28" bestFit="1" customWidth="1"/>
    <col min="9476" max="9476" width="10" style="28" bestFit="1" customWidth="1"/>
    <col min="9477" max="9718" width="8.85546875" style="28"/>
    <col min="9719" max="9719" width="7.7109375" style="28" bestFit="1" customWidth="1"/>
    <col min="9720" max="9720" width="88.28515625" style="28" customWidth="1"/>
    <col min="9721" max="9721" width="13" style="28" customWidth="1"/>
    <col min="9722" max="9722" width="18" style="28" customWidth="1"/>
    <col min="9723" max="9723" width="17" style="28" customWidth="1"/>
    <col min="9724" max="9724" width="17.85546875" style="28" customWidth="1"/>
    <col min="9725" max="9725" width="20.42578125" style="28" customWidth="1"/>
    <col min="9726" max="9726" width="14.85546875" style="28" customWidth="1"/>
    <col min="9727" max="9729" width="18.140625" style="28" customWidth="1"/>
    <col min="9730" max="9730" width="20.42578125" style="28" customWidth="1"/>
    <col min="9731" max="9731" width="14.140625" style="28" bestFit="1" customWidth="1"/>
    <col min="9732" max="9732" width="10" style="28" bestFit="1" customWidth="1"/>
    <col min="9733" max="9974" width="8.85546875" style="28"/>
    <col min="9975" max="9975" width="7.7109375" style="28" bestFit="1" customWidth="1"/>
    <col min="9976" max="9976" width="88.28515625" style="28" customWidth="1"/>
    <col min="9977" max="9977" width="13" style="28" customWidth="1"/>
    <col min="9978" max="9978" width="18" style="28" customWidth="1"/>
    <col min="9979" max="9979" width="17" style="28" customWidth="1"/>
    <col min="9980" max="9980" width="17.85546875" style="28" customWidth="1"/>
    <col min="9981" max="9981" width="20.42578125" style="28" customWidth="1"/>
    <col min="9982" max="9982" width="14.85546875" style="28" customWidth="1"/>
    <col min="9983" max="9985" width="18.140625" style="28" customWidth="1"/>
    <col min="9986" max="9986" width="20.42578125" style="28" customWidth="1"/>
    <col min="9987" max="9987" width="14.140625" style="28" bestFit="1" customWidth="1"/>
    <col min="9988" max="9988" width="10" style="28" bestFit="1" customWidth="1"/>
    <col min="9989" max="10230" width="8.85546875" style="28"/>
    <col min="10231" max="10231" width="7.7109375" style="28" bestFit="1" customWidth="1"/>
    <col min="10232" max="10232" width="88.28515625" style="28" customWidth="1"/>
    <col min="10233" max="10233" width="13" style="28" customWidth="1"/>
    <col min="10234" max="10234" width="18" style="28" customWidth="1"/>
    <col min="10235" max="10235" width="17" style="28" customWidth="1"/>
    <col min="10236" max="10236" width="17.85546875" style="28" customWidth="1"/>
    <col min="10237" max="10237" width="20.42578125" style="28" customWidth="1"/>
    <col min="10238" max="10238" width="14.85546875" style="28" customWidth="1"/>
    <col min="10239" max="10241" width="18.140625" style="28" customWidth="1"/>
    <col min="10242" max="10242" width="20.42578125" style="28" customWidth="1"/>
    <col min="10243" max="10243" width="14.140625" style="28" bestFit="1" customWidth="1"/>
    <col min="10244" max="10244" width="10" style="28" bestFit="1" customWidth="1"/>
    <col min="10245" max="10486" width="8.85546875" style="28"/>
    <col min="10487" max="10487" width="7.7109375" style="28" bestFit="1" customWidth="1"/>
    <col min="10488" max="10488" width="88.28515625" style="28" customWidth="1"/>
    <col min="10489" max="10489" width="13" style="28" customWidth="1"/>
    <col min="10490" max="10490" width="18" style="28" customWidth="1"/>
    <col min="10491" max="10491" width="17" style="28" customWidth="1"/>
    <col min="10492" max="10492" width="17.85546875" style="28" customWidth="1"/>
    <col min="10493" max="10493" width="20.42578125" style="28" customWidth="1"/>
    <col min="10494" max="10494" width="14.85546875" style="28" customWidth="1"/>
    <col min="10495" max="10497" width="18.140625" style="28" customWidth="1"/>
    <col min="10498" max="10498" width="20.42578125" style="28" customWidth="1"/>
    <col min="10499" max="10499" width="14.140625" style="28" bestFit="1" customWidth="1"/>
    <col min="10500" max="10500" width="10" style="28" bestFit="1" customWidth="1"/>
    <col min="10501" max="10742" width="8.85546875" style="28"/>
    <col min="10743" max="10743" width="7.7109375" style="28" bestFit="1" customWidth="1"/>
    <col min="10744" max="10744" width="88.28515625" style="28" customWidth="1"/>
    <col min="10745" max="10745" width="13" style="28" customWidth="1"/>
    <col min="10746" max="10746" width="18" style="28" customWidth="1"/>
    <col min="10747" max="10747" width="17" style="28" customWidth="1"/>
    <col min="10748" max="10748" width="17.85546875" style="28" customWidth="1"/>
    <col min="10749" max="10749" width="20.42578125" style="28" customWidth="1"/>
    <col min="10750" max="10750" width="14.85546875" style="28" customWidth="1"/>
    <col min="10751" max="10753" width="18.140625" style="28" customWidth="1"/>
    <col min="10754" max="10754" width="20.42578125" style="28" customWidth="1"/>
    <col min="10755" max="10755" width="14.140625" style="28" bestFit="1" customWidth="1"/>
    <col min="10756" max="10756" width="10" style="28" bestFit="1" customWidth="1"/>
    <col min="10757" max="10998" width="8.85546875" style="28"/>
    <col min="10999" max="10999" width="7.7109375" style="28" bestFit="1" customWidth="1"/>
    <col min="11000" max="11000" width="88.28515625" style="28" customWidth="1"/>
    <col min="11001" max="11001" width="13" style="28" customWidth="1"/>
    <col min="11002" max="11002" width="18" style="28" customWidth="1"/>
    <col min="11003" max="11003" width="17" style="28" customWidth="1"/>
    <col min="11004" max="11004" width="17.85546875" style="28" customWidth="1"/>
    <col min="11005" max="11005" width="20.42578125" style="28" customWidth="1"/>
    <col min="11006" max="11006" width="14.85546875" style="28" customWidth="1"/>
    <col min="11007" max="11009" width="18.140625" style="28" customWidth="1"/>
    <col min="11010" max="11010" width="20.42578125" style="28" customWidth="1"/>
    <col min="11011" max="11011" width="14.140625" style="28" bestFit="1" customWidth="1"/>
    <col min="11012" max="11012" width="10" style="28" bestFit="1" customWidth="1"/>
    <col min="11013" max="11254" width="8.85546875" style="28"/>
    <col min="11255" max="11255" width="7.7109375" style="28" bestFit="1" customWidth="1"/>
    <col min="11256" max="11256" width="88.28515625" style="28" customWidth="1"/>
    <col min="11257" max="11257" width="13" style="28" customWidth="1"/>
    <col min="11258" max="11258" width="18" style="28" customWidth="1"/>
    <col min="11259" max="11259" width="17" style="28" customWidth="1"/>
    <col min="11260" max="11260" width="17.85546875" style="28" customWidth="1"/>
    <col min="11261" max="11261" width="20.42578125" style="28" customWidth="1"/>
    <col min="11262" max="11262" width="14.85546875" style="28" customWidth="1"/>
    <col min="11263" max="11265" width="18.140625" style="28" customWidth="1"/>
    <col min="11266" max="11266" width="20.42578125" style="28" customWidth="1"/>
    <col min="11267" max="11267" width="14.140625" style="28" bestFit="1" customWidth="1"/>
    <col min="11268" max="11268" width="10" style="28" bestFit="1" customWidth="1"/>
    <col min="11269" max="11510" width="8.85546875" style="28"/>
    <col min="11511" max="11511" width="7.7109375" style="28" bestFit="1" customWidth="1"/>
    <col min="11512" max="11512" width="88.28515625" style="28" customWidth="1"/>
    <col min="11513" max="11513" width="13" style="28" customWidth="1"/>
    <col min="11514" max="11514" width="18" style="28" customWidth="1"/>
    <col min="11515" max="11515" width="17" style="28" customWidth="1"/>
    <col min="11516" max="11516" width="17.85546875" style="28" customWidth="1"/>
    <col min="11517" max="11517" width="20.42578125" style="28" customWidth="1"/>
    <col min="11518" max="11518" width="14.85546875" style="28" customWidth="1"/>
    <col min="11519" max="11521" width="18.140625" style="28" customWidth="1"/>
    <col min="11522" max="11522" width="20.42578125" style="28" customWidth="1"/>
    <col min="11523" max="11523" width="14.140625" style="28" bestFit="1" customWidth="1"/>
    <col min="11524" max="11524" width="10" style="28" bestFit="1" customWidth="1"/>
    <col min="11525" max="11766" width="8.85546875" style="28"/>
    <col min="11767" max="11767" width="7.7109375" style="28" bestFit="1" customWidth="1"/>
    <col min="11768" max="11768" width="88.28515625" style="28" customWidth="1"/>
    <col min="11769" max="11769" width="13" style="28" customWidth="1"/>
    <col min="11770" max="11770" width="18" style="28" customWidth="1"/>
    <col min="11771" max="11771" width="17" style="28" customWidth="1"/>
    <col min="11772" max="11772" width="17.85546875" style="28" customWidth="1"/>
    <col min="11773" max="11773" width="20.42578125" style="28" customWidth="1"/>
    <col min="11774" max="11774" width="14.85546875" style="28" customWidth="1"/>
    <col min="11775" max="11777" width="18.140625" style="28" customWidth="1"/>
    <col min="11778" max="11778" width="20.42578125" style="28" customWidth="1"/>
    <col min="11779" max="11779" width="14.140625" style="28" bestFit="1" customWidth="1"/>
    <col min="11780" max="11780" width="10" style="28" bestFit="1" customWidth="1"/>
    <col min="11781" max="12022" width="8.85546875" style="28"/>
    <col min="12023" max="12023" width="7.7109375" style="28" bestFit="1" customWidth="1"/>
    <col min="12024" max="12024" width="88.28515625" style="28" customWidth="1"/>
    <col min="12025" max="12025" width="13" style="28" customWidth="1"/>
    <col min="12026" max="12026" width="18" style="28" customWidth="1"/>
    <col min="12027" max="12027" width="17" style="28" customWidth="1"/>
    <col min="12028" max="12028" width="17.85546875" style="28" customWidth="1"/>
    <col min="12029" max="12029" width="20.42578125" style="28" customWidth="1"/>
    <col min="12030" max="12030" width="14.85546875" style="28" customWidth="1"/>
    <col min="12031" max="12033" width="18.140625" style="28" customWidth="1"/>
    <col min="12034" max="12034" width="20.42578125" style="28" customWidth="1"/>
    <col min="12035" max="12035" width="14.140625" style="28" bestFit="1" customWidth="1"/>
    <col min="12036" max="12036" width="10" style="28" bestFit="1" customWidth="1"/>
    <col min="12037" max="12278" width="8.85546875" style="28"/>
    <col min="12279" max="12279" width="7.7109375" style="28" bestFit="1" customWidth="1"/>
    <col min="12280" max="12280" width="88.28515625" style="28" customWidth="1"/>
    <col min="12281" max="12281" width="13" style="28" customWidth="1"/>
    <col min="12282" max="12282" width="18" style="28" customWidth="1"/>
    <col min="12283" max="12283" width="17" style="28" customWidth="1"/>
    <col min="12284" max="12284" width="17.85546875" style="28" customWidth="1"/>
    <col min="12285" max="12285" width="20.42578125" style="28" customWidth="1"/>
    <col min="12286" max="12286" width="14.85546875" style="28" customWidth="1"/>
    <col min="12287" max="12289" width="18.140625" style="28" customWidth="1"/>
    <col min="12290" max="12290" width="20.42578125" style="28" customWidth="1"/>
    <col min="12291" max="12291" width="14.140625" style="28" bestFit="1" customWidth="1"/>
    <col min="12292" max="12292" width="10" style="28" bestFit="1" customWidth="1"/>
    <col min="12293" max="12534" width="8.85546875" style="28"/>
    <col min="12535" max="12535" width="7.7109375" style="28" bestFit="1" customWidth="1"/>
    <col min="12536" max="12536" width="88.28515625" style="28" customWidth="1"/>
    <col min="12537" max="12537" width="13" style="28" customWidth="1"/>
    <col min="12538" max="12538" width="18" style="28" customWidth="1"/>
    <col min="12539" max="12539" width="17" style="28" customWidth="1"/>
    <col min="12540" max="12540" width="17.85546875" style="28" customWidth="1"/>
    <col min="12541" max="12541" width="20.42578125" style="28" customWidth="1"/>
    <col min="12542" max="12542" width="14.85546875" style="28" customWidth="1"/>
    <col min="12543" max="12545" width="18.140625" style="28" customWidth="1"/>
    <col min="12546" max="12546" width="20.42578125" style="28" customWidth="1"/>
    <col min="12547" max="12547" width="14.140625" style="28" bestFit="1" customWidth="1"/>
    <col min="12548" max="12548" width="10" style="28" bestFit="1" customWidth="1"/>
    <col min="12549" max="12790" width="8.85546875" style="28"/>
    <col min="12791" max="12791" width="7.7109375" style="28" bestFit="1" customWidth="1"/>
    <col min="12792" max="12792" width="88.28515625" style="28" customWidth="1"/>
    <col min="12793" max="12793" width="13" style="28" customWidth="1"/>
    <col min="12794" max="12794" width="18" style="28" customWidth="1"/>
    <col min="12795" max="12795" width="17" style="28" customWidth="1"/>
    <col min="12796" max="12796" width="17.85546875" style="28" customWidth="1"/>
    <col min="12797" max="12797" width="20.42578125" style="28" customWidth="1"/>
    <col min="12798" max="12798" width="14.85546875" style="28" customWidth="1"/>
    <col min="12799" max="12801" width="18.140625" style="28" customWidth="1"/>
    <col min="12802" max="12802" width="20.42578125" style="28" customWidth="1"/>
    <col min="12803" max="12803" width="14.140625" style="28" bestFit="1" customWidth="1"/>
    <col min="12804" max="12804" width="10" style="28" bestFit="1" customWidth="1"/>
    <col min="12805" max="13046" width="8.85546875" style="28"/>
    <col min="13047" max="13047" width="7.7109375" style="28" bestFit="1" customWidth="1"/>
    <col min="13048" max="13048" width="88.28515625" style="28" customWidth="1"/>
    <col min="13049" max="13049" width="13" style="28" customWidth="1"/>
    <col min="13050" max="13050" width="18" style="28" customWidth="1"/>
    <col min="13051" max="13051" width="17" style="28" customWidth="1"/>
    <col min="13052" max="13052" width="17.85546875" style="28" customWidth="1"/>
    <col min="13053" max="13053" width="20.42578125" style="28" customWidth="1"/>
    <col min="13054" max="13054" width="14.85546875" style="28" customWidth="1"/>
    <col min="13055" max="13057" width="18.140625" style="28" customWidth="1"/>
    <col min="13058" max="13058" width="20.42578125" style="28" customWidth="1"/>
    <col min="13059" max="13059" width="14.140625" style="28" bestFit="1" customWidth="1"/>
    <col min="13060" max="13060" width="10" style="28" bestFit="1" customWidth="1"/>
    <col min="13061" max="13302" width="8.85546875" style="28"/>
    <col min="13303" max="13303" width="7.7109375" style="28" bestFit="1" customWidth="1"/>
    <col min="13304" max="13304" width="88.28515625" style="28" customWidth="1"/>
    <col min="13305" max="13305" width="13" style="28" customWidth="1"/>
    <col min="13306" max="13306" width="18" style="28" customWidth="1"/>
    <col min="13307" max="13307" width="17" style="28" customWidth="1"/>
    <col min="13308" max="13308" width="17.85546875" style="28" customWidth="1"/>
    <col min="13309" max="13309" width="20.42578125" style="28" customWidth="1"/>
    <col min="13310" max="13310" width="14.85546875" style="28" customWidth="1"/>
    <col min="13311" max="13313" width="18.140625" style="28" customWidth="1"/>
    <col min="13314" max="13314" width="20.42578125" style="28" customWidth="1"/>
    <col min="13315" max="13315" width="14.140625" style="28" bestFit="1" customWidth="1"/>
    <col min="13316" max="13316" width="10" style="28" bestFit="1" customWidth="1"/>
    <col min="13317" max="13558" width="8.85546875" style="28"/>
    <col min="13559" max="13559" width="7.7109375" style="28" bestFit="1" customWidth="1"/>
    <col min="13560" max="13560" width="88.28515625" style="28" customWidth="1"/>
    <col min="13561" max="13561" width="13" style="28" customWidth="1"/>
    <col min="13562" max="13562" width="18" style="28" customWidth="1"/>
    <col min="13563" max="13563" width="17" style="28" customWidth="1"/>
    <col min="13564" max="13564" width="17.85546875" style="28" customWidth="1"/>
    <col min="13565" max="13565" width="20.42578125" style="28" customWidth="1"/>
    <col min="13566" max="13566" width="14.85546875" style="28" customWidth="1"/>
    <col min="13567" max="13569" width="18.140625" style="28" customWidth="1"/>
    <col min="13570" max="13570" width="20.42578125" style="28" customWidth="1"/>
    <col min="13571" max="13571" width="14.140625" style="28" bestFit="1" customWidth="1"/>
    <col min="13572" max="13572" width="10" style="28" bestFit="1" customWidth="1"/>
    <col min="13573" max="13814" width="8.85546875" style="28"/>
    <col min="13815" max="13815" width="7.7109375" style="28" bestFit="1" customWidth="1"/>
    <col min="13816" max="13816" width="88.28515625" style="28" customWidth="1"/>
    <col min="13817" max="13817" width="13" style="28" customWidth="1"/>
    <col min="13818" max="13818" width="18" style="28" customWidth="1"/>
    <col min="13819" max="13819" width="17" style="28" customWidth="1"/>
    <col min="13820" max="13820" width="17.85546875" style="28" customWidth="1"/>
    <col min="13821" max="13821" width="20.42578125" style="28" customWidth="1"/>
    <col min="13822" max="13822" width="14.85546875" style="28" customWidth="1"/>
    <col min="13823" max="13825" width="18.140625" style="28" customWidth="1"/>
    <col min="13826" max="13826" width="20.42578125" style="28" customWidth="1"/>
    <col min="13827" max="13827" width="14.140625" style="28" bestFit="1" customWidth="1"/>
    <col min="13828" max="13828" width="10" style="28" bestFit="1" customWidth="1"/>
    <col min="13829" max="14070" width="8.85546875" style="28"/>
    <col min="14071" max="14071" width="7.7109375" style="28" bestFit="1" customWidth="1"/>
    <col min="14072" max="14072" width="88.28515625" style="28" customWidth="1"/>
    <col min="14073" max="14073" width="13" style="28" customWidth="1"/>
    <col min="14074" max="14074" width="18" style="28" customWidth="1"/>
    <col min="14075" max="14075" width="17" style="28" customWidth="1"/>
    <col min="14076" max="14076" width="17.85546875" style="28" customWidth="1"/>
    <col min="14077" max="14077" width="20.42578125" style="28" customWidth="1"/>
    <col min="14078" max="14078" width="14.85546875" style="28" customWidth="1"/>
    <col min="14079" max="14081" width="18.140625" style="28" customWidth="1"/>
    <col min="14082" max="14082" width="20.42578125" style="28" customWidth="1"/>
    <col min="14083" max="14083" width="14.140625" style="28" bestFit="1" customWidth="1"/>
    <col min="14084" max="14084" width="10" style="28" bestFit="1" customWidth="1"/>
    <col min="14085" max="14326" width="8.85546875" style="28"/>
    <col min="14327" max="14327" width="7.7109375" style="28" bestFit="1" customWidth="1"/>
    <col min="14328" max="14328" width="88.28515625" style="28" customWidth="1"/>
    <col min="14329" max="14329" width="13" style="28" customWidth="1"/>
    <col min="14330" max="14330" width="18" style="28" customWidth="1"/>
    <col min="14331" max="14331" width="17" style="28" customWidth="1"/>
    <col min="14332" max="14332" width="17.85546875" style="28" customWidth="1"/>
    <col min="14333" max="14333" width="20.42578125" style="28" customWidth="1"/>
    <col min="14334" max="14334" width="14.85546875" style="28" customWidth="1"/>
    <col min="14335" max="14337" width="18.140625" style="28" customWidth="1"/>
    <col min="14338" max="14338" width="20.42578125" style="28" customWidth="1"/>
    <col min="14339" max="14339" width="14.140625" style="28" bestFit="1" customWidth="1"/>
    <col min="14340" max="14340" width="10" style="28" bestFit="1" customWidth="1"/>
    <col min="14341" max="14582" width="8.85546875" style="28"/>
    <col min="14583" max="14583" width="7.7109375" style="28" bestFit="1" customWidth="1"/>
    <col min="14584" max="14584" width="88.28515625" style="28" customWidth="1"/>
    <col min="14585" max="14585" width="13" style="28" customWidth="1"/>
    <col min="14586" max="14586" width="18" style="28" customWidth="1"/>
    <col min="14587" max="14587" width="17" style="28" customWidth="1"/>
    <col min="14588" max="14588" width="17.85546875" style="28" customWidth="1"/>
    <col min="14589" max="14589" width="20.42578125" style="28" customWidth="1"/>
    <col min="14590" max="14590" width="14.85546875" style="28" customWidth="1"/>
    <col min="14591" max="14593" width="18.140625" style="28" customWidth="1"/>
    <col min="14594" max="14594" width="20.42578125" style="28" customWidth="1"/>
    <col min="14595" max="14595" width="14.140625" style="28" bestFit="1" customWidth="1"/>
    <col min="14596" max="14596" width="10" style="28" bestFit="1" customWidth="1"/>
    <col min="14597" max="14838" width="8.85546875" style="28"/>
    <col min="14839" max="14839" width="7.7109375" style="28" bestFit="1" customWidth="1"/>
    <col min="14840" max="14840" width="88.28515625" style="28" customWidth="1"/>
    <col min="14841" max="14841" width="13" style="28" customWidth="1"/>
    <col min="14842" max="14842" width="18" style="28" customWidth="1"/>
    <col min="14843" max="14843" width="17" style="28" customWidth="1"/>
    <col min="14844" max="14844" width="17.85546875" style="28" customWidth="1"/>
    <col min="14845" max="14845" width="20.42578125" style="28" customWidth="1"/>
    <col min="14846" max="14846" width="14.85546875" style="28" customWidth="1"/>
    <col min="14847" max="14849" width="18.140625" style="28" customWidth="1"/>
    <col min="14850" max="14850" width="20.42578125" style="28" customWidth="1"/>
    <col min="14851" max="14851" width="14.140625" style="28" bestFit="1" customWidth="1"/>
    <col min="14852" max="14852" width="10" style="28" bestFit="1" customWidth="1"/>
    <col min="14853" max="15094" width="8.85546875" style="28"/>
    <col min="15095" max="15095" width="7.7109375" style="28" bestFit="1" customWidth="1"/>
    <col min="15096" max="15096" width="88.28515625" style="28" customWidth="1"/>
    <col min="15097" max="15097" width="13" style="28" customWidth="1"/>
    <col min="15098" max="15098" width="18" style="28" customWidth="1"/>
    <col min="15099" max="15099" width="17" style="28" customWidth="1"/>
    <col min="15100" max="15100" width="17.85546875" style="28" customWidth="1"/>
    <col min="15101" max="15101" width="20.42578125" style="28" customWidth="1"/>
    <col min="15102" max="15102" width="14.85546875" style="28" customWidth="1"/>
    <col min="15103" max="15105" width="18.140625" style="28" customWidth="1"/>
    <col min="15106" max="15106" width="20.42578125" style="28" customWidth="1"/>
    <col min="15107" max="15107" width="14.140625" style="28" bestFit="1" customWidth="1"/>
    <col min="15108" max="15108" width="10" style="28" bestFit="1" customWidth="1"/>
    <col min="15109" max="15350" width="8.85546875" style="28"/>
    <col min="15351" max="15351" width="7.7109375" style="28" bestFit="1" customWidth="1"/>
    <col min="15352" max="15352" width="88.28515625" style="28" customWidth="1"/>
    <col min="15353" max="15353" width="13" style="28" customWidth="1"/>
    <col min="15354" max="15354" width="18" style="28" customWidth="1"/>
    <col min="15355" max="15355" width="17" style="28" customWidth="1"/>
    <col min="15356" max="15356" width="17.85546875" style="28" customWidth="1"/>
    <col min="15357" max="15357" width="20.42578125" style="28" customWidth="1"/>
    <col min="15358" max="15358" width="14.85546875" style="28" customWidth="1"/>
    <col min="15359" max="15361" width="18.140625" style="28" customWidth="1"/>
    <col min="15362" max="15362" width="20.42578125" style="28" customWidth="1"/>
    <col min="15363" max="15363" width="14.140625" style="28" bestFit="1" customWidth="1"/>
    <col min="15364" max="15364" width="10" style="28" bestFit="1" customWidth="1"/>
    <col min="15365" max="15606" width="8.85546875" style="28"/>
    <col min="15607" max="15607" width="7.7109375" style="28" bestFit="1" customWidth="1"/>
    <col min="15608" max="15608" width="88.28515625" style="28" customWidth="1"/>
    <col min="15609" max="15609" width="13" style="28" customWidth="1"/>
    <col min="15610" max="15610" width="18" style="28" customWidth="1"/>
    <col min="15611" max="15611" width="17" style="28" customWidth="1"/>
    <col min="15612" max="15612" width="17.85546875" style="28" customWidth="1"/>
    <col min="15613" max="15613" width="20.42578125" style="28" customWidth="1"/>
    <col min="15614" max="15614" width="14.85546875" style="28" customWidth="1"/>
    <col min="15615" max="15617" width="18.140625" style="28" customWidth="1"/>
    <col min="15618" max="15618" width="20.42578125" style="28" customWidth="1"/>
    <col min="15619" max="15619" width="14.140625" style="28" bestFit="1" customWidth="1"/>
    <col min="15620" max="15620" width="10" style="28" bestFit="1" customWidth="1"/>
    <col min="15621" max="15862" width="8.85546875" style="28"/>
    <col min="15863" max="15863" width="7.7109375" style="28" bestFit="1" customWidth="1"/>
    <col min="15864" max="15864" width="88.28515625" style="28" customWidth="1"/>
    <col min="15865" max="15865" width="13" style="28" customWidth="1"/>
    <col min="15866" max="15866" width="18" style="28" customWidth="1"/>
    <col min="15867" max="15867" width="17" style="28" customWidth="1"/>
    <col min="15868" max="15868" width="17.85546875" style="28" customWidth="1"/>
    <col min="15869" max="15869" width="20.42578125" style="28" customWidth="1"/>
    <col min="15870" max="15870" width="14.85546875" style="28" customWidth="1"/>
    <col min="15871" max="15873" width="18.140625" style="28" customWidth="1"/>
    <col min="15874" max="15874" width="20.42578125" style="28" customWidth="1"/>
    <col min="15875" max="15875" width="14.140625" style="28" bestFit="1" customWidth="1"/>
    <col min="15876" max="15876" width="10" style="28" bestFit="1" customWidth="1"/>
    <col min="15877" max="16118" width="8.85546875" style="28"/>
    <col min="16119" max="16119" width="7.7109375" style="28" bestFit="1" customWidth="1"/>
    <col min="16120" max="16120" width="88.28515625" style="28" customWidth="1"/>
    <col min="16121" max="16121" width="13" style="28" customWidth="1"/>
    <col min="16122" max="16122" width="18" style="28" customWidth="1"/>
    <col min="16123" max="16123" width="17" style="28" customWidth="1"/>
    <col min="16124" max="16124" width="17.85546875" style="28" customWidth="1"/>
    <col min="16125" max="16125" width="20.42578125" style="28" customWidth="1"/>
    <col min="16126" max="16126" width="14.85546875" style="28" customWidth="1"/>
    <col min="16127" max="16129" width="18.140625" style="28" customWidth="1"/>
    <col min="16130" max="16130" width="20.42578125" style="28" customWidth="1"/>
    <col min="16131" max="16131" width="14.140625" style="28" bestFit="1" customWidth="1"/>
    <col min="16132" max="16132" width="10" style="28" bestFit="1" customWidth="1"/>
    <col min="16133" max="16384" width="8.85546875" style="28"/>
  </cols>
  <sheetData>
    <row r="1" spans="1:9" s="21" customFormat="1" x14ac:dyDescent="0.25">
      <c r="A1" s="18" t="s">
        <v>10</v>
      </c>
      <c r="B1" s="19"/>
      <c r="C1" s="19"/>
      <c r="D1" s="103"/>
      <c r="E1" s="19"/>
      <c r="F1" s="19"/>
      <c r="G1" s="19"/>
      <c r="H1" s="19"/>
      <c r="I1" s="20"/>
    </row>
    <row r="2" spans="1:9" s="21" customFormat="1" x14ac:dyDescent="0.25">
      <c r="A2" s="18" t="str">
        <f>'[1]Items 1,2,3-Construction Works'!A2</f>
        <v>TENDER NO. :   D-111808</v>
      </c>
      <c r="B2" s="19"/>
      <c r="C2" s="19"/>
      <c r="D2" s="103"/>
      <c r="E2" s="19"/>
      <c r="F2" s="19"/>
      <c r="G2" s="19"/>
      <c r="H2" s="19"/>
      <c r="I2" s="20"/>
    </row>
    <row r="3" spans="1:9" s="21" customFormat="1" x14ac:dyDescent="0.25">
      <c r="A3" s="18" t="str">
        <f>'[1]Items 1,2,3-Construction Works'!A3</f>
        <v>CONSTRUCTION WORKS FOR REPLACEMENT OF SHBPRY, SMHPRY AND DRPRY SUBSTATION IN EASTERN REGION</v>
      </c>
      <c r="C3" s="20"/>
      <c r="D3" s="104"/>
      <c r="E3" s="18"/>
      <c r="F3" s="18"/>
      <c r="G3" s="18"/>
      <c r="H3" s="18"/>
      <c r="I3" s="18"/>
    </row>
    <row r="4" spans="1:9" s="21" customFormat="1" x14ac:dyDescent="0.25">
      <c r="A4" s="105" t="str">
        <f>'[1]Items 1,2,3-Construction Works'!A4</f>
        <v>LOT 1: SHOBAISI PRY (SHBPRY)</v>
      </c>
      <c r="C4" s="19"/>
      <c r="D4" s="103"/>
      <c r="E4" s="219"/>
      <c r="F4" s="219"/>
      <c r="G4" s="219"/>
      <c r="H4" s="219"/>
      <c r="I4" s="219"/>
    </row>
    <row r="5" spans="1:9" s="21" customFormat="1" ht="33" customHeight="1" x14ac:dyDescent="0.25">
      <c r="A5" s="220" t="s">
        <v>14</v>
      </c>
      <c r="B5" s="218" t="s">
        <v>15</v>
      </c>
      <c r="C5" s="218" t="s">
        <v>16</v>
      </c>
      <c r="D5" s="226" t="s">
        <v>17</v>
      </c>
      <c r="E5" s="218" t="s">
        <v>5</v>
      </c>
      <c r="F5" s="218"/>
      <c r="G5" s="218" t="s">
        <v>6</v>
      </c>
      <c r="H5" s="218"/>
      <c r="I5" s="22" t="s">
        <v>3</v>
      </c>
    </row>
    <row r="6" spans="1:9" s="21" customFormat="1" x14ac:dyDescent="0.25">
      <c r="A6" s="221"/>
      <c r="B6" s="218"/>
      <c r="C6" s="218"/>
      <c r="D6" s="226"/>
      <c r="E6" s="218" t="s">
        <v>18</v>
      </c>
      <c r="F6" s="218" t="s">
        <v>19</v>
      </c>
      <c r="G6" s="218" t="s">
        <v>20</v>
      </c>
      <c r="H6" s="218" t="s">
        <v>21</v>
      </c>
      <c r="I6" s="22"/>
    </row>
    <row r="7" spans="1:9" s="21" customFormat="1" x14ac:dyDescent="0.25">
      <c r="A7" s="222"/>
      <c r="B7" s="218"/>
      <c r="C7" s="218"/>
      <c r="D7" s="226"/>
      <c r="E7" s="218"/>
      <c r="F7" s="218"/>
      <c r="G7" s="218"/>
      <c r="H7" s="218"/>
      <c r="I7" s="22" t="s">
        <v>22</v>
      </c>
    </row>
    <row r="8" spans="1:9" s="21" customFormat="1" ht="131.25" x14ac:dyDescent="0.25">
      <c r="A8" s="23"/>
      <c r="B8" s="24" t="s">
        <v>23</v>
      </c>
      <c r="C8" s="25"/>
      <c r="D8" s="106"/>
      <c r="E8" s="27"/>
      <c r="F8" s="27"/>
      <c r="G8" s="27"/>
      <c r="H8" s="27"/>
      <c r="I8" s="25"/>
    </row>
    <row r="9" spans="1:9" ht="76.5" x14ac:dyDescent="0.25">
      <c r="A9" s="33">
        <v>5</v>
      </c>
      <c r="B9" s="34" t="s">
        <v>464</v>
      </c>
      <c r="C9" s="33"/>
      <c r="D9" s="127"/>
      <c r="E9" s="128"/>
      <c r="F9" s="34"/>
      <c r="G9" s="128"/>
      <c r="H9" s="34"/>
      <c r="I9" s="33"/>
    </row>
    <row r="10" spans="1:9" ht="56.25" x14ac:dyDescent="0.25">
      <c r="A10" s="61">
        <v>5.0999999999999996</v>
      </c>
      <c r="B10" s="121" t="s">
        <v>465</v>
      </c>
      <c r="C10" s="119" t="s">
        <v>52</v>
      </c>
      <c r="D10" s="115">
        <v>1</v>
      </c>
      <c r="E10" s="47"/>
      <c r="F10" s="48">
        <f>D10*E10</f>
        <v>0</v>
      </c>
      <c r="G10" s="47">
        <v>193226.5</v>
      </c>
      <c r="H10" s="48">
        <f t="shared" ref="H10" si="0">D10*G10</f>
        <v>193226.5</v>
      </c>
      <c r="I10" s="49">
        <f t="shared" ref="I10" si="1">F10+H10</f>
        <v>193226.5</v>
      </c>
    </row>
    <row r="11" spans="1:9" ht="51" x14ac:dyDescent="0.25">
      <c r="A11" s="33">
        <v>6</v>
      </c>
      <c r="B11" s="34" t="s">
        <v>466</v>
      </c>
      <c r="C11" s="33"/>
      <c r="D11" s="127"/>
      <c r="E11" s="128"/>
      <c r="F11" s="34"/>
      <c r="G11" s="128"/>
      <c r="H11" s="34"/>
      <c r="I11" s="33"/>
    </row>
    <row r="12" spans="1:9" ht="75" x14ac:dyDescent="0.25">
      <c r="A12" s="61">
        <v>6.1</v>
      </c>
      <c r="B12" s="121" t="s">
        <v>467</v>
      </c>
      <c r="C12" s="119" t="s">
        <v>52</v>
      </c>
      <c r="D12" s="115">
        <v>1</v>
      </c>
      <c r="E12" s="47"/>
      <c r="F12" s="48">
        <f t="shared" ref="F12" si="2">D12*E12</f>
        <v>0</v>
      </c>
      <c r="G12" s="47">
        <v>27020.51</v>
      </c>
      <c r="H12" s="48">
        <f t="shared" ref="H12" si="3">D12*G12</f>
        <v>27020.51</v>
      </c>
      <c r="I12" s="49">
        <f t="shared" ref="I12" si="4">F12+H12</f>
        <v>27020.51</v>
      </c>
    </row>
    <row r="13" spans="1:9" ht="25.5" x14ac:dyDescent="0.25">
      <c r="A13" s="33">
        <v>7</v>
      </c>
      <c r="B13" s="34" t="s">
        <v>468</v>
      </c>
      <c r="C13" s="33"/>
      <c r="D13" s="127"/>
      <c r="E13" s="128"/>
      <c r="F13" s="34"/>
      <c r="G13" s="128"/>
      <c r="H13" s="34"/>
      <c r="I13" s="33"/>
    </row>
    <row r="14" spans="1:9" ht="75" x14ac:dyDescent="0.25">
      <c r="A14" s="61"/>
      <c r="B14" s="121" t="s">
        <v>469</v>
      </c>
      <c r="C14" s="119"/>
      <c r="D14" s="115"/>
      <c r="E14" s="47"/>
      <c r="F14" s="48"/>
      <c r="G14" s="47"/>
      <c r="H14" s="48"/>
      <c r="I14" s="49"/>
    </row>
    <row r="15" spans="1:9" ht="93.75" x14ac:dyDescent="0.25">
      <c r="A15" s="61">
        <v>7.1</v>
      </c>
      <c r="B15" s="121" t="s">
        <v>470</v>
      </c>
      <c r="C15" s="119" t="s">
        <v>52</v>
      </c>
      <c r="D15" s="115">
        <v>1</v>
      </c>
      <c r="E15" s="47"/>
      <c r="F15" s="48">
        <f t="shared" ref="F15:F16" si="5">D15*E15</f>
        <v>0</v>
      </c>
      <c r="G15" s="47">
        <v>760354.9</v>
      </c>
      <c r="H15" s="48">
        <f t="shared" ref="H15:H16" si="6">D15*G15</f>
        <v>760354.9</v>
      </c>
      <c r="I15" s="49">
        <f t="shared" ref="I15:I16" si="7">F15+H15</f>
        <v>760354.9</v>
      </c>
    </row>
    <row r="16" spans="1:9" ht="56.25" x14ac:dyDescent="0.25">
      <c r="A16" s="61">
        <v>7.2</v>
      </c>
      <c r="B16" s="121" t="s">
        <v>471</v>
      </c>
      <c r="C16" s="119" t="s">
        <v>472</v>
      </c>
      <c r="D16" s="115">
        <v>1000</v>
      </c>
      <c r="E16" s="47"/>
      <c r="F16" s="48">
        <f t="shared" si="5"/>
        <v>0</v>
      </c>
      <c r="G16" s="47">
        <v>154.69999999999999</v>
      </c>
      <c r="H16" s="48">
        <f t="shared" si="6"/>
        <v>154700</v>
      </c>
      <c r="I16" s="49">
        <f t="shared" si="7"/>
        <v>154700</v>
      </c>
    </row>
    <row r="17" spans="1:9" ht="20.25" x14ac:dyDescent="0.25">
      <c r="A17" s="177" t="s">
        <v>473</v>
      </c>
      <c r="B17" s="178"/>
      <c r="C17" s="123"/>
      <c r="D17" s="124"/>
      <c r="E17" s="129"/>
      <c r="F17" s="67">
        <f>SUM(F15:F16)</f>
        <v>0</v>
      </c>
      <c r="G17" s="68"/>
      <c r="H17" s="67">
        <f>SUM(H15:H16)</f>
        <v>915054.9</v>
      </c>
      <c r="I17" s="67">
        <f>SUM(I15:I16)</f>
        <v>915054.9</v>
      </c>
    </row>
    <row r="18" spans="1:9" ht="76.5" x14ac:dyDescent="0.25">
      <c r="A18" s="33">
        <v>8</v>
      </c>
      <c r="B18" s="34" t="s">
        <v>474</v>
      </c>
      <c r="C18" s="33"/>
      <c r="D18" s="127"/>
      <c r="E18" s="128"/>
      <c r="F18" s="34"/>
      <c r="G18" s="128"/>
      <c r="H18" s="34"/>
      <c r="I18" s="33"/>
    </row>
    <row r="19" spans="1:9" ht="56.25" x14ac:dyDescent="0.25">
      <c r="A19" s="61">
        <v>8.1</v>
      </c>
      <c r="B19" s="121" t="s">
        <v>475</v>
      </c>
      <c r="C19" s="119" t="s">
        <v>52</v>
      </c>
      <c r="D19" s="115">
        <v>1</v>
      </c>
      <c r="E19" s="47"/>
      <c r="F19" s="48">
        <f t="shared" ref="F19" si="8">D19*E19</f>
        <v>0</v>
      </c>
      <c r="G19" s="47">
        <v>5000</v>
      </c>
      <c r="H19" s="48">
        <f t="shared" ref="H19" si="9">D19*G19</f>
        <v>5000</v>
      </c>
      <c r="I19" s="49">
        <f t="shared" ref="I19" si="10">F19+H19</f>
        <v>5000</v>
      </c>
    </row>
    <row r="20" spans="1:9" x14ac:dyDescent="0.25">
      <c r="A20" s="90"/>
      <c r="B20" s="90"/>
      <c r="C20" s="90"/>
      <c r="D20" s="125"/>
      <c r="E20" s="130"/>
      <c r="F20" s="90"/>
      <c r="G20" s="90"/>
      <c r="H20" s="90"/>
      <c r="I20" s="90"/>
    </row>
    <row r="21" spans="1:9" ht="40.5" x14ac:dyDescent="0.25">
      <c r="A21" s="94" t="s">
        <v>476</v>
      </c>
      <c r="B21" s="131" t="str">
        <f>B9</f>
        <v>Dismantling, Decommissioning &amp; Demolition Works of existing old 33/11kV primary substation (SHBPRY)</v>
      </c>
      <c r="C21" s="49"/>
      <c r="D21" s="109"/>
      <c r="E21" s="49"/>
      <c r="F21" s="49">
        <f>F10</f>
        <v>0</v>
      </c>
      <c r="G21" s="49"/>
      <c r="H21" s="49">
        <f>H10</f>
        <v>193226.5</v>
      </c>
      <c r="I21" s="49">
        <f>I10</f>
        <v>193226.5</v>
      </c>
    </row>
    <row r="22" spans="1:9" ht="40.5" x14ac:dyDescent="0.25">
      <c r="A22" s="94" t="s">
        <v>477</v>
      </c>
      <c r="B22" s="131" t="str">
        <f>B11</f>
        <v>Dismantling &amp; Decommissioning Works of old 2 nos. Package Units  (SHBPRY2 &amp; SHBPRY3)</v>
      </c>
      <c r="C22" s="49"/>
      <c r="D22" s="109"/>
      <c r="E22" s="49"/>
      <c r="F22" s="49">
        <f>F12</f>
        <v>0</v>
      </c>
      <c r="G22" s="49"/>
      <c r="H22" s="49">
        <f>H12</f>
        <v>27020.51</v>
      </c>
      <c r="I22" s="49">
        <f>I12</f>
        <v>27020.51</v>
      </c>
    </row>
    <row r="23" spans="1:9" ht="20.25" x14ac:dyDescent="0.25">
      <c r="A23" s="94" t="s">
        <v>478</v>
      </c>
      <c r="B23" s="131" t="str">
        <f>B13</f>
        <v>33kV OHL Modification works for SHBPRY</v>
      </c>
      <c r="C23" s="49"/>
      <c r="D23" s="109"/>
      <c r="E23" s="49"/>
      <c r="F23" s="49">
        <f>F17</f>
        <v>0</v>
      </c>
      <c r="G23" s="49"/>
      <c r="H23" s="49">
        <f>H17</f>
        <v>915054.9</v>
      </c>
      <c r="I23" s="49">
        <f>I17</f>
        <v>915054.9</v>
      </c>
    </row>
    <row r="24" spans="1:9" ht="60.75" x14ac:dyDescent="0.25">
      <c r="A24" s="94" t="s">
        <v>479</v>
      </c>
      <c r="B24" s="131" t="str">
        <f>B18</f>
        <v>Shifting of existing 11kV TRM (GIS name: OKH12) to a location near existing TRM (DHS08) to connect Radial Transformer (SHB02) into a ring feeder</v>
      </c>
      <c r="C24" s="49"/>
      <c r="D24" s="109"/>
      <c r="E24" s="49"/>
      <c r="F24" s="49">
        <f>F19</f>
        <v>0</v>
      </c>
      <c r="G24" s="49"/>
      <c r="H24" s="49">
        <f>H19</f>
        <v>5000</v>
      </c>
      <c r="I24" s="49">
        <f>I19</f>
        <v>5000</v>
      </c>
    </row>
    <row r="25" spans="1:9" x14ac:dyDescent="0.25">
      <c r="A25" s="98"/>
      <c r="B25" s="99"/>
      <c r="C25" s="49"/>
      <c r="D25" s="109"/>
      <c r="E25" s="49"/>
      <c r="F25" s="49"/>
      <c r="G25" s="49"/>
      <c r="H25" s="49"/>
      <c r="I25" s="49"/>
    </row>
    <row r="26" spans="1:9" ht="25.5" x14ac:dyDescent="0.25">
      <c r="A26" s="223" t="s">
        <v>480</v>
      </c>
      <c r="B26" s="223"/>
      <c r="C26" s="100"/>
      <c r="D26" s="126"/>
      <c r="E26" s="100"/>
      <c r="F26" s="101">
        <f>SUM(F21:F24)</f>
        <v>0</v>
      </c>
      <c r="G26" s="101"/>
      <c r="H26" s="101">
        <f>SUM(H21:H24)</f>
        <v>1140301.9100000001</v>
      </c>
      <c r="I26" s="101">
        <f>SUM(I21:I24)</f>
        <v>1140301.9100000001</v>
      </c>
    </row>
  </sheetData>
  <mergeCells count="13">
    <mergeCell ref="H6:H7"/>
    <mergeCell ref="A17:B17"/>
    <mergeCell ref="A26:B26"/>
    <mergeCell ref="E4:I4"/>
    <mergeCell ref="A5:A7"/>
    <mergeCell ref="B5:B7"/>
    <mergeCell ref="C5:C7"/>
    <mergeCell ref="D5:D7"/>
    <mergeCell ref="E5:F5"/>
    <mergeCell ref="G5:H5"/>
    <mergeCell ref="E6:E7"/>
    <mergeCell ref="F6:F7"/>
    <mergeCell ref="G6:G7"/>
  </mergeCells>
  <pageMargins left="0.70866141732283472" right="0.70866141732283472" top="0.74803149606299213" bottom="0.74803149606299213" header="0.31496062992125984" footer="0.31496062992125984"/>
  <pageSetup paperSize="9" scale="48"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8"/>
  <sheetViews>
    <sheetView view="pageBreakPreview" topLeftCell="A4" zoomScale="60" zoomScaleNormal="70" workbookViewId="0">
      <pane ySplit="4" topLeftCell="A8" activePane="bottomLeft" state="frozen"/>
      <selection activeCell="A4" sqref="A4"/>
      <selection pane="bottomLeft" activeCell="F158" sqref="F158"/>
    </sheetView>
  </sheetViews>
  <sheetFormatPr defaultRowHeight="18.75" x14ac:dyDescent="0.25"/>
  <cols>
    <col min="1" max="1" width="15" style="132" customWidth="1"/>
    <col min="2" max="2" width="95" style="135" customWidth="1"/>
    <col min="3" max="3" width="13" style="133" customWidth="1"/>
    <col min="4" max="4" width="21" style="134" customWidth="1"/>
    <col min="5" max="5" width="22.42578125" style="57" customWidth="1"/>
    <col min="6" max="6" width="30.140625" style="57" customWidth="1"/>
    <col min="7" max="221" width="8.85546875" style="57"/>
    <col min="222" max="222" width="7.7109375" style="57" bestFit="1" customWidth="1"/>
    <col min="223" max="223" width="88.28515625" style="57" customWidth="1"/>
    <col min="224" max="224" width="13" style="57" customWidth="1"/>
    <col min="225" max="225" width="18" style="57" customWidth="1"/>
    <col min="226" max="226" width="17" style="57" customWidth="1"/>
    <col min="227" max="227" width="17.85546875" style="57" customWidth="1"/>
    <col min="228" max="228" width="20.42578125" style="57" customWidth="1"/>
    <col min="229" max="229" width="14.85546875" style="57" customWidth="1"/>
    <col min="230" max="232" width="18.140625" style="57" customWidth="1"/>
    <col min="233" max="233" width="20.42578125" style="57" customWidth="1"/>
    <col min="234" max="234" width="14.140625" style="57" bestFit="1" customWidth="1"/>
    <col min="235" max="235" width="10" style="57" bestFit="1" customWidth="1"/>
    <col min="236" max="477" width="8.85546875" style="57"/>
    <col min="478" max="478" width="7.7109375" style="57" bestFit="1" customWidth="1"/>
    <col min="479" max="479" width="88.28515625" style="57" customWidth="1"/>
    <col min="480" max="480" width="13" style="57" customWidth="1"/>
    <col min="481" max="481" width="18" style="57" customWidth="1"/>
    <col min="482" max="482" width="17" style="57" customWidth="1"/>
    <col min="483" max="483" width="17.85546875" style="57" customWidth="1"/>
    <col min="484" max="484" width="20.42578125" style="57" customWidth="1"/>
    <col min="485" max="485" width="14.85546875" style="57" customWidth="1"/>
    <col min="486" max="488" width="18.140625" style="57" customWidth="1"/>
    <col min="489" max="489" width="20.42578125" style="57" customWidth="1"/>
    <col min="490" max="490" width="14.140625" style="57" bestFit="1" customWidth="1"/>
    <col min="491" max="491" width="10" style="57" bestFit="1" customWidth="1"/>
    <col min="492" max="733" width="8.85546875" style="57"/>
    <col min="734" max="734" width="7.7109375" style="57" bestFit="1" customWidth="1"/>
    <col min="735" max="735" width="88.28515625" style="57" customWidth="1"/>
    <col min="736" max="736" width="13" style="57" customWidth="1"/>
    <col min="737" max="737" width="18" style="57" customWidth="1"/>
    <col min="738" max="738" width="17" style="57" customWidth="1"/>
    <col min="739" max="739" width="17.85546875" style="57" customWidth="1"/>
    <col min="740" max="740" width="20.42578125" style="57" customWidth="1"/>
    <col min="741" max="741" width="14.85546875" style="57" customWidth="1"/>
    <col min="742" max="744" width="18.140625" style="57" customWidth="1"/>
    <col min="745" max="745" width="20.42578125" style="57" customWidth="1"/>
    <col min="746" max="746" width="14.140625" style="57" bestFit="1" customWidth="1"/>
    <col min="747" max="747" width="10" style="57" bestFit="1" customWidth="1"/>
    <col min="748" max="989" width="8.85546875" style="57"/>
    <col min="990" max="990" width="7.7109375" style="57" bestFit="1" customWidth="1"/>
    <col min="991" max="991" width="88.28515625" style="57" customWidth="1"/>
    <col min="992" max="992" width="13" style="57" customWidth="1"/>
    <col min="993" max="993" width="18" style="57" customWidth="1"/>
    <col min="994" max="994" width="17" style="57" customWidth="1"/>
    <col min="995" max="995" width="17.85546875" style="57" customWidth="1"/>
    <col min="996" max="996" width="20.42578125" style="57" customWidth="1"/>
    <col min="997" max="997" width="14.85546875" style="57" customWidth="1"/>
    <col min="998" max="1000" width="18.140625" style="57" customWidth="1"/>
    <col min="1001" max="1001" width="20.42578125" style="57" customWidth="1"/>
    <col min="1002" max="1002" width="14.140625" style="57" bestFit="1" customWidth="1"/>
    <col min="1003" max="1003" width="10" style="57" bestFit="1" customWidth="1"/>
    <col min="1004" max="1245" width="8.85546875" style="57"/>
    <col min="1246" max="1246" width="7.7109375" style="57" bestFit="1" customWidth="1"/>
    <col min="1247" max="1247" width="88.28515625" style="57" customWidth="1"/>
    <col min="1248" max="1248" width="13" style="57" customWidth="1"/>
    <col min="1249" max="1249" width="18" style="57" customWidth="1"/>
    <col min="1250" max="1250" width="17" style="57" customWidth="1"/>
    <col min="1251" max="1251" width="17.85546875" style="57" customWidth="1"/>
    <col min="1252" max="1252" width="20.42578125" style="57" customWidth="1"/>
    <col min="1253" max="1253" width="14.85546875" style="57" customWidth="1"/>
    <col min="1254" max="1256" width="18.140625" style="57" customWidth="1"/>
    <col min="1257" max="1257" width="20.42578125" style="57" customWidth="1"/>
    <col min="1258" max="1258" width="14.140625" style="57" bestFit="1" customWidth="1"/>
    <col min="1259" max="1259" width="10" style="57" bestFit="1" customWidth="1"/>
    <col min="1260" max="1501" width="8.85546875" style="57"/>
    <col min="1502" max="1502" width="7.7109375" style="57" bestFit="1" customWidth="1"/>
    <col min="1503" max="1503" width="88.28515625" style="57" customWidth="1"/>
    <col min="1504" max="1504" width="13" style="57" customWidth="1"/>
    <col min="1505" max="1505" width="18" style="57" customWidth="1"/>
    <col min="1506" max="1506" width="17" style="57" customWidth="1"/>
    <col min="1507" max="1507" width="17.85546875" style="57" customWidth="1"/>
    <col min="1508" max="1508" width="20.42578125" style="57" customWidth="1"/>
    <col min="1509" max="1509" width="14.85546875" style="57" customWidth="1"/>
    <col min="1510" max="1512" width="18.140625" style="57" customWidth="1"/>
    <col min="1513" max="1513" width="20.42578125" style="57" customWidth="1"/>
    <col min="1514" max="1514" width="14.140625" style="57" bestFit="1" customWidth="1"/>
    <col min="1515" max="1515" width="10" style="57" bestFit="1" customWidth="1"/>
    <col min="1516" max="1757" width="8.85546875" style="57"/>
    <col min="1758" max="1758" width="7.7109375" style="57" bestFit="1" customWidth="1"/>
    <col min="1759" max="1759" width="88.28515625" style="57" customWidth="1"/>
    <col min="1760" max="1760" width="13" style="57" customWidth="1"/>
    <col min="1761" max="1761" width="18" style="57" customWidth="1"/>
    <col min="1762" max="1762" width="17" style="57" customWidth="1"/>
    <col min="1763" max="1763" width="17.85546875" style="57" customWidth="1"/>
    <col min="1764" max="1764" width="20.42578125" style="57" customWidth="1"/>
    <col min="1765" max="1765" width="14.85546875" style="57" customWidth="1"/>
    <col min="1766" max="1768" width="18.140625" style="57" customWidth="1"/>
    <col min="1769" max="1769" width="20.42578125" style="57" customWidth="1"/>
    <col min="1770" max="1770" width="14.140625" style="57" bestFit="1" customWidth="1"/>
    <col min="1771" max="1771" width="10" style="57" bestFit="1" customWidth="1"/>
    <col min="1772" max="2013" width="8.85546875" style="57"/>
    <col min="2014" max="2014" width="7.7109375" style="57" bestFit="1" customWidth="1"/>
    <col min="2015" max="2015" width="88.28515625" style="57" customWidth="1"/>
    <col min="2016" max="2016" width="13" style="57" customWidth="1"/>
    <col min="2017" max="2017" width="18" style="57" customWidth="1"/>
    <col min="2018" max="2018" width="17" style="57" customWidth="1"/>
    <col min="2019" max="2019" width="17.85546875" style="57" customWidth="1"/>
    <col min="2020" max="2020" width="20.42578125" style="57" customWidth="1"/>
    <col min="2021" max="2021" width="14.85546875" style="57" customWidth="1"/>
    <col min="2022" max="2024" width="18.140625" style="57" customWidth="1"/>
    <col min="2025" max="2025" width="20.42578125" style="57" customWidth="1"/>
    <col min="2026" max="2026" width="14.140625" style="57" bestFit="1" customWidth="1"/>
    <col min="2027" max="2027" width="10" style="57" bestFit="1" customWidth="1"/>
    <col min="2028" max="2269" width="8.85546875" style="57"/>
    <col min="2270" max="2270" width="7.7109375" style="57" bestFit="1" customWidth="1"/>
    <col min="2271" max="2271" width="88.28515625" style="57" customWidth="1"/>
    <col min="2272" max="2272" width="13" style="57" customWidth="1"/>
    <col min="2273" max="2273" width="18" style="57" customWidth="1"/>
    <col min="2274" max="2274" width="17" style="57" customWidth="1"/>
    <col min="2275" max="2275" width="17.85546875" style="57" customWidth="1"/>
    <col min="2276" max="2276" width="20.42578125" style="57" customWidth="1"/>
    <col min="2277" max="2277" width="14.85546875" style="57" customWidth="1"/>
    <col min="2278" max="2280" width="18.140625" style="57" customWidth="1"/>
    <col min="2281" max="2281" width="20.42578125" style="57" customWidth="1"/>
    <col min="2282" max="2282" width="14.140625" style="57" bestFit="1" customWidth="1"/>
    <col min="2283" max="2283" width="10" style="57" bestFit="1" customWidth="1"/>
    <col min="2284" max="2525" width="8.85546875" style="57"/>
    <col min="2526" max="2526" width="7.7109375" style="57" bestFit="1" customWidth="1"/>
    <col min="2527" max="2527" width="88.28515625" style="57" customWidth="1"/>
    <col min="2528" max="2528" width="13" style="57" customWidth="1"/>
    <col min="2529" max="2529" width="18" style="57" customWidth="1"/>
    <col min="2530" max="2530" width="17" style="57" customWidth="1"/>
    <col min="2531" max="2531" width="17.85546875" style="57" customWidth="1"/>
    <col min="2532" max="2532" width="20.42578125" style="57" customWidth="1"/>
    <col min="2533" max="2533" width="14.85546875" style="57" customWidth="1"/>
    <col min="2534" max="2536" width="18.140625" style="57" customWidth="1"/>
    <col min="2537" max="2537" width="20.42578125" style="57" customWidth="1"/>
    <col min="2538" max="2538" width="14.140625" style="57" bestFit="1" customWidth="1"/>
    <col min="2539" max="2539" width="10" style="57" bestFit="1" customWidth="1"/>
    <col min="2540" max="2781" width="8.85546875" style="57"/>
    <col min="2782" max="2782" width="7.7109375" style="57" bestFit="1" customWidth="1"/>
    <col min="2783" max="2783" width="88.28515625" style="57" customWidth="1"/>
    <col min="2784" max="2784" width="13" style="57" customWidth="1"/>
    <col min="2785" max="2785" width="18" style="57" customWidth="1"/>
    <col min="2786" max="2786" width="17" style="57" customWidth="1"/>
    <col min="2787" max="2787" width="17.85546875" style="57" customWidth="1"/>
    <col min="2788" max="2788" width="20.42578125" style="57" customWidth="1"/>
    <col min="2789" max="2789" width="14.85546875" style="57" customWidth="1"/>
    <col min="2790" max="2792" width="18.140625" style="57" customWidth="1"/>
    <col min="2793" max="2793" width="20.42578125" style="57" customWidth="1"/>
    <col min="2794" max="2794" width="14.140625" style="57" bestFit="1" customWidth="1"/>
    <col min="2795" max="2795" width="10" style="57" bestFit="1" customWidth="1"/>
    <col min="2796" max="3037" width="8.85546875" style="57"/>
    <col min="3038" max="3038" width="7.7109375" style="57" bestFit="1" customWidth="1"/>
    <col min="3039" max="3039" width="88.28515625" style="57" customWidth="1"/>
    <col min="3040" max="3040" width="13" style="57" customWidth="1"/>
    <col min="3041" max="3041" width="18" style="57" customWidth="1"/>
    <col min="3042" max="3042" width="17" style="57" customWidth="1"/>
    <col min="3043" max="3043" width="17.85546875" style="57" customWidth="1"/>
    <col min="3044" max="3044" width="20.42578125" style="57" customWidth="1"/>
    <col min="3045" max="3045" width="14.85546875" style="57" customWidth="1"/>
    <col min="3046" max="3048" width="18.140625" style="57" customWidth="1"/>
    <col min="3049" max="3049" width="20.42578125" style="57" customWidth="1"/>
    <col min="3050" max="3050" width="14.140625" style="57" bestFit="1" customWidth="1"/>
    <col min="3051" max="3051" width="10" style="57" bestFit="1" customWidth="1"/>
    <col min="3052" max="3293" width="8.85546875" style="57"/>
    <col min="3294" max="3294" width="7.7109375" style="57" bestFit="1" customWidth="1"/>
    <col min="3295" max="3295" width="88.28515625" style="57" customWidth="1"/>
    <col min="3296" max="3296" width="13" style="57" customWidth="1"/>
    <col min="3297" max="3297" width="18" style="57" customWidth="1"/>
    <col min="3298" max="3298" width="17" style="57" customWidth="1"/>
    <col min="3299" max="3299" width="17.85546875" style="57" customWidth="1"/>
    <col min="3300" max="3300" width="20.42578125" style="57" customWidth="1"/>
    <col min="3301" max="3301" width="14.85546875" style="57" customWidth="1"/>
    <col min="3302" max="3304" width="18.140625" style="57" customWidth="1"/>
    <col min="3305" max="3305" width="20.42578125" style="57" customWidth="1"/>
    <col min="3306" max="3306" width="14.140625" style="57" bestFit="1" customWidth="1"/>
    <col min="3307" max="3307" width="10" style="57" bestFit="1" customWidth="1"/>
    <col min="3308" max="3549" width="8.85546875" style="57"/>
    <col min="3550" max="3550" width="7.7109375" style="57" bestFit="1" customWidth="1"/>
    <col min="3551" max="3551" width="88.28515625" style="57" customWidth="1"/>
    <col min="3552" max="3552" width="13" style="57" customWidth="1"/>
    <col min="3553" max="3553" width="18" style="57" customWidth="1"/>
    <col min="3554" max="3554" width="17" style="57" customWidth="1"/>
    <col min="3555" max="3555" width="17.85546875" style="57" customWidth="1"/>
    <col min="3556" max="3556" width="20.42578125" style="57" customWidth="1"/>
    <col min="3557" max="3557" width="14.85546875" style="57" customWidth="1"/>
    <col min="3558" max="3560" width="18.140625" style="57" customWidth="1"/>
    <col min="3561" max="3561" width="20.42578125" style="57" customWidth="1"/>
    <col min="3562" max="3562" width="14.140625" style="57" bestFit="1" customWidth="1"/>
    <col min="3563" max="3563" width="10" style="57" bestFit="1" customWidth="1"/>
    <col min="3564" max="3805" width="8.85546875" style="57"/>
    <col min="3806" max="3806" width="7.7109375" style="57" bestFit="1" customWidth="1"/>
    <col min="3807" max="3807" width="88.28515625" style="57" customWidth="1"/>
    <col min="3808" max="3808" width="13" style="57" customWidth="1"/>
    <col min="3809" max="3809" width="18" style="57" customWidth="1"/>
    <col min="3810" max="3810" width="17" style="57" customWidth="1"/>
    <col min="3811" max="3811" width="17.85546875" style="57" customWidth="1"/>
    <col min="3812" max="3812" width="20.42578125" style="57" customWidth="1"/>
    <col min="3813" max="3813" width="14.85546875" style="57" customWidth="1"/>
    <col min="3814" max="3816" width="18.140625" style="57" customWidth="1"/>
    <col min="3817" max="3817" width="20.42578125" style="57" customWidth="1"/>
    <col min="3818" max="3818" width="14.140625" style="57" bestFit="1" customWidth="1"/>
    <col min="3819" max="3819" width="10" style="57" bestFit="1" customWidth="1"/>
    <col min="3820" max="4061" width="8.85546875" style="57"/>
    <col min="4062" max="4062" width="7.7109375" style="57" bestFit="1" customWidth="1"/>
    <col min="4063" max="4063" width="88.28515625" style="57" customWidth="1"/>
    <col min="4064" max="4064" width="13" style="57" customWidth="1"/>
    <col min="4065" max="4065" width="18" style="57" customWidth="1"/>
    <col min="4066" max="4066" width="17" style="57" customWidth="1"/>
    <col min="4067" max="4067" width="17.85546875" style="57" customWidth="1"/>
    <col min="4068" max="4068" width="20.42578125" style="57" customWidth="1"/>
    <col min="4069" max="4069" width="14.85546875" style="57" customWidth="1"/>
    <col min="4070" max="4072" width="18.140625" style="57" customWidth="1"/>
    <col min="4073" max="4073" width="20.42578125" style="57" customWidth="1"/>
    <col min="4074" max="4074" width="14.140625" style="57" bestFit="1" customWidth="1"/>
    <col min="4075" max="4075" width="10" style="57" bestFit="1" customWidth="1"/>
    <col min="4076" max="4317" width="8.85546875" style="57"/>
    <col min="4318" max="4318" width="7.7109375" style="57" bestFit="1" customWidth="1"/>
    <col min="4319" max="4319" width="88.28515625" style="57" customWidth="1"/>
    <col min="4320" max="4320" width="13" style="57" customWidth="1"/>
    <col min="4321" max="4321" width="18" style="57" customWidth="1"/>
    <col min="4322" max="4322" width="17" style="57" customWidth="1"/>
    <col min="4323" max="4323" width="17.85546875" style="57" customWidth="1"/>
    <col min="4324" max="4324" width="20.42578125" style="57" customWidth="1"/>
    <col min="4325" max="4325" width="14.85546875" style="57" customWidth="1"/>
    <col min="4326" max="4328" width="18.140625" style="57" customWidth="1"/>
    <col min="4329" max="4329" width="20.42578125" style="57" customWidth="1"/>
    <col min="4330" max="4330" width="14.140625" style="57" bestFit="1" customWidth="1"/>
    <col min="4331" max="4331" width="10" style="57" bestFit="1" customWidth="1"/>
    <col min="4332" max="4573" width="8.85546875" style="57"/>
    <col min="4574" max="4574" width="7.7109375" style="57" bestFit="1" customWidth="1"/>
    <col min="4575" max="4575" width="88.28515625" style="57" customWidth="1"/>
    <col min="4576" max="4576" width="13" style="57" customWidth="1"/>
    <col min="4577" max="4577" width="18" style="57" customWidth="1"/>
    <col min="4578" max="4578" width="17" style="57" customWidth="1"/>
    <col min="4579" max="4579" width="17.85546875" style="57" customWidth="1"/>
    <col min="4580" max="4580" width="20.42578125" style="57" customWidth="1"/>
    <col min="4581" max="4581" width="14.85546875" style="57" customWidth="1"/>
    <col min="4582" max="4584" width="18.140625" style="57" customWidth="1"/>
    <col min="4585" max="4585" width="20.42578125" style="57" customWidth="1"/>
    <col min="4586" max="4586" width="14.140625" style="57" bestFit="1" customWidth="1"/>
    <col min="4587" max="4587" width="10" style="57" bestFit="1" customWidth="1"/>
    <col min="4588" max="4829" width="8.85546875" style="57"/>
    <col min="4830" max="4830" width="7.7109375" style="57" bestFit="1" customWidth="1"/>
    <col min="4831" max="4831" width="88.28515625" style="57" customWidth="1"/>
    <col min="4832" max="4832" width="13" style="57" customWidth="1"/>
    <col min="4833" max="4833" width="18" style="57" customWidth="1"/>
    <col min="4834" max="4834" width="17" style="57" customWidth="1"/>
    <col min="4835" max="4835" width="17.85546875" style="57" customWidth="1"/>
    <col min="4836" max="4836" width="20.42578125" style="57" customWidth="1"/>
    <col min="4837" max="4837" width="14.85546875" style="57" customWidth="1"/>
    <col min="4838" max="4840" width="18.140625" style="57" customWidth="1"/>
    <col min="4841" max="4841" width="20.42578125" style="57" customWidth="1"/>
    <col min="4842" max="4842" width="14.140625" style="57" bestFit="1" customWidth="1"/>
    <col min="4843" max="4843" width="10" style="57" bestFit="1" customWidth="1"/>
    <col min="4844" max="5085" width="8.85546875" style="57"/>
    <col min="5086" max="5086" width="7.7109375" style="57" bestFit="1" customWidth="1"/>
    <col min="5087" max="5087" width="88.28515625" style="57" customWidth="1"/>
    <col min="5088" max="5088" width="13" style="57" customWidth="1"/>
    <col min="5089" max="5089" width="18" style="57" customWidth="1"/>
    <col min="5090" max="5090" width="17" style="57" customWidth="1"/>
    <col min="5091" max="5091" width="17.85546875" style="57" customWidth="1"/>
    <col min="5092" max="5092" width="20.42578125" style="57" customWidth="1"/>
    <col min="5093" max="5093" width="14.85546875" style="57" customWidth="1"/>
    <col min="5094" max="5096" width="18.140625" style="57" customWidth="1"/>
    <col min="5097" max="5097" width="20.42578125" style="57" customWidth="1"/>
    <col min="5098" max="5098" width="14.140625" style="57" bestFit="1" customWidth="1"/>
    <col min="5099" max="5099" width="10" style="57" bestFit="1" customWidth="1"/>
    <col min="5100" max="5341" width="8.85546875" style="57"/>
    <col min="5342" max="5342" width="7.7109375" style="57" bestFit="1" customWidth="1"/>
    <col min="5343" max="5343" width="88.28515625" style="57" customWidth="1"/>
    <col min="5344" max="5344" width="13" style="57" customWidth="1"/>
    <col min="5345" max="5345" width="18" style="57" customWidth="1"/>
    <col min="5346" max="5346" width="17" style="57" customWidth="1"/>
    <col min="5347" max="5347" width="17.85546875" style="57" customWidth="1"/>
    <col min="5348" max="5348" width="20.42578125" style="57" customWidth="1"/>
    <col min="5349" max="5349" width="14.85546875" style="57" customWidth="1"/>
    <col min="5350" max="5352" width="18.140625" style="57" customWidth="1"/>
    <col min="5353" max="5353" width="20.42578125" style="57" customWidth="1"/>
    <col min="5354" max="5354" width="14.140625" style="57" bestFit="1" customWidth="1"/>
    <col min="5355" max="5355" width="10" style="57" bestFit="1" customWidth="1"/>
    <col min="5356" max="5597" width="8.85546875" style="57"/>
    <col min="5598" max="5598" width="7.7109375" style="57" bestFit="1" customWidth="1"/>
    <col min="5599" max="5599" width="88.28515625" style="57" customWidth="1"/>
    <col min="5600" max="5600" width="13" style="57" customWidth="1"/>
    <col min="5601" max="5601" width="18" style="57" customWidth="1"/>
    <col min="5602" max="5602" width="17" style="57" customWidth="1"/>
    <col min="5603" max="5603" width="17.85546875" style="57" customWidth="1"/>
    <col min="5604" max="5604" width="20.42578125" style="57" customWidth="1"/>
    <col min="5605" max="5605" width="14.85546875" style="57" customWidth="1"/>
    <col min="5606" max="5608" width="18.140625" style="57" customWidth="1"/>
    <col min="5609" max="5609" width="20.42578125" style="57" customWidth="1"/>
    <col min="5610" max="5610" width="14.140625" style="57" bestFit="1" customWidth="1"/>
    <col min="5611" max="5611" width="10" style="57" bestFit="1" customWidth="1"/>
    <col min="5612" max="5853" width="8.85546875" style="57"/>
    <col min="5854" max="5854" width="7.7109375" style="57" bestFit="1" customWidth="1"/>
    <col min="5855" max="5855" width="88.28515625" style="57" customWidth="1"/>
    <col min="5856" max="5856" width="13" style="57" customWidth="1"/>
    <col min="5857" max="5857" width="18" style="57" customWidth="1"/>
    <col min="5858" max="5858" width="17" style="57" customWidth="1"/>
    <col min="5859" max="5859" width="17.85546875" style="57" customWidth="1"/>
    <col min="5860" max="5860" width="20.42578125" style="57" customWidth="1"/>
    <col min="5861" max="5861" width="14.85546875" style="57" customWidth="1"/>
    <col min="5862" max="5864" width="18.140625" style="57" customWidth="1"/>
    <col min="5865" max="5865" width="20.42578125" style="57" customWidth="1"/>
    <col min="5866" max="5866" width="14.140625" style="57" bestFit="1" customWidth="1"/>
    <col min="5867" max="5867" width="10" style="57" bestFit="1" customWidth="1"/>
    <col min="5868" max="6109" width="8.85546875" style="57"/>
    <col min="6110" max="6110" width="7.7109375" style="57" bestFit="1" customWidth="1"/>
    <col min="6111" max="6111" width="88.28515625" style="57" customWidth="1"/>
    <col min="6112" max="6112" width="13" style="57" customWidth="1"/>
    <col min="6113" max="6113" width="18" style="57" customWidth="1"/>
    <col min="6114" max="6114" width="17" style="57" customWidth="1"/>
    <col min="6115" max="6115" width="17.85546875" style="57" customWidth="1"/>
    <col min="6116" max="6116" width="20.42578125" style="57" customWidth="1"/>
    <col min="6117" max="6117" width="14.85546875" style="57" customWidth="1"/>
    <col min="6118" max="6120" width="18.140625" style="57" customWidth="1"/>
    <col min="6121" max="6121" width="20.42578125" style="57" customWidth="1"/>
    <col min="6122" max="6122" width="14.140625" style="57" bestFit="1" customWidth="1"/>
    <col min="6123" max="6123" width="10" style="57" bestFit="1" customWidth="1"/>
    <col min="6124" max="6365" width="8.85546875" style="57"/>
    <col min="6366" max="6366" width="7.7109375" style="57" bestFit="1" customWidth="1"/>
    <col min="6367" max="6367" width="88.28515625" style="57" customWidth="1"/>
    <col min="6368" max="6368" width="13" style="57" customWidth="1"/>
    <col min="6369" max="6369" width="18" style="57" customWidth="1"/>
    <col min="6370" max="6370" width="17" style="57" customWidth="1"/>
    <col min="6371" max="6371" width="17.85546875" style="57" customWidth="1"/>
    <col min="6372" max="6372" width="20.42578125" style="57" customWidth="1"/>
    <col min="6373" max="6373" width="14.85546875" style="57" customWidth="1"/>
    <col min="6374" max="6376" width="18.140625" style="57" customWidth="1"/>
    <col min="6377" max="6377" width="20.42578125" style="57" customWidth="1"/>
    <col min="6378" max="6378" width="14.140625" style="57" bestFit="1" customWidth="1"/>
    <col min="6379" max="6379" width="10" style="57" bestFit="1" customWidth="1"/>
    <col min="6380" max="6621" width="8.85546875" style="57"/>
    <col min="6622" max="6622" width="7.7109375" style="57" bestFit="1" customWidth="1"/>
    <col min="6623" max="6623" width="88.28515625" style="57" customWidth="1"/>
    <col min="6624" max="6624" width="13" style="57" customWidth="1"/>
    <col min="6625" max="6625" width="18" style="57" customWidth="1"/>
    <col min="6626" max="6626" width="17" style="57" customWidth="1"/>
    <col min="6627" max="6627" width="17.85546875" style="57" customWidth="1"/>
    <col min="6628" max="6628" width="20.42578125" style="57" customWidth="1"/>
    <col min="6629" max="6629" width="14.85546875" style="57" customWidth="1"/>
    <col min="6630" max="6632" width="18.140625" style="57" customWidth="1"/>
    <col min="6633" max="6633" width="20.42578125" style="57" customWidth="1"/>
    <col min="6634" max="6634" width="14.140625" style="57" bestFit="1" customWidth="1"/>
    <col min="6635" max="6635" width="10" style="57" bestFit="1" customWidth="1"/>
    <col min="6636" max="6877" width="8.85546875" style="57"/>
    <col min="6878" max="6878" width="7.7109375" style="57" bestFit="1" customWidth="1"/>
    <col min="6879" max="6879" width="88.28515625" style="57" customWidth="1"/>
    <col min="6880" max="6880" width="13" style="57" customWidth="1"/>
    <col min="6881" max="6881" width="18" style="57" customWidth="1"/>
    <col min="6882" max="6882" width="17" style="57" customWidth="1"/>
    <col min="6883" max="6883" width="17.85546875" style="57" customWidth="1"/>
    <col min="6884" max="6884" width="20.42578125" style="57" customWidth="1"/>
    <col min="6885" max="6885" width="14.85546875" style="57" customWidth="1"/>
    <col min="6886" max="6888" width="18.140625" style="57" customWidth="1"/>
    <col min="6889" max="6889" width="20.42578125" style="57" customWidth="1"/>
    <col min="6890" max="6890" width="14.140625" style="57" bestFit="1" customWidth="1"/>
    <col min="6891" max="6891" width="10" style="57" bestFit="1" customWidth="1"/>
    <col min="6892" max="7133" width="8.85546875" style="57"/>
    <col min="7134" max="7134" width="7.7109375" style="57" bestFit="1" customWidth="1"/>
    <col min="7135" max="7135" width="88.28515625" style="57" customWidth="1"/>
    <col min="7136" max="7136" width="13" style="57" customWidth="1"/>
    <col min="7137" max="7137" width="18" style="57" customWidth="1"/>
    <col min="7138" max="7138" width="17" style="57" customWidth="1"/>
    <col min="7139" max="7139" width="17.85546875" style="57" customWidth="1"/>
    <col min="7140" max="7140" width="20.42578125" style="57" customWidth="1"/>
    <col min="7141" max="7141" width="14.85546875" style="57" customWidth="1"/>
    <col min="7142" max="7144" width="18.140625" style="57" customWidth="1"/>
    <col min="7145" max="7145" width="20.42578125" style="57" customWidth="1"/>
    <col min="7146" max="7146" width="14.140625" style="57" bestFit="1" customWidth="1"/>
    <col min="7147" max="7147" width="10" style="57" bestFit="1" customWidth="1"/>
    <col min="7148" max="7389" width="8.85546875" style="57"/>
    <col min="7390" max="7390" width="7.7109375" style="57" bestFit="1" customWidth="1"/>
    <col min="7391" max="7391" width="88.28515625" style="57" customWidth="1"/>
    <col min="7392" max="7392" width="13" style="57" customWidth="1"/>
    <col min="7393" max="7393" width="18" style="57" customWidth="1"/>
    <col min="7394" max="7394" width="17" style="57" customWidth="1"/>
    <col min="7395" max="7395" width="17.85546875" style="57" customWidth="1"/>
    <col min="7396" max="7396" width="20.42578125" style="57" customWidth="1"/>
    <col min="7397" max="7397" width="14.85546875" style="57" customWidth="1"/>
    <col min="7398" max="7400" width="18.140625" style="57" customWidth="1"/>
    <col min="7401" max="7401" width="20.42578125" style="57" customWidth="1"/>
    <col min="7402" max="7402" width="14.140625" style="57" bestFit="1" customWidth="1"/>
    <col min="7403" max="7403" width="10" style="57" bestFit="1" customWidth="1"/>
    <col min="7404" max="7645" width="8.85546875" style="57"/>
    <col min="7646" max="7646" width="7.7109375" style="57" bestFit="1" customWidth="1"/>
    <col min="7647" max="7647" width="88.28515625" style="57" customWidth="1"/>
    <col min="7648" max="7648" width="13" style="57" customWidth="1"/>
    <col min="7649" max="7649" width="18" style="57" customWidth="1"/>
    <col min="7650" max="7650" width="17" style="57" customWidth="1"/>
    <col min="7651" max="7651" width="17.85546875" style="57" customWidth="1"/>
    <col min="7652" max="7652" width="20.42578125" style="57" customWidth="1"/>
    <col min="7653" max="7653" width="14.85546875" style="57" customWidth="1"/>
    <col min="7654" max="7656" width="18.140625" style="57" customWidth="1"/>
    <col min="7657" max="7657" width="20.42578125" style="57" customWidth="1"/>
    <col min="7658" max="7658" width="14.140625" style="57" bestFit="1" customWidth="1"/>
    <col min="7659" max="7659" width="10" style="57" bestFit="1" customWidth="1"/>
    <col min="7660" max="7901" width="8.85546875" style="57"/>
    <col min="7902" max="7902" width="7.7109375" style="57" bestFit="1" customWidth="1"/>
    <col min="7903" max="7903" width="88.28515625" style="57" customWidth="1"/>
    <col min="7904" max="7904" width="13" style="57" customWidth="1"/>
    <col min="7905" max="7905" width="18" style="57" customWidth="1"/>
    <col min="7906" max="7906" width="17" style="57" customWidth="1"/>
    <col min="7907" max="7907" width="17.85546875" style="57" customWidth="1"/>
    <col min="7908" max="7908" width="20.42578125" style="57" customWidth="1"/>
    <col min="7909" max="7909" width="14.85546875" style="57" customWidth="1"/>
    <col min="7910" max="7912" width="18.140625" style="57" customWidth="1"/>
    <col min="7913" max="7913" width="20.42578125" style="57" customWidth="1"/>
    <col min="7914" max="7914" width="14.140625" style="57" bestFit="1" customWidth="1"/>
    <col min="7915" max="7915" width="10" style="57" bestFit="1" customWidth="1"/>
    <col min="7916" max="8157" width="8.85546875" style="57"/>
    <col min="8158" max="8158" width="7.7109375" style="57" bestFit="1" customWidth="1"/>
    <col min="8159" max="8159" width="88.28515625" style="57" customWidth="1"/>
    <col min="8160" max="8160" width="13" style="57" customWidth="1"/>
    <col min="8161" max="8161" width="18" style="57" customWidth="1"/>
    <col min="8162" max="8162" width="17" style="57" customWidth="1"/>
    <col min="8163" max="8163" width="17.85546875" style="57" customWidth="1"/>
    <col min="8164" max="8164" width="20.42578125" style="57" customWidth="1"/>
    <col min="8165" max="8165" width="14.85546875" style="57" customWidth="1"/>
    <col min="8166" max="8168" width="18.140625" style="57" customWidth="1"/>
    <col min="8169" max="8169" width="20.42578125" style="57" customWidth="1"/>
    <col min="8170" max="8170" width="14.140625" style="57" bestFit="1" customWidth="1"/>
    <col min="8171" max="8171" width="10" style="57" bestFit="1" customWidth="1"/>
    <col min="8172" max="8413" width="8.85546875" style="57"/>
    <col min="8414" max="8414" width="7.7109375" style="57" bestFit="1" customWidth="1"/>
    <col min="8415" max="8415" width="88.28515625" style="57" customWidth="1"/>
    <col min="8416" max="8416" width="13" style="57" customWidth="1"/>
    <col min="8417" max="8417" width="18" style="57" customWidth="1"/>
    <col min="8418" max="8418" width="17" style="57" customWidth="1"/>
    <col min="8419" max="8419" width="17.85546875" style="57" customWidth="1"/>
    <col min="8420" max="8420" width="20.42578125" style="57" customWidth="1"/>
    <col min="8421" max="8421" width="14.85546875" style="57" customWidth="1"/>
    <col min="8422" max="8424" width="18.140625" style="57" customWidth="1"/>
    <col min="8425" max="8425" width="20.42578125" style="57" customWidth="1"/>
    <col min="8426" max="8426" width="14.140625" style="57" bestFit="1" customWidth="1"/>
    <col min="8427" max="8427" width="10" style="57" bestFit="1" customWidth="1"/>
    <col min="8428" max="8669" width="8.85546875" style="57"/>
    <col min="8670" max="8670" width="7.7109375" style="57" bestFit="1" customWidth="1"/>
    <col min="8671" max="8671" width="88.28515625" style="57" customWidth="1"/>
    <col min="8672" max="8672" width="13" style="57" customWidth="1"/>
    <col min="8673" max="8673" width="18" style="57" customWidth="1"/>
    <col min="8674" max="8674" width="17" style="57" customWidth="1"/>
    <col min="8675" max="8675" width="17.85546875" style="57" customWidth="1"/>
    <col min="8676" max="8676" width="20.42578125" style="57" customWidth="1"/>
    <col min="8677" max="8677" width="14.85546875" style="57" customWidth="1"/>
    <col min="8678" max="8680" width="18.140625" style="57" customWidth="1"/>
    <col min="8681" max="8681" width="20.42578125" style="57" customWidth="1"/>
    <col min="8682" max="8682" width="14.140625" style="57" bestFit="1" customWidth="1"/>
    <col min="8683" max="8683" width="10" style="57" bestFit="1" customWidth="1"/>
    <col min="8684" max="8925" width="8.85546875" style="57"/>
    <col min="8926" max="8926" width="7.7109375" style="57" bestFit="1" customWidth="1"/>
    <col min="8927" max="8927" width="88.28515625" style="57" customWidth="1"/>
    <col min="8928" max="8928" width="13" style="57" customWidth="1"/>
    <col min="8929" max="8929" width="18" style="57" customWidth="1"/>
    <col min="8930" max="8930" width="17" style="57" customWidth="1"/>
    <col min="8931" max="8931" width="17.85546875" style="57" customWidth="1"/>
    <col min="8932" max="8932" width="20.42578125" style="57" customWidth="1"/>
    <col min="8933" max="8933" width="14.85546875" style="57" customWidth="1"/>
    <col min="8934" max="8936" width="18.140625" style="57" customWidth="1"/>
    <col min="8937" max="8937" width="20.42578125" style="57" customWidth="1"/>
    <col min="8938" max="8938" width="14.140625" style="57" bestFit="1" customWidth="1"/>
    <col min="8939" max="8939" width="10" style="57" bestFit="1" customWidth="1"/>
    <col min="8940" max="9181" width="8.85546875" style="57"/>
    <col min="9182" max="9182" width="7.7109375" style="57" bestFit="1" customWidth="1"/>
    <col min="9183" max="9183" width="88.28515625" style="57" customWidth="1"/>
    <col min="9184" max="9184" width="13" style="57" customWidth="1"/>
    <col min="9185" max="9185" width="18" style="57" customWidth="1"/>
    <col min="9186" max="9186" width="17" style="57" customWidth="1"/>
    <col min="9187" max="9187" width="17.85546875" style="57" customWidth="1"/>
    <col min="9188" max="9188" width="20.42578125" style="57" customWidth="1"/>
    <col min="9189" max="9189" width="14.85546875" style="57" customWidth="1"/>
    <col min="9190" max="9192" width="18.140625" style="57" customWidth="1"/>
    <col min="9193" max="9193" width="20.42578125" style="57" customWidth="1"/>
    <col min="9194" max="9194" width="14.140625" style="57" bestFit="1" customWidth="1"/>
    <col min="9195" max="9195" width="10" style="57" bestFit="1" customWidth="1"/>
    <col min="9196" max="9437" width="8.85546875" style="57"/>
    <col min="9438" max="9438" width="7.7109375" style="57" bestFit="1" customWidth="1"/>
    <col min="9439" max="9439" width="88.28515625" style="57" customWidth="1"/>
    <col min="9440" max="9440" width="13" style="57" customWidth="1"/>
    <col min="9441" max="9441" width="18" style="57" customWidth="1"/>
    <col min="9442" max="9442" width="17" style="57" customWidth="1"/>
    <col min="9443" max="9443" width="17.85546875" style="57" customWidth="1"/>
    <col min="9444" max="9444" width="20.42578125" style="57" customWidth="1"/>
    <col min="9445" max="9445" width="14.85546875" style="57" customWidth="1"/>
    <col min="9446" max="9448" width="18.140625" style="57" customWidth="1"/>
    <col min="9449" max="9449" width="20.42578125" style="57" customWidth="1"/>
    <col min="9450" max="9450" width="14.140625" style="57" bestFit="1" customWidth="1"/>
    <col min="9451" max="9451" width="10" style="57" bestFit="1" customWidth="1"/>
    <col min="9452" max="9693" width="8.85546875" style="57"/>
    <col min="9694" max="9694" width="7.7109375" style="57" bestFit="1" customWidth="1"/>
    <col min="9695" max="9695" width="88.28515625" style="57" customWidth="1"/>
    <col min="9696" max="9696" width="13" style="57" customWidth="1"/>
    <col min="9697" max="9697" width="18" style="57" customWidth="1"/>
    <col min="9698" max="9698" width="17" style="57" customWidth="1"/>
    <col min="9699" max="9699" width="17.85546875" style="57" customWidth="1"/>
    <col min="9700" max="9700" width="20.42578125" style="57" customWidth="1"/>
    <col min="9701" max="9701" width="14.85546875" style="57" customWidth="1"/>
    <col min="9702" max="9704" width="18.140625" style="57" customWidth="1"/>
    <col min="9705" max="9705" width="20.42578125" style="57" customWidth="1"/>
    <col min="9706" max="9706" width="14.140625" style="57" bestFit="1" customWidth="1"/>
    <col min="9707" max="9707" width="10" style="57" bestFit="1" customWidth="1"/>
    <col min="9708" max="9949" width="8.85546875" style="57"/>
    <col min="9950" max="9950" width="7.7109375" style="57" bestFit="1" customWidth="1"/>
    <col min="9951" max="9951" width="88.28515625" style="57" customWidth="1"/>
    <col min="9952" max="9952" width="13" style="57" customWidth="1"/>
    <col min="9953" max="9953" width="18" style="57" customWidth="1"/>
    <col min="9954" max="9954" width="17" style="57" customWidth="1"/>
    <col min="9955" max="9955" width="17.85546875" style="57" customWidth="1"/>
    <col min="9956" max="9956" width="20.42578125" style="57" customWidth="1"/>
    <col min="9957" max="9957" width="14.85546875" style="57" customWidth="1"/>
    <col min="9958" max="9960" width="18.140625" style="57" customWidth="1"/>
    <col min="9961" max="9961" width="20.42578125" style="57" customWidth="1"/>
    <col min="9962" max="9962" width="14.140625" style="57" bestFit="1" customWidth="1"/>
    <col min="9963" max="9963" width="10" style="57" bestFit="1" customWidth="1"/>
    <col min="9964" max="10205" width="8.85546875" style="57"/>
    <col min="10206" max="10206" width="7.7109375" style="57" bestFit="1" customWidth="1"/>
    <col min="10207" max="10207" width="88.28515625" style="57" customWidth="1"/>
    <col min="10208" max="10208" width="13" style="57" customWidth="1"/>
    <col min="10209" max="10209" width="18" style="57" customWidth="1"/>
    <col min="10210" max="10210" width="17" style="57" customWidth="1"/>
    <col min="10211" max="10211" width="17.85546875" style="57" customWidth="1"/>
    <col min="10212" max="10212" width="20.42578125" style="57" customWidth="1"/>
    <col min="10213" max="10213" width="14.85546875" style="57" customWidth="1"/>
    <col min="10214" max="10216" width="18.140625" style="57" customWidth="1"/>
    <col min="10217" max="10217" width="20.42578125" style="57" customWidth="1"/>
    <col min="10218" max="10218" width="14.140625" style="57" bestFit="1" customWidth="1"/>
    <col min="10219" max="10219" width="10" style="57" bestFit="1" customWidth="1"/>
    <col min="10220" max="10461" width="8.85546875" style="57"/>
    <col min="10462" max="10462" width="7.7109375" style="57" bestFit="1" customWidth="1"/>
    <col min="10463" max="10463" width="88.28515625" style="57" customWidth="1"/>
    <col min="10464" max="10464" width="13" style="57" customWidth="1"/>
    <col min="10465" max="10465" width="18" style="57" customWidth="1"/>
    <col min="10466" max="10466" width="17" style="57" customWidth="1"/>
    <col min="10467" max="10467" width="17.85546875" style="57" customWidth="1"/>
    <col min="10468" max="10468" width="20.42578125" style="57" customWidth="1"/>
    <col min="10469" max="10469" width="14.85546875" style="57" customWidth="1"/>
    <col min="10470" max="10472" width="18.140625" style="57" customWidth="1"/>
    <col min="10473" max="10473" width="20.42578125" style="57" customWidth="1"/>
    <col min="10474" max="10474" width="14.140625" style="57" bestFit="1" customWidth="1"/>
    <col min="10475" max="10475" width="10" style="57" bestFit="1" customWidth="1"/>
    <col min="10476" max="10717" width="8.85546875" style="57"/>
    <col min="10718" max="10718" width="7.7109375" style="57" bestFit="1" customWidth="1"/>
    <col min="10719" max="10719" width="88.28515625" style="57" customWidth="1"/>
    <col min="10720" max="10720" width="13" style="57" customWidth="1"/>
    <col min="10721" max="10721" width="18" style="57" customWidth="1"/>
    <col min="10722" max="10722" width="17" style="57" customWidth="1"/>
    <col min="10723" max="10723" width="17.85546875" style="57" customWidth="1"/>
    <col min="10724" max="10724" width="20.42578125" style="57" customWidth="1"/>
    <col min="10725" max="10725" width="14.85546875" style="57" customWidth="1"/>
    <col min="10726" max="10728" width="18.140625" style="57" customWidth="1"/>
    <col min="10729" max="10729" width="20.42578125" style="57" customWidth="1"/>
    <col min="10730" max="10730" width="14.140625" style="57" bestFit="1" customWidth="1"/>
    <col min="10731" max="10731" width="10" style="57" bestFit="1" customWidth="1"/>
    <col min="10732" max="10973" width="8.85546875" style="57"/>
    <col min="10974" max="10974" width="7.7109375" style="57" bestFit="1" customWidth="1"/>
    <col min="10975" max="10975" width="88.28515625" style="57" customWidth="1"/>
    <col min="10976" max="10976" width="13" style="57" customWidth="1"/>
    <col min="10977" max="10977" width="18" style="57" customWidth="1"/>
    <col min="10978" max="10978" width="17" style="57" customWidth="1"/>
    <col min="10979" max="10979" width="17.85546875" style="57" customWidth="1"/>
    <col min="10980" max="10980" width="20.42578125" style="57" customWidth="1"/>
    <col min="10981" max="10981" width="14.85546875" style="57" customWidth="1"/>
    <col min="10982" max="10984" width="18.140625" style="57" customWidth="1"/>
    <col min="10985" max="10985" width="20.42578125" style="57" customWidth="1"/>
    <col min="10986" max="10986" width="14.140625" style="57" bestFit="1" customWidth="1"/>
    <col min="10987" max="10987" width="10" style="57" bestFit="1" customWidth="1"/>
    <col min="10988" max="11229" width="8.85546875" style="57"/>
    <col min="11230" max="11230" width="7.7109375" style="57" bestFit="1" customWidth="1"/>
    <col min="11231" max="11231" width="88.28515625" style="57" customWidth="1"/>
    <col min="11232" max="11232" width="13" style="57" customWidth="1"/>
    <col min="11233" max="11233" width="18" style="57" customWidth="1"/>
    <col min="11234" max="11234" width="17" style="57" customWidth="1"/>
    <col min="11235" max="11235" width="17.85546875" style="57" customWidth="1"/>
    <col min="11236" max="11236" width="20.42578125" style="57" customWidth="1"/>
    <col min="11237" max="11237" width="14.85546875" style="57" customWidth="1"/>
    <col min="11238" max="11240" width="18.140625" style="57" customWidth="1"/>
    <col min="11241" max="11241" width="20.42578125" style="57" customWidth="1"/>
    <col min="11242" max="11242" width="14.140625" style="57" bestFit="1" customWidth="1"/>
    <col min="11243" max="11243" width="10" style="57" bestFit="1" customWidth="1"/>
    <col min="11244" max="11485" width="8.85546875" style="57"/>
    <col min="11486" max="11486" width="7.7109375" style="57" bestFit="1" customWidth="1"/>
    <col min="11487" max="11487" width="88.28515625" style="57" customWidth="1"/>
    <col min="11488" max="11488" width="13" style="57" customWidth="1"/>
    <col min="11489" max="11489" width="18" style="57" customWidth="1"/>
    <col min="11490" max="11490" width="17" style="57" customWidth="1"/>
    <col min="11491" max="11491" width="17.85546875" style="57" customWidth="1"/>
    <col min="11492" max="11492" width="20.42578125" style="57" customWidth="1"/>
    <col min="11493" max="11493" width="14.85546875" style="57" customWidth="1"/>
    <col min="11494" max="11496" width="18.140625" style="57" customWidth="1"/>
    <col min="11497" max="11497" width="20.42578125" style="57" customWidth="1"/>
    <col min="11498" max="11498" width="14.140625" style="57" bestFit="1" customWidth="1"/>
    <col min="11499" max="11499" width="10" style="57" bestFit="1" customWidth="1"/>
    <col min="11500" max="11741" width="8.85546875" style="57"/>
    <col min="11742" max="11742" width="7.7109375" style="57" bestFit="1" customWidth="1"/>
    <col min="11743" max="11743" width="88.28515625" style="57" customWidth="1"/>
    <col min="11744" max="11744" width="13" style="57" customWidth="1"/>
    <col min="11745" max="11745" width="18" style="57" customWidth="1"/>
    <col min="11746" max="11746" width="17" style="57" customWidth="1"/>
    <col min="11747" max="11747" width="17.85546875" style="57" customWidth="1"/>
    <col min="11748" max="11748" width="20.42578125" style="57" customWidth="1"/>
    <col min="11749" max="11749" width="14.85546875" style="57" customWidth="1"/>
    <col min="11750" max="11752" width="18.140625" style="57" customWidth="1"/>
    <col min="11753" max="11753" width="20.42578125" style="57" customWidth="1"/>
    <col min="11754" max="11754" width="14.140625" style="57" bestFit="1" customWidth="1"/>
    <col min="11755" max="11755" width="10" style="57" bestFit="1" customWidth="1"/>
    <col min="11756" max="11997" width="8.85546875" style="57"/>
    <col min="11998" max="11998" width="7.7109375" style="57" bestFit="1" customWidth="1"/>
    <col min="11999" max="11999" width="88.28515625" style="57" customWidth="1"/>
    <col min="12000" max="12000" width="13" style="57" customWidth="1"/>
    <col min="12001" max="12001" width="18" style="57" customWidth="1"/>
    <col min="12002" max="12002" width="17" style="57" customWidth="1"/>
    <col min="12003" max="12003" width="17.85546875" style="57" customWidth="1"/>
    <col min="12004" max="12004" width="20.42578125" style="57" customWidth="1"/>
    <col min="12005" max="12005" width="14.85546875" style="57" customWidth="1"/>
    <col min="12006" max="12008" width="18.140625" style="57" customWidth="1"/>
    <col min="12009" max="12009" width="20.42578125" style="57" customWidth="1"/>
    <col min="12010" max="12010" width="14.140625" style="57" bestFit="1" customWidth="1"/>
    <col min="12011" max="12011" width="10" style="57" bestFit="1" customWidth="1"/>
    <col min="12012" max="12253" width="8.85546875" style="57"/>
    <col min="12254" max="12254" width="7.7109375" style="57" bestFit="1" customWidth="1"/>
    <col min="12255" max="12255" width="88.28515625" style="57" customWidth="1"/>
    <col min="12256" max="12256" width="13" style="57" customWidth="1"/>
    <col min="12257" max="12257" width="18" style="57" customWidth="1"/>
    <col min="12258" max="12258" width="17" style="57" customWidth="1"/>
    <col min="12259" max="12259" width="17.85546875" style="57" customWidth="1"/>
    <col min="12260" max="12260" width="20.42578125" style="57" customWidth="1"/>
    <col min="12261" max="12261" width="14.85546875" style="57" customWidth="1"/>
    <col min="12262" max="12264" width="18.140625" style="57" customWidth="1"/>
    <col min="12265" max="12265" width="20.42578125" style="57" customWidth="1"/>
    <col min="12266" max="12266" width="14.140625" style="57" bestFit="1" customWidth="1"/>
    <col min="12267" max="12267" width="10" style="57" bestFit="1" customWidth="1"/>
    <col min="12268" max="12509" width="8.85546875" style="57"/>
    <col min="12510" max="12510" width="7.7109375" style="57" bestFit="1" customWidth="1"/>
    <col min="12511" max="12511" width="88.28515625" style="57" customWidth="1"/>
    <col min="12512" max="12512" width="13" style="57" customWidth="1"/>
    <col min="12513" max="12513" width="18" style="57" customWidth="1"/>
    <col min="12514" max="12514" width="17" style="57" customWidth="1"/>
    <col min="12515" max="12515" width="17.85546875" style="57" customWidth="1"/>
    <col min="12516" max="12516" width="20.42578125" style="57" customWidth="1"/>
    <col min="12517" max="12517" width="14.85546875" style="57" customWidth="1"/>
    <col min="12518" max="12520" width="18.140625" style="57" customWidth="1"/>
    <col min="12521" max="12521" width="20.42578125" style="57" customWidth="1"/>
    <col min="12522" max="12522" width="14.140625" style="57" bestFit="1" customWidth="1"/>
    <col min="12523" max="12523" width="10" style="57" bestFit="1" customWidth="1"/>
    <col min="12524" max="12765" width="8.85546875" style="57"/>
    <col min="12766" max="12766" width="7.7109375" style="57" bestFit="1" customWidth="1"/>
    <col min="12767" max="12767" width="88.28515625" style="57" customWidth="1"/>
    <col min="12768" max="12768" width="13" style="57" customWidth="1"/>
    <col min="12769" max="12769" width="18" style="57" customWidth="1"/>
    <col min="12770" max="12770" width="17" style="57" customWidth="1"/>
    <col min="12771" max="12771" width="17.85546875" style="57" customWidth="1"/>
    <col min="12772" max="12772" width="20.42578125" style="57" customWidth="1"/>
    <col min="12773" max="12773" width="14.85546875" style="57" customWidth="1"/>
    <col min="12774" max="12776" width="18.140625" style="57" customWidth="1"/>
    <col min="12777" max="12777" width="20.42578125" style="57" customWidth="1"/>
    <col min="12778" max="12778" width="14.140625" style="57" bestFit="1" customWidth="1"/>
    <col min="12779" max="12779" width="10" style="57" bestFit="1" customWidth="1"/>
    <col min="12780" max="13021" width="8.85546875" style="57"/>
    <col min="13022" max="13022" width="7.7109375" style="57" bestFit="1" customWidth="1"/>
    <col min="13023" max="13023" width="88.28515625" style="57" customWidth="1"/>
    <col min="13024" max="13024" width="13" style="57" customWidth="1"/>
    <col min="13025" max="13025" width="18" style="57" customWidth="1"/>
    <col min="13026" max="13026" width="17" style="57" customWidth="1"/>
    <col min="13027" max="13027" width="17.85546875" style="57" customWidth="1"/>
    <col min="13028" max="13028" width="20.42578125" style="57" customWidth="1"/>
    <col min="13029" max="13029" width="14.85546875" style="57" customWidth="1"/>
    <col min="13030" max="13032" width="18.140625" style="57" customWidth="1"/>
    <col min="13033" max="13033" width="20.42578125" style="57" customWidth="1"/>
    <col min="13034" max="13034" width="14.140625" style="57" bestFit="1" customWidth="1"/>
    <col min="13035" max="13035" width="10" style="57" bestFit="1" customWidth="1"/>
    <col min="13036" max="13277" width="8.85546875" style="57"/>
    <col min="13278" max="13278" width="7.7109375" style="57" bestFit="1" customWidth="1"/>
    <col min="13279" max="13279" width="88.28515625" style="57" customWidth="1"/>
    <col min="13280" max="13280" width="13" style="57" customWidth="1"/>
    <col min="13281" max="13281" width="18" style="57" customWidth="1"/>
    <col min="13282" max="13282" width="17" style="57" customWidth="1"/>
    <col min="13283" max="13283" width="17.85546875" style="57" customWidth="1"/>
    <col min="13284" max="13284" width="20.42578125" style="57" customWidth="1"/>
    <col min="13285" max="13285" width="14.85546875" style="57" customWidth="1"/>
    <col min="13286" max="13288" width="18.140625" style="57" customWidth="1"/>
    <col min="13289" max="13289" width="20.42578125" style="57" customWidth="1"/>
    <col min="13290" max="13290" width="14.140625" style="57" bestFit="1" customWidth="1"/>
    <col min="13291" max="13291" width="10" style="57" bestFit="1" customWidth="1"/>
    <col min="13292" max="13533" width="8.85546875" style="57"/>
    <col min="13534" max="13534" width="7.7109375" style="57" bestFit="1" customWidth="1"/>
    <col min="13535" max="13535" width="88.28515625" style="57" customWidth="1"/>
    <col min="13536" max="13536" width="13" style="57" customWidth="1"/>
    <col min="13537" max="13537" width="18" style="57" customWidth="1"/>
    <col min="13538" max="13538" width="17" style="57" customWidth="1"/>
    <col min="13539" max="13539" width="17.85546875" style="57" customWidth="1"/>
    <col min="13540" max="13540" width="20.42578125" style="57" customWidth="1"/>
    <col min="13541" max="13541" width="14.85546875" style="57" customWidth="1"/>
    <col min="13542" max="13544" width="18.140625" style="57" customWidth="1"/>
    <col min="13545" max="13545" width="20.42578125" style="57" customWidth="1"/>
    <col min="13546" max="13546" width="14.140625" style="57" bestFit="1" customWidth="1"/>
    <col min="13547" max="13547" width="10" style="57" bestFit="1" customWidth="1"/>
    <col min="13548" max="13789" width="8.85546875" style="57"/>
    <col min="13790" max="13790" width="7.7109375" style="57" bestFit="1" customWidth="1"/>
    <col min="13791" max="13791" width="88.28515625" style="57" customWidth="1"/>
    <col min="13792" max="13792" width="13" style="57" customWidth="1"/>
    <col min="13793" max="13793" width="18" style="57" customWidth="1"/>
    <col min="13794" max="13794" width="17" style="57" customWidth="1"/>
    <col min="13795" max="13795" width="17.85546875" style="57" customWidth="1"/>
    <col min="13796" max="13796" width="20.42578125" style="57" customWidth="1"/>
    <col min="13797" max="13797" width="14.85546875" style="57" customWidth="1"/>
    <col min="13798" max="13800" width="18.140625" style="57" customWidth="1"/>
    <col min="13801" max="13801" width="20.42578125" style="57" customWidth="1"/>
    <col min="13802" max="13802" width="14.140625" style="57" bestFit="1" customWidth="1"/>
    <col min="13803" max="13803" width="10" style="57" bestFit="1" customWidth="1"/>
    <col min="13804" max="14045" width="8.85546875" style="57"/>
    <col min="14046" max="14046" width="7.7109375" style="57" bestFit="1" customWidth="1"/>
    <col min="14047" max="14047" width="88.28515625" style="57" customWidth="1"/>
    <col min="14048" max="14048" width="13" style="57" customWidth="1"/>
    <col min="14049" max="14049" width="18" style="57" customWidth="1"/>
    <col min="14050" max="14050" width="17" style="57" customWidth="1"/>
    <col min="14051" max="14051" width="17.85546875" style="57" customWidth="1"/>
    <col min="14052" max="14052" width="20.42578125" style="57" customWidth="1"/>
    <col min="14053" max="14053" width="14.85546875" style="57" customWidth="1"/>
    <col min="14054" max="14056" width="18.140625" style="57" customWidth="1"/>
    <col min="14057" max="14057" width="20.42578125" style="57" customWidth="1"/>
    <col min="14058" max="14058" width="14.140625" style="57" bestFit="1" customWidth="1"/>
    <col min="14059" max="14059" width="10" style="57" bestFit="1" customWidth="1"/>
    <col min="14060" max="14301" width="8.85546875" style="57"/>
    <col min="14302" max="14302" width="7.7109375" style="57" bestFit="1" customWidth="1"/>
    <col min="14303" max="14303" width="88.28515625" style="57" customWidth="1"/>
    <col min="14304" max="14304" width="13" style="57" customWidth="1"/>
    <col min="14305" max="14305" width="18" style="57" customWidth="1"/>
    <col min="14306" max="14306" width="17" style="57" customWidth="1"/>
    <col min="14307" max="14307" width="17.85546875" style="57" customWidth="1"/>
    <col min="14308" max="14308" width="20.42578125" style="57" customWidth="1"/>
    <col min="14309" max="14309" width="14.85546875" style="57" customWidth="1"/>
    <col min="14310" max="14312" width="18.140625" style="57" customWidth="1"/>
    <col min="14313" max="14313" width="20.42578125" style="57" customWidth="1"/>
    <col min="14314" max="14314" width="14.140625" style="57" bestFit="1" customWidth="1"/>
    <col min="14315" max="14315" width="10" style="57" bestFit="1" customWidth="1"/>
    <col min="14316" max="14557" width="8.85546875" style="57"/>
    <col min="14558" max="14558" width="7.7109375" style="57" bestFit="1" customWidth="1"/>
    <col min="14559" max="14559" width="88.28515625" style="57" customWidth="1"/>
    <col min="14560" max="14560" width="13" style="57" customWidth="1"/>
    <col min="14561" max="14561" width="18" style="57" customWidth="1"/>
    <col min="14562" max="14562" width="17" style="57" customWidth="1"/>
    <col min="14563" max="14563" width="17.85546875" style="57" customWidth="1"/>
    <col min="14564" max="14564" width="20.42578125" style="57" customWidth="1"/>
    <col min="14565" max="14565" width="14.85546875" style="57" customWidth="1"/>
    <col min="14566" max="14568" width="18.140625" style="57" customWidth="1"/>
    <col min="14569" max="14569" width="20.42578125" style="57" customWidth="1"/>
    <col min="14570" max="14570" width="14.140625" style="57" bestFit="1" customWidth="1"/>
    <col min="14571" max="14571" width="10" style="57" bestFit="1" customWidth="1"/>
    <col min="14572" max="14813" width="8.85546875" style="57"/>
    <col min="14814" max="14814" width="7.7109375" style="57" bestFit="1" customWidth="1"/>
    <col min="14815" max="14815" width="88.28515625" style="57" customWidth="1"/>
    <col min="14816" max="14816" width="13" style="57" customWidth="1"/>
    <col min="14817" max="14817" width="18" style="57" customWidth="1"/>
    <col min="14818" max="14818" width="17" style="57" customWidth="1"/>
    <col min="14819" max="14819" width="17.85546875" style="57" customWidth="1"/>
    <col min="14820" max="14820" width="20.42578125" style="57" customWidth="1"/>
    <col min="14821" max="14821" width="14.85546875" style="57" customWidth="1"/>
    <col min="14822" max="14824" width="18.140625" style="57" customWidth="1"/>
    <col min="14825" max="14825" width="20.42578125" style="57" customWidth="1"/>
    <col min="14826" max="14826" width="14.140625" style="57" bestFit="1" customWidth="1"/>
    <col min="14827" max="14827" width="10" style="57" bestFit="1" customWidth="1"/>
    <col min="14828" max="15069" width="8.85546875" style="57"/>
    <col min="15070" max="15070" width="7.7109375" style="57" bestFit="1" customWidth="1"/>
    <col min="15071" max="15071" width="88.28515625" style="57" customWidth="1"/>
    <col min="15072" max="15072" width="13" style="57" customWidth="1"/>
    <col min="15073" max="15073" width="18" style="57" customWidth="1"/>
    <col min="15074" max="15074" width="17" style="57" customWidth="1"/>
    <col min="15075" max="15075" width="17.85546875" style="57" customWidth="1"/>
    <col min="15076" max="15076" width="20.42578125" style="57" customWidth="1"/>
    <col min="15077" max="15077" width="14.85546875" style="57" customWidth="1"/>
    <col min="15078" max="15080" width="18.140625" style="57" customWidth="1"/>
    <col min="15081" max="15081" width="20.42578125" style="57" customWidth="1"/>
    <col min="15082" max="15082" width="14.140625" style="57" bestFit="1" customWidth="1"/>
    <col min="15083" max="15083" width="10" style="57" bestFit="1" customWidth="1"/>
    <col min="15084" max="15325" width="8.85546875" style="57"/>
    <col min="15326" max="15326" width="7.7109375" style="57" bestFit="1" customWidth="1"/>
    <col min="15327" max="15327" width="88.28515625" style="57" customWidth="1"/>
    <col min="15328" max="15328" width="13" style="57" customWidth="1"/>
    <col min="15329" max="15329" width="18" style="57" customWidth="1"/>
    <col min="15330" max="15330" width="17" style="57" customWidth="1"/>
    <col min="15331" max="15331" width="17.85546875" style="57" customWidth="1"/>
    <col min="15332" max="15332" width="20.42578125" style="57" customWidth="1"/>
    <col min="15333" max="15333" width="14.85546875" style="57" customWidth="1"/>
    <col min="15334" max="15336" width="18.140625" style="57" customWidth="1"/>
    <col min="15337" max="15337" width="20.42578125" style="57" customWidth="1"/>
    <col min="15338" max="15338" width="14.140625" style="57" bestFit="1" customWidth="1"/>
    <col min="15339" max="15339" width="10" style="57" bestFit="1" customWidth="1"/>
    <col min="15340" max="15581" width="8.85546875" style="57"/>
    <col min="15582" max="15582" width="7.7109375" style="57" bestFit="1" customWidth="1"/>
    <col min="15583" max="15583" width="88.28515625" style="57" customWidth="1"/>
    <col min="15584" max="15584" width="13" style="57" customWidth="1"/>
    <col min="15585" max="15585" width="18" style="57" customWidth="1"/>
    <col min="15586" max="15586" width="17" style="57" customWidth="1"/>
    <col min="15587" max="15587" width="17.85546875" style="57" customWidth="1"/>
    <col min="15588" max="15588" width="20.42578125" style="57" customWidth="1"/>
    <col min="15589" max="15589" width="14.85546875" style="57" customWidth="1"/>
    <col min="15590" max="15592" width="18.140625" style="57" customWidth="1"/>
    <col min="15593" max="15593" width="20.42578125" style="57" customWidth="1"/>
    <col min="15594" max="15594" width="14.140625" style="57" bestFit="1" customWidth="1"/>
    <col min="15595" max="15595" width="10" style="57" bestFit="1" customWidth="1"/>
    <col min="15596" max="15837" width="8.85546875" style="57"/>
    <col min="15838" max="15838" width="7.7109375" style="57" bestFit="1" customWidth="1"/>
    <col min="15839" max="15839" width="88.28515625" style="57" customWidth="1"/>
    <col min="15840" max="15840" width="13" style="57" customWidth="1"/>
    <col min="15841" max="15841" width="18" style="57" customWidth="1"/>
    <col min="15842" max="15842" width="17" style="57" customWidth="1"/>
    <col min="15843" max="15843" width="17.85546875" style="57" customWidth="1"/>
    <col min="15844" max="15844" width="20.42578125" style="57" customWidth="1"/>
    <col min="15845" max="15845" width="14.85546875" style="57" customWidth="1"/>
    <col min="15846" max="15848" width="18.140625" style="57" customWidth="1"/>
    <col min="15849" max="15849" width="20.42578125" style="57" customWidth="1"/>
    <col min="15850" max="15850" width="14.140625" style="57" bestFit="1" customWidth="1"/>
    <col min="15851" max="15851" width="10" style="57" bestFit="1" customWidth="1"/>
    <col min="15852" max="16093" width="8.85546875" style="57"/>
    <col min="16094" max="16094" width="7.7109375" style="57" bestFit="1" customWidth="1"/>
    <col min="16095" max="16095" width="88.28515625" style="57" customWidth="1"/>
    <col min="16096" max="16096" width="13" style="57" customWidth="1"/>
    <col min="16097" max="16097" width="18" style="57" customWidth="1"/>
    <col min="16098" max="16098" width="17" style="57" customWidth="1"/>
    <col min="16099" max="16099" width="17.85546875" style="57" customWidth="1"/>
    <col min="16100" max="16100" width="20.42578125" style="57" customWidth="1"/>
    <col min="16101" max="16101" width="14.85546875" style="57" customWidth="1"/>
    <col min="16102" max="16104" width="18.140625" style="57" customWidth="1"/>
    <col min="16105" max="16105" width="20.42578125" style="57" customWidth="1"/>
    <col min="16106" max="16106" width="14.140625" style="57" bestFit="1" customWidth="1"/>
    <col min="16107" max="16107" width="10" style="57" bestFit="1" customWidth="1"/>
    <col min="16108" max="16384" width="8.85546875" style="57"/>
  </cols>
  <sheetData>
    <row r="1" spans="1:6" s="135" customFormat="1" x14ac:dyDescent="0.25">
      <c r="A1" s="132" t="s">
        <v>10</v>
      </c>
      <c r="B1" s="133"/>
      <c r="C1" s="133"/>
      <c r="D1" s="134"/>
      <c r="E1" s="133"/>
      <c r="F1" s="133"/>
    </row>
    <row r="2" spans="1:6" s="135" customFormat="1" x14ac:dyDescent="0.25">
      <c r="A2" s="132" t="str">
        <f>'[1]Items 1,2,3-Construction Works'!A2</f>
        <v>TENDER NO. :   D-111808</v>
      </c>
      <c r="B2" s="133"/>
      <c r="C2" s="133"/>
      <c r="D2" s="134"/>
      <c r="E2" s="133"/>
      <c r="F2" s="133"/>
    </row>
    <row r="3" spans="1:6" s="135" customFormat="1" ht="18.75" customHeight="1" x14ac:dyDescent="0.25">
      <c r="A3" s="136" t="str">
        <f>'[1]Items 1,2,3-Construction Works'!A3</f>
        <v>CONSTRUCTION WORKS FOR REPLACEMENT OF SHBPRY, SMHPRY AND DRPRY SUBSTATION IN EASTERN REGION</v>
      </c>
      <c r="B3" s="136"/>
      <c r="C3" s="136"/>
      <c r="D3" s="136"/>
      <c r="E3" s="136"/>
      <c r="F3" s="136"/>
    </row>
    <row r="4" spans="1:6" s="135" customFormat="1" ht="24.75" customHeight="1" x14ac:dyDescent="0.25">
      <c r="A4" s="137" t="str">
        <f>'[1]Items 1,2,3-Construction Works'!A4</f>
        <v>LOT 1: SHOBAISI PRY (SHBPRY)</v>
      </c>
      <c r="C4" s="133"/>
      <c r="D4" s="134"/>
      <c r="E4" s="228"/>
      <c r="F4" s="228"/>
    </row>
    <row r="5" spans="1:6" s="135" customFormat="1" ht="42" customHeight="1" x14ac:dyDescent="0.25">
      <c r="A5" s="229" t="s">
        <v>14</v>
      </c>
      <c r="B5" s="232" t="s">
        <v>15</v>
      </c>
      <c r="C5" s="232" t="s">
        <v>16</v>
      </c>
      <c r="D5" s="233" t="s">
        <v>17</v>
      </c>
      <c r="E5" s="232" t="s">
        <v>5</v>
      </c>
      <c r="F5" s="232"/>
    </row>
    <row r="6" spans="1:6" s="135" customFormat="1" ht="10.5" customHeight="1" x14ac:dyDescent="0.25">
      <c r="A6" s="230"/>
      <c r="B6" s="232"/>
      <c r="C6" s="232"/>
      <c r="D6" s="233"/>
      <c r="E6" s="232" t="s">
        <v>18</v>
      </c>
      <c r="F6" s="232" t="s">
        <v>19</v>
      </c>
    </row>
    <row r="7" spans="1:6" s="135" customFormat="1" ht="21.75" customHeight="1" x14ac:dyDescent="0.25">
      <c r="A7" s="231"/>
      <c r="B7" s="232"/>
      <c r="C7" s="232"/>
      <c r="D7" s="233"/>
      <c r="E7" s="232"/>
      <c r="F7" s="232"/>
    </row>
    <row r="8" spans="1:6" s="135" customFormat="1" ht="144.75" customHeight="1" x14ac:dyDescent="0.25">
      <c r="A8" s="138"/>
      <c r="B8" s="139" t="s">
        <v>23</v>
      </c>
      <c r="C8" s="140"/>
      <c r="D8" s="141"/>
      <c r="E8" s="119"/>
      <c r="F8" s="119"/>
    </row>
    <row r="9" spans="1:6" s="135" customFormat="1" ht="25.5" x14ac:dyDescent="0.25">
      <c r="A9" s="168">
        <v>9</v>
      </c>
      <c r="B9" s="142" t="s">
        <v>481</v>
      </c>
      <c r="C9" s="143"/>
      <c r="D9" s="144"/>
      <c r="E9" s="143"/>
      <c r="F9" s="143"/>
    </row>
    <row r="10" spans="1:6" x14ac:dyDescent="0.25">
      <c r="A10" s="145">
        <v>9.1</v>
      </c>
      <c r="B10" s="37" t="s">
        <v>482</v>
      </c>
      <c r="C10" s="56"/>
      <c r="D10" s="146"/>
      <c r="E10" s="147"/>
      <c r="F10" s="56"/>
    </row>
    <row r="11" spans="1:6" ht="37.5" x14ac:dyDescent="0.25">
      <c r="A11" s="148" t="s">
        <v>483</v>
      </c>
      <c r="B11" s="39" t="s">
        <v>484</v>
      </c>
      <c r="C11" s="59" t="s">
        <v>485</v>
      </c>
      <c r="D11" s="115">
        <v>1</v>
      </c>
      <c r="E11" s="52">
        <v>198617.47666666668</v>
      </c>
      <c r="F11" s="53">
        <f t="shared" ref="F11:F27" si="0">D11*E11</f>
        <v>198617.47666666668</v>
      </c>
    </row>
    <row r="12" spans="1:6" x14ac:dyDescent="0.25">
      <c r="A12" s="148" t="s">
        <v>486</v>
      </c>
      <c r="B12" s="39" t="s">
        <v>487</v>
      </c>
      <c r="C12" s="59" t="s">
        <v>488</v>
      </c>
      <c r="D12" s="115">
        <v>1</v>
      </c>
      <c r="E12" s="52">
        <v>359.95333333333326</v>
      </c>
      <c r="F12" s="53">
        <f t="shared" si="0"/>
        <v>359.95333333333326</v>
      </c>
    </row>
    <row r="13" spans="1:6" x14ac:dyDescent="0.25">
      <c r="A13" s="148" t="s">
        <v>489</v>
      </c>
      <c r="B13" s="39" t="s">
        <v>490</v>
      </c>
      <c r="C13" s="59" t="s">
        <v>488</v>
      </c>
      <c r="D13" s="115">
        <v>1</v>
      </c>
      <c r="E13" s="52">
        <v>642.77666666666664</v>
      </c>
      <c r="F13" s="53">
        <f t="shared" si="0"/>
        <v>642.77666666666664</v>
      </c>
    </row>
    <row r="14" spans="1:6" x14ac:dyDescent="0.25">
      <c r="A14" s="148" t="s">
        <v>491</v>
      </c>
      <c r="B14" s="39" t="s">
        <v>492</v>
      </c>
      <c r="C14" s="59" t="s">
        <v>30</v>
      </c>
      <c r="D14" s="115">
        <v>2</v>
      </c>
      <c r="E14" s="52">
        <v>128.55666666666667</v>
      </c>
      <c r="F14" s="53">
        <f t="shared" si="0"/>
        <v>257.11333333333334</v>
      </c>
    </row>
    <row r="15" spans="1:6" x14ac:dyDescent="0.25">
      <c r="A15" s="148" t="s">
        <v>493</v>
      </c>
      <c r="B15" s="39" t="s">
        <v>755</v>
      </c>
      <c r="C15" s="59" t="s">
        <v>488</v>
      </c>
      <c r="D15" s="115">
        <v>1</v>
      </c>
      <c r="E15" s="52">
        <v>0</v>
      </c>
      <c r="F15" s="53">
        <f t="shared" si="0"/>
        <v>0</v>
      </c>
    </row>
    <row r="16" spans="1:6" ht="37.5" x14ac:dyDescent="0.25">
      <c r="A16" s="148" t="s">
        <v>494</v>
      </c>
      <c r="B16" s="39" t="s">
        <v>753</v>
      </c>
      <c r="C16" s="59" t="s">
        <v>485</v>
      </c>
      <c r="D16" s="115">
        <v>1</v>
      </c>
      <c r="E16" s="52">
        <v>0</v>
      </c>
      <c r="F16" s="53">
        <f t="shared" si="0"/>
        <v>0</v>
      </c>
    </row>
    <row r="17" spans="1:6" x14ac:dyDescent="0.25">
      <c r="A17" s="148" t="s">
        <v>495</v>
      </c>
      <c r="B17" s="39" t="s">
        <v>496</v>
      </c>
      <c r="C17" s="59" t="s">
        <v>485</v>
      </c>
      <c r="D17" s="115">
        <v>1</v>
      </c>
      <c r="E17" s="52">
        <v>964.16333333333318</v>
      </c>
      <c r="F17" s="53">
        <f t="shared" si="0"/>
        <v>964.16333333333318</v>
      </c>
    </row>
    <row r="18" spans="1:6" x14ac:dyDescent="0.25">
      <c r="A18" s="148" t="s">
        <v>497</v>
      </c>
      <c r="B18" s="39" t="s">
        <v>498</v>
      </c>
      <c r="C18" s="59" t="s">
        <v>488</v>
      </c>
      <c r="D18" s="115">
        <v>1</v>
      </c>
      <c r="E18" s="52">
        <v>411.37666666666667</v>
      </c>
      <c r="F18" s="53">
        <f t="shared" si="0"/>
        <v>411.37666666666667</v>
      </c>
    </row>
    <row r="19" spans="1:6" x14ac:dyDescent="0.25">
      <c r="A19" s="148" t="s">
        <v>499</v>
      </c>
      <c r="B19" s="39" t="s">
        <v>500</v>
      </c>
      <c r="C19" s="59" t="s">
        <v>488</v>
      </c>
      <c r="D19" s="115">
        <v>1</v>
      </c>
      <c r="E19" s="52">
        <v>514.22</v>
      </c>
      <c r="F19" s="53">
        <f t="shared" si="0"/>
        <v>514.22</v>
      </c>
    </row>
    <row r="20" spans="1:6" x14ac:dyDescent="0.25">
      <c r="A20" s="148" t="s">
        <v>501</v>
      </c>
      <c r="B20" s="39" t="s">
        <v>754</v>
      </c>
      <c r="C20" s="59" t="s">
        <v>485</v>
      </c>
      <c r="D20" s="115">
        <v>1</v>
      </c>
      <c r="E20" s="52">
        <v>0</v>
      </c>
      <c r="F20" s="53">
        <f t="shared" si="0"/>
        <v>0</v>
      </c>
    </row>
    <row r="21" spans="1:6" x14ac:dyDescent="0.25">
      <c r="A21" s="148" t="s">
        <v>502</v>
      </c>
      <c r="B21" s="39" t="s">
        <v>503</v>
      </c>
      <c r="C21" s="59" t="s">
        <v>485</v>
      </c>
      <c r="D21" s="115">
        <v>1</v>
      </c>
      <c r="E21" s="52">
        <v>30467.536666666667</v>
      </c>
      <c r="F21" s="53">
        <f t="shared" si="0"/>
        <v>30467.536666666667</v>
      </c>
    </row>
    <row r="22" spans="1:6" x14ac:dyDescent="0.25">
      <c r="A22" s="148" t="s">
        <v>504</v>
      </c>
      <c r="B22" s="39" t="s">
        <v>505</v>
      </c>
      <c r="C22" s="59" t="s">
        <v>506</v>
      </c>
      <c r="D22" s="115">
        <v>1</v>
      </c>
      <c r="E22" s="52">
        <v>11569.949999999999</v>
      </c>
      <c r="F22" s="53">
        <f t="shared" si="0"/>
        <v>11569.949999999999</v>
      </c>
    </row>
    <row r="23" spans="1:6" x14ac:dyDescent="0.25">
      <c r="A23" s="148" t="s">
        <v>507</v>
      </c>
      <c r="B23" s="39" t="s">
        <v>508</v>
      </c>
      <c r="C23" s="78" t="s">
        <v>488</v>
      </c>
      <c r="D23" s="149">
        <v>1</v>
      </c>
      <c r="E23" s="52">
        <v>118.27</v>
      </c>
      <c r="F23" s="53">
        <f t="shared" si="0"/>
        <v>118.27</v>
      </c>
    </row>
    <row r="24" spans="1:6" x14ac:dyDescent="0.25">
      <c r="A24" s="148" t="s">
        <v>509</v>
      </c>
      <c r="B24" s="39" t="s">
        <v>510</v>
      </c>
      <c r="C24" s="78" t="s">
        <v>506</v>
      </c>
      <c r="D24" s="149">
        <v>1</v>
      </c>
      <c r="E24" s="52">
        <v>3856.65</v>
      </c>
      <c r="F24" s="53">
        <f t="shared" si="0"/>
        <v>3856.65</v>
      </c>
    </row>
    <row r="25" spans="1:6" x14ac:dyDescent="0.25">
      <c r="A25" s="148" t="s">
        <v>511</v>
      </c>
      <c r="B25" s="39" t="s">
        <v>512</v>
      </c>
      <c r="C25" s="119" t="s">
        <v>488</v>
      </c>
      <c r="D25" s="115">
        <v>1</v>
      </c>
      <c r="E25" s="52">
        <v>13467.666666666666</v>
      </c>
      <c r="F25" s="53">
        <f t="shared" si="0"/>
        <v>13467.666666666666</v>
      </c>
    </row>
    <row r="26" spans="1:6" ht="37.5" x14ac:dyDescent="0.25">
      <c r="A26" s="148" t="s">
        <v>513</v>
      </c>
      <c r="B26" s="39" t="s">
        <v>514</v>
      </c>
      <c r="C26" s="119" t="s">
        <v>488</v>
      </c>
      <c r="D26" s="115">
        <v>1</v>
      </c>
      <c r="E26" s="52">
        <v>5515.0099999999993</v>
      </c>
      <c r="F26" s="53">
        <f t="shared" si="0"/>
        <v>5515.0099999999993</v>
      </c>
    </row>
    <row r="27" spans="1:6" ht="26.45" customHeight="1" x14ac:dyDescent="0.25">
      <c r="A27" s="148" t="s">
        <v>515</v>
      </c>
      <c r="B27" s="39" t="s">
        <v>516</v>
      </c>
      <c r="C27" s="119" t="s">
        <v>488</v>
      </c>
      <c r="D27" s="115">
        <v>1</v>
      </c>
      <c r="E27" s="52">
        <v>2342.2733333333331</v>
      </c>
      <c r="F27" s="53">
        <f t="shared" si="0"/>
        <v>2342.2733333333331</v>
      </c>
    </row>
    <row r="28" spans="1:6" ht="26.25" customHeight="1" x14ac:dyDescent="0.25">
      <c r="A28" s="150" t="s">
        <v>517</v>
      </c>
      <c r="B28" s="150"/>
      <c r="C28" s="151"/>
      <c r="D28" s="151"/>
      <c r="E28" s="152"/>
      <c r="F28" s="153">
        <f>SUM(F11:F27)</f>
        <v>269104.43666666665</v>
      </c>
    </row>
    <row r="29" spans="1:6" x14ac:dyDescent="0.25">
      <c r="A29" s="145">
        <v>9.1999999999999993</v>
      </c>
      <c r="B29" s="37" t="s">
        <v>518</v>
      </c>
      <c r="C29" s="119"/>
      <c r="D29" s="115"/>
      <c r="E29" s="54"/>
      <c r="F29" s="55"/>
    </row>
    <row r="30" spans="1:6" x14ac:dyDescent="0.25">
      <c r="A30" s="61" t="s">
        <v>519</v>
      </c>
      <c r="B30" s="39" t="s">
        <v>516</v>
      </c>
      <c r="C30" s="119" t="s">
        <v>485</v>
      </c>
      <c r="D30" s="115">
        <v>1</v>
      </c>
      <c r="E30" s="52">
        <v>13883.939999999999</v>
      </c>
      <c r="F30" s="55">
        <f t="shared" ref="F30:F37" si="1">D30*E30</f>
        <v>13883.939999999999</v>
      </c>
    </row>
    <row r="31" spans="1:6" x14ac:dyDescent="0.25">
      <c r="A31" s="61" t="s">
        <v>520</v>
      </c>
      <c r="B31" s="39" t="s">
        <v>521</v>
      </c>
      <c r="C31" s="119" t="s">
        <v>485</v>
      </c>
      <c r="D31" s="115">
        <v>1</v>
      </c>
      <c r="E31" s="52">
        <v>48850.9</v>
      </c>
      <c r="F31" s="55">
        <f t="shared" si="1"/>
        <v>48850.9</v>
      </c>
    </row>
    <row r="32" spans="1:6" x14ac:dyDescent="0.25">
      <c r="A32" s="61" t="s">
        <v>522</v>
      </c>
      <c r="B32" s="39" t="s">
        <v>523</v>
      </c>
      <c r="C32" s="119" t="s">
        <v>485</v>
      </c>
      <c r="D32" s="115">
        <v>1</v>
      </c>
      <c r="E32" s="52">
        <v>19283.25</v>
      </c>
      <c r="F32" s="55">
        <f t="shared" si="1"/>
        <v>19283.25</v>
      </c>
    </row>
    <row r="33" spans="1:6" x14ac:dyDescent="0.25">
      <c r="A33" s="61" t="s">
        <v>524</v>
      </c>
      <c r="B33" s="39" t="s">
        <v>525</v>
      </c>
      <c r="C33" s="119" t="s">
        <v>485</v>
      </c>
      <c r="D33" s="115">
        <v>1</v>
      </c>
      <c r="E33" s="52">
        <v>20825.91</v>
      </c>
      <c r="F33" s="55">
        <f t="shared" si="1"/>
        <v>20825.91</v>
      </c>
    </row>
    <row r="34" spans="1:6" x14ac:dyDescent="0.25">
      <c r="A34" s="61" t="s">
        <v>526</v>
      </c>
      <c r="B34" s="39" t="s">
        <v>527</v>
      </c>
      <c r="C34" s="119" t="s">
        <v>485</v>
      </c>
      <c r="D34" s="115">
        <v>1</v>
      </c>
      <c r="E34" s="52">
        <v>17354.926666666666</v>
      </c>
      <c r="F34" s="55">
        <f t="shared" si="1"/>
        <v>17354.926666666666</v>
      </c>
    </row>
    <row r="35" spans="1:6" x14ac:dyDescent="0.25">
      <c r="A35" s="61" t="s">
        <v>528</v>
      </c>
      <c r="B35" s="39" t="s">
        <v>529</v>
      </c>
      <c r="C35" s="119" t="s">
        <v>485</v>
      </c>
      <c r="D35" s="115">
        <v>1</v>
      </c>
      <c r="E35" s="52">
        <v>642.77666666666664</v>
      </c>
      <c r="F35" s="55">
        <f t="shared" si="1"/>
        <v>642.77666666666664</v>
      </c>
    </row>
    <row r="36" spans="1:6" x14ac:dyDescent="0.25">
      <c r="A36" s="61" t="s">
        <v>530</v>
      </c>
      <c r="B36" s="39" t="s">
        <v>531</v>
      </c>
      <c r="C36" s="119" t="s">
        <v>485</v>
      </c>
      <c r="D36" s="115">
        <v>1</v>
      </c>
      <c r="E36" s="52">
        <v>5913.53</v>
      </c>
      <c r="F36" s="55">
        <f t="shared" si="1"/>
        <v>5913.53</v>
      </c>
    </row>
    <row r="37" spans="1:6" x14ac:dyDescent="0.25">
      <c r="A37" s="61" t="s">
        <v>532</v>
      </c>
      <c r="B37" s="39" t="s">
        <v>533</v>
      </c>
      <c r="C37" s="119" t="s">
        <v>485</v>
      </c>
      <c r="D37" s="115">
        <v>1</v>
      </c>
      <c r="E37" s="52">
        <v>1028.44</v>
      </c>
      <c r="F37" s="55">
        <f t="shared" si="1"/>
        <v>1028.44</v>
      </c>
    </row>
    <row r="38" spans="1:6" ht="27.75" customHeight="1" x14ac:dyDescent="0.25">
      <c r="A38" s="150" t="s">
        <v>534</v>
      </c>
      <c r="B38" s="150"/>
      <c r="C38" s="151"/>
      <c r="D38" s="151"/>
      <c r="E38" s="152"/>
      <c r="F38" s="153">
        <f>SUM(F30:F37)</f>
        <v>127783.67333333334</v>
      </c>
    </row>
    <row r="39" spans="1:6" ht="40.5" customHeight="1" x14ac:dyDescent="0.25">
      <c r="A39" s="84">
        <v>9.3000000000000007</v>
      </c>
      <c r="B39" s="37" t="s">
        <v>535</v>
      </c>
      <c r="C39" s="119"/>
      <c r="D39" s="115"/>
      <c r="E39" s="54"/>
      <c r="F39" s="55"/>
    </row>
    <row r="40" spans="1:6" x14ac:dyDescent="0.25">
      <c r="A40" s="85" t="s">
        <v>536</v>
      </c>
      <c r="B40" s="121" t="s">
        <v>537</v>
      </c>
      <c r="C40" s="119" t="s">
        <v>485</v>
      </c>
      <c r="D40" s="115">
        <v>1</v>
      </c>
      <c r="E40" s="54">
        <v>4316.666666666667</v>
      </c>
      <c r="F40" s="55">
        <f t="shared" ref="F40:F64" si="2">D40*E40</f>
        <v>4316.666666666667</v>
      </c>
    </row>
    <row r="41" spans="1:6" x14ac:dyDescent="0.25">
      <c r="A41" s="85" t="s">
        <v>538</v>
      </c>
      <c r="B41" s="121" t="s">
        <v>539</v>
      </c>
      <c r="C41" s="119" t="s">
        <v>485</v>
      </c>
      <c r="D41" s="115">
        <v>1</v>
      </c>
      <c r="E41" s="54">
        <v>1963.3333333333335</v>
      </c>
      <c r="F41" s="55">
        <f t="shared" si="2"/>
        <v>1963.3333333333335</v>
      </c>
    </row>
    <row r="42" spans="1:6" x14ac:dyDescent="0.25">
      <c r="A42" s="85" t="s">
        <v>540</v>
      </c>
      <c r="B42" s="121" t="s">
        <v>541</v>
      </c>
      <c r="C42" s="119" t="s">
        <v>485</v>
      </c>
      <c r="D42" s="115">
        <v>1</v>
      </c>
      <c r="E42" s="54">
        <v>4906.666666666667</v>
      </c>
      <c r="F42" s="55">
        <f t="shared" si="2"/>
        <v>4906.666666666667</v>
      </c>
    </row>
    <row r="43" spans="1:6" x14ac:dyDescent="0.25">
      <c r="A43" s="85" t="s">
        <v>542</v>
      </c>
      <c r="B43" s="121" t="s">
        <v>543</v>
      </c>
      <c r="C43" s="119" t="s">
        <v>485</v>
      </c>
      <c r="D43" s="115">
        <v>1</v>
      </c>
      <c r="E43" s="54">
        <v>4906.666666666667</v>
      </c>
      <c r="F43" s="55">
        <f t="shared" si="2"/>
        <v>4906.666666666667</v>
      </c>
    </row>
    <row r="44" spans="1:6" x14ac:dyDescent="0.25">
      <c r="A44" s="85" t="s">
        <v>544</v>
      </c>
      <c r="B44" s="121" t="s">
        <v>545</v>
      </c>
      <c r="C44" s="119" t="s">
        <v>485</v>
      </c>
      <c r="D44" s="115">
        <v>1</v>
      </c>
      <c r="E44" s="54">
        <v>1963.3333333333335</v>
      </c>
      <c r="F44" s="55">
        <f t="shared" si="2"/>
        <v>1963.3333333333335</v>
      </c>
    </row>
    <row r="45" spans="1:6" x14ac:dyDescent="0.25">
      <c r="A45" s="85" t="s">
        <v>546</v>
      </c>
      <c r="B45" s="121" t="s">
        <v>547</v>
      </c>
      <c r="C45" s="119" t="s">
        <v>485</v>
      </c>
      <c r="D45" s="115">
        <v>1</v>
      </c>
      <c r="E45" s="54">
        <v>3926.666666666667</v>
      </c>
      <c r="F45" s="55">
        <f t="shared" si="2"/>
        <v>3926.666666666667</v>
      </c>
    </row>
    <row r="46" spans="1:6" x14ac:dyDescent="0.25">
      <c r="A46" s="85" t="s">
        <v>548</v>
      </c>
      <c r="B46" s="121" t="s">
        <v>549</v>
      </c>
      <c r="C46" s="119" t="s">
        <v>485</v>
      </c>
      <c r="D46" s="115">
        <v>1</v>
      </c>
      <c r="E46" s="54">
        <v>3926.666666666667</v>
      </c>
      <c r="F46" s="55">
        <f t="shared" si="2"/>
        <v>3926.666666666667</v>
      </c>
    </row>
    <row r="47" spans="1:6" x14ac:dyDescent="0.25">
      <c r="A47" s="85" t="s">
        <v>550</v>
      </c>
      <c r="B47" s="121" t="s">
        <v>551</v>
      </c>
      <c r="C47" s="119" t="s">
        <v>485</v>
      </c>
      <c r="D47" s="115">
        <v>1</v>
      </c>
      <c r="E47" s="54">
        <v>4906.666666666667</v>
      </c>
      <c r="F47" s="55">
        <f t="shared" si="2"/>
        <v>4906.666666666667</v>
      </c>
    </row>
    <row r="48" spans="1:6" x14ac:dyDescent="0.25">
      <c r="A48" s="85" t="s">
        <v>552</v>
      </c>
      <c r="B48" s="121" t="s">
        <v>553</v>
      </c>
      <c r="C48" s="119" t="s">
        <v>485</v>
      </c>
      <c r="D48" s="115">
        <v>1</v>
      </c>
      <c r="E48" s="54">
        <v>15700.000000000002</v>
      </c>
      <c r="F48" s="55">
        <f t="shared" si="2"/>
        <v>15700.000000000002</v>
      </c>
    </row>
    <row r="49" spans="1:6" x14ac:dyDescent="0.25">
      <c r="A49" s="85" t="s">
        <v>554</v>
      </c>
      <c r="B49" s="121" t="s">
        <v>555</v>
      </c>
      <c r="C49" s="119" t="s">
        <v>485</v>
      </c>
      <c r="D49" s="115">
        <v>1</v>
      </c>
      <c r="E49" s="54">
        <v>4906.666666666667</v>
      </c>
      <c r="F49" s="55">
        <f t="shared" si="2"/>
        <v>4906.666666666667</v>
      </c>
    </row>
    <row r="50" spans="1:6" x14ac:dyDescent="0.25">
      <c r="A50" s="85" t="s">
        <v>556</v>
      </c>
      <c r="B50" s="89" t="s">
        <v>749</v>
      </c>
      <c r="C50" s="119" t="s">
        <v>485</v>
      </c>
      <c r="D50" s="115">
        <v>1</v>
      </c>
      <c r="E50" s="54">
        <v>0</v>
      </c>
      <c r="F50" s="55">
        <f t="shared" si="2"/>
        <v>0</v>
      </c>
    </row>
    <row r="51" spans="1:6" x14ac:dyDescent="0.25">
      <c r="A51" s="85" t="s">
        <v>557</v>
      </c>
      <c r="B51" s="89" t="s">
        <v>750</v>
      </c>
      <c r="C51" s="119" t="s">
        <v>485</v>
      </c>
      <c r="D51" s="115">
        <v>1</v>
      </c>
      <c r="E51" s="54">
        <v>0</v>
      </c>
      <c r="F51" s="55">
        <f t="shared" si="2"/>
        <v>0</v>
      </c>
    </row>
    <row r="52" spans="1:6" x14ac:dyDescent="0.25">
      <c r="A52" s="85" t="s">
        <v>558</v>
      </c>
      <c r="B52" s="89" t="s">
        <v>559</v>
      </c>
      <c r="C52" s="119" t="s">
        <v>485</v>
      </c>
      <c r="D52" s="115">
        <v>1</v>
      </c>
      <c r="E52" s="54">
        <v>393.33333333333337</v>
      </c>
      <c r="F52" s="55">
        <f t="shared" si="2"/>
        <v>393.33333333333337</v>
      </c>
    </row>
    <row r="53" spans="1:6" ht="37.5" x14ac:dyDescent="0.25">
      <c r="A53" s="85" t="s">
        <v>560</v>
      </c>
      <c r="B53" s="89" t="s">
        <v>561</v>
      </c>
      <c r="C53" s="119" t="s">
        <v>485</v>
      </c>
      <c r="D53" s="115">
        <v>1</v>
      </c>
      <c r="E53" s="54">
        <v>3926.666666666667</v>
      </c>
      <c r="F53" s="55">
        <f t="shared" si="2"/>
        <v>3926.666666666667</v>
      </c>
    </row>
    <row r="54" spans="1:6" x14ac:dyDescent="0.25">
      <c r="A54" s="85" t="s">
        <v>562</v>
      </c>
      <c r="B54" s="154" t="s">
        <v>751</v>
      </c>
      <c r="C54" s="119" t="s">
        <v>485</v>
      </c>
      <c r="D54" s="115">
        <v>1</v>
      </c>
      <c r="E54" s="54">
        <v>0</v>
      </c>
      <c r="F54" s="55">
        <f t="shared" si="2"/>
        <v>0</v>
      </c>
    </row>
    <row r="55" spans="1:6" ht="37.9" customHeight="1" x14ac:dyDescent="0.25">
      <c r="A55" s="85" t="s">
        <v>563</v>
      </c>
      <c r="B55" s="121" t="s">
        <v>752</v>
      </c>
      <c r="C55" s="119" t="s">
        <v>485</v>
      </c>
      <c r="D55" s="115">
        <v>1</v>
      </c>
      <c r="E55" s="54">
        <v>0</v>
      </c>
      <c r="F55" s="55">
        <f t="shared" si="2"/>
        <v>0</v>
      </c>
    </row>
    <row r="56" spans="1:6" x14ac:dyDescent="0.25">
      <c r="A56" s="85" t="s">
        <v>564</v>
      </c>
      <c r="B56" s="121" t="s">
        <v>565</v>
      </c>
      <c r="C56" s="119" t="s">
        <v>485</v>
      </c>
      <c r="D56" s="115">
        <v>1</v>
      </c>
      <c r="E56" s="54">
        <v>1963.3333333333335</v>
      </c>
      <c r="F56" s="55">
        <f t="shared" si="2"/>
        <v>1963.3333333333335</v>
      </c>
    </row>
    <row r="57" spans="1:6" x14ac:dyDescent="0.25">
      <c r="A57" s="85" t="s">
        <v>566</v>
      </c>
      <c r="B57" s="121" t="s">
        <v>567</v>
      </c>
      <c r="C57" s="119" t="s">
        <v>485</v>
      </c>
      <c r="D57" s="115">
        <v>1</v>
      </c>
      <c r="E57" s="54">
        <v>590.00000000000011</v>
      </c>
      <c r="F57" s="55">
        <f t="shared" si="2"/>
        <v>590.00000000000011</v>
      </c>
    </row>
    <row r="58" spans="1:6" x14ac:dyDescent="0.25">
      <c r="A58" s="85" t="s">
        <v>568</v>
      </c>
      <c r="B58" s="121" t="s">
        <v>569</v>
      </c>
      <c r="C58" s="119" t="s">
        <v>485</v>
      </c>
      <c r="D58" s="115">
        <v>1</v>
      </c>
      <c r="E58" s="54">
        <v>2943.3333333333335</v>
      </c>
      <c r="F58" s="55">
        <f t="shared" si="2"/>
        <v>2943.3333333333335</v>
      </c>
    </row>
    <row r="59" spans="1:6" x14ac:dyDescent="0.25">
      <c r="A59" s="85" t="s">
        <v>570</v>
      </c>
      <c r="B59" s="121" t="s">
        <v>571</v>
      </c>
      <c r="C59" s="119" t="s">
        <v>485</v>
      </c>
      <c r="D59" s="115">
        <v>1</v>
      </c>
      <c r="E59" s="54">
        <v>7066.6666666666679</v>
      </c>
      <c r="F59" s="55">
        <f t="shared" si="2"/>
        <v>7066.6666666666679</v>
      </c>
    </row>
    <row r="60" spans="1:6" x14ac:dyDescent="0.25">
      <c r="A60" s="85" t="s">
        <v>572</v>
      </c>
      <c r="B60" s="121" t="s">
        <v>573</v>
      </c>
      <c r="C60" s="119" t="s">
        <v>485</v>
      </c>
      <c r="D60" s="115">
        <v>1</v>
      </c>
      <c r="E60" s="54">
        <v>980.00000000000011</v>
      </c>
      <c r="F60" s="55">
        <f t="shared" si="2"/>
        <v>980.00000000000011</v>
      </c>
    </row>
    <row r="61" spans="1:6" x14ac:dyDescent="0.25">
      <c r="A61" s="85" t="s">
        <v>574</v>
      </c>
      <c r="B61" s="121" t="s">
        <v>575</v>
      </c>
      <c r="C61" s="119" t="s">
        <v>485</v>
      </c>
      <c r="D61" s="115">
        <v>1</v>
      </c>
      <c r="E61" s="54">
        <v>196.66666666666669</v>
      </c>
      <c r="F61" s="55">
        <f t="shared" si="2"/>
        <v>196.66666666666669</v>
      </c>
    </row>
    <row r="62" spans="1:6" ht="37.5" x14ac:dyDescent="0.25">
      <c r="A62" s="85" t="s">
        <v>576</v>
      </c>
      <c r="B62" s="121" t="s">
        <v>577</v>
      </c>
      <c r="C62" s="119" t="s">
        <v>485</v>
      </c>
      <c r="D62" s="115">
        <v>1</v>
      </c>
      <c r="E62" s="54">
        <v>14720.000000000002</v>
      </c>
      <c r="F62" s="55">
        <f t="shared" si="2"/>
        <v>14720.000000000002</v>
      </c>
    </row>
    <row r="63" spans="1:6" x14ac:dyDescent="0.25">
      <c r="A63" s="85" t="s">
        <v>578</v>
      </c>
      <c r="B63" s="121" t="s">
        <v>579</v>
      </c>
      <c r="C63" s="119" t="s">
        <v>485</v>
      </c>
      <c r="D63" s="115">
        <v>1</v>
      </c>
      <c r="E63" s="54">
        <v>51520.000000000007</v>
      </c>
      <c r="F63" s="55">
        <f t="shared" si="2"/>
        <v>51520.000000000007</v>
      </c>
    </row>
    <row r="64" spans="1:6" ht="37.5" x14ac:dyDescent="0.25">
      <c r="A64" s="85" t="s">
        <v>580</v>
      </c>
      <c r="B64" s="121" t="s">
        <v>581</v>
      </c>
      <c r="C64" s="119" t="s">
        <v>485</v>
      </c>
      <c r="D64" s="115">
        <v>1</v>
      </c>
      <c r="E64" s="54">
        <v>6870.0000000000009</v>
      </c>
      <c r="F64" s="55">
        <f t="shared" si="2"/>
        <v>6870.0000000000009</v>
      </c>
    </row>
    <row r="65" spans="1:6" ht="29.25" customHeight="1" x14ac:dyDescent="0.25">
      <c r="A65" s="150" t="s">
        <v>582</v>
      </c>
      <c r="B65" s="150"/>
      <c r="C65" s="151"/>
      <c r="D65" s="151"/>
      <c r="E65" s="152"/>
      <c r="F65" s="153">
        <f>SUM(F40:F64)</f>
        <v>142593.33333333334</v>
      </c>
    </row>
    <row r="66" spans="1:6" ht="27.75" customHeight="1" x14ac:dyDescent="0.25">
      <c r="A66" s="84">
        <v>9.4</v>
      </c>
      <c r="B66" s="138" t="s">
        <v>583</v>
      </c>
      <c r="C66" s="119"/>
      <c r="D66" s="115"/>
      <c r="E66" s="54"/>
      <c r="F66" s="55"/>
    </row>
    <row r="67" spans="1:6" x14ac:dyDescent="0.25">
      <c r="A67" s="85" t="s">
        <v>584</v>
      </c>
      <c r="B67" s="89" t="s">
        <v>585</v>
      </c>
      <c r="C67" s="119" t="s">
        <v>485</v>
      </c>
      <c r="D67" s="115">
        <v>1</v>
      </c>
      <c r="E67" s="54">
        <v>8500</v>
      </c>
      <c r="F67" s="55">
        <f>D67*E67</f>
        <v>8500</v>
      </c>
    </row>
    <row r="68" spans="1:6" x14ac:dyDescent="0.25">
      <c r="A68" s="85" t="s">
        <v>586</v>
      </c>
      <c r="B68" s="89" t="s">
        <v>587</v>
      </c>
      <c r="C68" s="119" t="s">
        <v>488</v>
      </c>
      <c r="D68" s="115">
        <v>1</v>
      </c>
      <c r="E68" s="54">
        <v>4933.333333333333</v>
      </c>
      <c r="F68" s="55">
        <f>D68*E68</f>
        <v>4933.333333333333</v>
      </c>
    </row>
    <row r="69" spans="1:6" x14ac:dyDescent="0.25">
      <c r="A69" s="85" t="s">
        <v>588</v>
      </c>
      <c r="B69" s="89" t="s">
        <v>589</v>
      </c>
      <c r="C69" s="119" t="s">
        <v>485</v>
      </c>
      <c r="D69" s="115">
        <v>1</v>
      </c>
      <c r="E69" s="54">
        <v>1300</v>
      </c>
      <c r="F69" s="55">
        <f>D69*E69</f>
        <v>1300</v>
      </c>
    </row>
    <row r="70" spans="1:6" x14ac:dyDescent="0.25">
      <c r="A70" s="85" t="s">
        <v>590</v>
      </c>
      <c r="B70" s="89" t="s">
        <v>591</v>
      </c>
      <c r="C70" s="119" t="s">
        <v>485</v>
      </c>
      <c r="D70" s="115">
        <v>1</v>
      </c>
      <c r="E70" s="54">
        <v>4166.6666666666661</v>
      </c>
      <c r="F70" s="55">
        <f>D70*E70</f>
        <v>4166.6666666666661</v>
      </c>
    </row>
    <row r="71" spans="1:6" ht="33" customHeight="1" x14ac:dyDescent="0.25">
      <c r="A71" s="150" t="s">
        <v>592</v>
      </c>
      <c r="B71" s="150"/>
      <c r="C71" s="151"/>
      <c r="D71" s="151"/>
      <c r="E71" s="152"/>
      <c r="F71" s="153">
        <f>SUM(F67:F70)</f>
        <v>18900</v>
      </c>
    </row>
    <row r="72" spans="1:6" ht="36.75" customHeight="1" x14ac:dyDescent="0.25">
      <c r="A72" s="84">
        <v>9.5</v>
      </c>
      <c r="B72" s="138" t="s">
        <v>593</v>
      </c>
      <c r="C72" s="119"/>
      <c r="D72" s="115"/>
      <c r="E72" s="54"/>
      <c r="F72" s="55"/>
    </row>
    <row r="73" spans="1:6" x14ac:dyDescent="0.25">
      <c r="A73" s="85" t="s">
        <v>594</v>
      </c>
      <c r="B73" s="89" t="s">
        <v>595</v>
      </c>
      <c r="C73" s="119" t="s">
        <v>485</v>
      </c>
      <c r="D73" s="115">
        <v>1</v>
      </c>
      <c r="E73" s="54">
        <v>5266.1533333333327</v>
      </c>
      <c r="F73" s="55">
        <f t="shared" ref="F73:F85" si="3">D73*E73</f>
        <v>5266.1533333333327</v>
      </c>
    </row>
    <row r="74" spans="1:6" x14ac:dyDescent="0.25">
      <c r="A74" s="85" t="s">
        <v>596</v>
      </c>
      <c r="B74" s="89" t="s">
        <v>597</v>
      </c>
      <c r="C74" s="119" t="s">
        <v>485</v>
      </c>
      <c r="D74" s="115">
        <v>1</v>
      </c>
      <c r="E74" s="54">
        <v>5266.1533333333327</v>
      </c>
      <c r="F74" s="55">
        <f t="shared" si="3"/>
        <v>5266.1533333333327</v>
      </c>
    </row>
    <row r="75" spans="1:6" x14ac:dyDescent="0.25">
      <c r="A75" s="85" t="s">
        <v>598</v>
      </c>
      <c r="B75" s="89" t="s">
        <v>599</v>
      </c>
      <c r="C75" s="119" t="s">
        <v>485</v>
      </c>
      <c r="D75" s="115">
        <v>1</v>
      </c>
      <c r="E75" s="54">
        <v>5266.1533333333327</v>
      </c>
      <c r="F75" s="55">
        <f t="shared" si="3"/>
        <v>5266.1533333333327</v>
      </c>
    </row>
    <row r="76" spans="1:6" x14ac:dyDescent="0.25">
      <c r="A76" s="85" t="s">
        <v>600</v>
      </c>
      <c r="B76" s="89" t="s">
        <v>601</v>
      </c>
      <c r="C76" s="119" t="s">
        <v>485</v>
      </c>
      <c r="D76" s="115">
        <v>1</v>
      </c>
      <c r="E76" s="54">
        <v>5266.1533333333327</v>
      </c>
      <c r="F76" s="55">
        <f t="shared" si="3"/>
        <v>5266.1533333333327</v>
      </c>
    </row>
    <row r="77" spans="1:6" x14ac:dyDescent="0.25">
      <c r="A77" s="85" t="s">
        <v>602</v>
      </c>
      <c r="B77" s="89" t="s">
        <v>603</v>
      </c>
      <c r="C77" s="119" t="s">
        <v>485</v>
      </c>
      <c r="D77" s="115">
        <v>1</v>
      </c>
      <c r="E77" s="54">
        <v>5266.1533333333327</v>
      </c>
      <c r="F77" s="55">
        <f t="shared" si="3"/>
        <v>5266.1533333333327</v>
      </c>
    </row>
    <row r="78" spans="1:6" x14ac:dyDescent="0.25">
      <c r="A78" s="85" t="s">
        <v>604</v>
      </c>
      <c r="B78" s="89" t="s">
        <v>605</v>
      </c>
      <c r="C78" s="119" t="s">
        <v>485</v>
      </c>
      <c r="D78" s="115">
        <v>1</v>
      </c>
      <c r="E78" s="54">
        <v>5266.1533333333327</v>
      </c>
      <c r="F78" s="55">
        <f t="shared" si="3"/>
        <v>5266.1533333333327</v>
      </c>
    </row>
    <row r="79" spans="1:6" x14ac:dyDescent="0.25">
      <c r="A79" s="85" t="s">
        <v>606</v>
      </c>
      <c r="B79" s="89" t="s">
        <v>607</v>
      </c>
      <c r="C79" s="119" t="s">
        <v>485</v>
      </c>
      <c r="D79" s="115">
        <v>1</v>
      </c>
      <c r="E79" s="54">
        <v>5266.1533333333327</v>
      </c>
      <c r="F79" s="55">
        <f t="shared" si="3"/>
        <v>5266.1533333333327</v>
      </c>
    </row>
    <row r="80" spans="1:6" x14ac:dyDescent="0.25">
      <c r="A80" s="85" t="s">
        <v>608</v>
      </c>
      <c r="B80" s="89" t="s">
        <v>609</v>
      </c>
      <c r="C80" s="119" t="s">
        <v>52</v>
      </c>
      <c r="D80" s="115">
        <v>1</v>
      </c>
      <c r="E80" s="54">
        <v>5266.1533333333327</v>
      </c>
      <c r="F80" s="55">
        <f t="shared" si="3"/>
        <v>5266.1533333333327</v>
      </c>
    </row>
    <row r="81" spans="1:6" x14ac:dyDescent="0.25">
      <c r="A81" s="85" t="s">
        <v>610</v>
      </c>
      <c r="B81" s="120" t="s">
        <v>611</v>
      </c>
      <c r="C81" s="119" t="s">
        <v>485</v>
      </c>
      <c r="D81" s="115">
        <v>1</v>
      </c>
      <c r="E81" s="54">
        <v>5266.1533333333327</v>
      </c>
      <c r="F81" s="55">
        <f t="shared" si="3"/>
        <v>5266.1533333333327</v>
      </c>
    </row>
    <row r="82" spans="1:6" x14ac:dyDescent="0.25">
      <c r="A82" s="85" t="s">
        <v>612</v>
      </c>
      <c r="B82" s="89" t="s">
        <v>613</v>
      </c>
      <c r="C82" s="119" t="s">
        <v>485</v>
      </c>
      <c r="D82" s="115">
        <v>1</v>
      </c>
      <c r="E82" s="54">
        <v>5266.1533333333327</v>
      </c>
      <c r="F82" s="55">
        <f t="shared" si="3"/>
        <v>5266.1533333333327</v>
      </c>
    </row>
    <row r="83" spans="1:6" x14ac:dyDescent="0.25">
      <c r="A83" s="85" t="s">
        <v>614</v>
      </c>
      <c r="B83" s="89" t="s">
        <v>615</v>
      </c>
      <c r="C83" s="119" t="s">
        <v>485</v>
      </c>
      <c r="D83" s="115">
        <v>1</v>
      </c>
      <c r="E83" s="54">
        <v>5266.1533333333327</v>
      </c>
      <c r="F83" s="55">
        <f t="shared" si="3"/>
        <v>5266.1533333333327</v>
      </c>
    </row>
    <row r="84" spans="1:6" x14ac:dyDescent="0.25">
      <c r="A84" s="85" t="s">
        <v>616</v>
      </c>
      <c r="B84" s="89" t="s">
        <v>617</v>
      </c>
      <c r="C84" s="119" t="s">
        <v>485</v>
      </c>
      <c r="D84" s="115">
        <v>1</v>
      </c>
      <c r="E84" s="54">
        <v>5266.1533333333327</v>
      </c>
      <c r="F84" s="55">
        <f t="shared" si="3"/>
        <v>5266.1533333333327</v>
      </c>
    </row>
    <row r="85" spans="1:6" x14ac:dyDescent="0.25">
      <c r="A85" s="85" t="s">
        <v>618</v>
      </c>
      <c r="B85" s="89" t="s">
        <v>619</v>
      </c>
      <c r="C85" s="119" t="s">
        <v>485</v>
      </c>
      <c r="D85" s="115">
        <v>1</v>
      </c>
      <c r="E85" s="54">
        <v>5266.1533333333327</v>
      </c>
      <c r="F85" s="55">
        <f t="shared" si="3"/>
        <v>5266.1533333333327</v>
      </c>
    </row>
    <row r="86" spans="1:6" ht="24" customHeight="1" x14ac:dyDescent="0.25">
      <c r="A86" s="150" t="s">
        <v>620</v>
      </c>
      <c r="B86" s="150"/>
      <c r="C86" s="151"/>
      <c r="D86" s="151"/>
      <c r="E86" s="152"/>
      <c r="F86" s="153">
        <f>SUM(F73:F85)</f>
        <v>68459.993333333332</v>
      </c>
    </row>
    <row r="87" spans="1:6" x14ac:dyDescent="0.25">
      <c r="A87" s="84">
        <v>9.6</v>
      </c>
      <c r="B87" s="138" t="s">
        <v>621</v>
      </c>
      <c r="C87" s="119"/>
      <c r="D87" s="115"/>
      <c r="E87" s="54"/>
      <c r="F87" s="55"/>
    </row>
    <row r="88" spans="1:6" ht="36" customHeight="1" x14ac:dyDescent="0.25">
      <c r="A88" s="85" t="s">
        <v>622</v>
      </c>
      <c r="B88" s="89" t="s">
        <v>748</v>
      </c>
      <c r="C88" s="119" t="s">
        <v>485</v>
      </c>
      <c r="D88" s="115">
        <v>1</v>
      </c>
      <c r="E88" s="54">
        <v>0</v>
      </c>
      <c r="F88" s="55">
        <f>D88*E88</f>
        <v>0</v>
      </c>
    </row>
    <row r="89" spans="1:6" ht="29.25" customHeight="1" x14ac:dyDescent="0.25">
      <c r="A89" s="85" t="s">
        <v>623</v>
      </c>
      <c r="B89" s="89" t="s">
        <v>747</v>
      </c>
      <c r="C89" s="119" t="s">
        <v>488</v>
      </c>
      <c r="D89" s="115">
        <v>1</v>
      </c>
      <c r="E89" s="54">
        <v>0</v>
      </c>
      <c r="F89" s="55">
        <f>D89*E89</f>
        <v>0</v>
      </c>
    </row>
    <row r="90" spans="1:6" ht="29.25" customHeight="1" x14ac:dyDescent="0.25">
      <c r="A90" s="85" t="s">
        <v>624</v>
      </c>
      <c r="B90" s="120" t="s">
        <v>625</v>
      </c>
      <c r="C90" s="119" t="s">
        <v>485</v>
      </c>
      <c r="D90" s="115">
        <v>1</v>
      </c>
      <c r="E90" s="54">
        <v>32138.750000000004</v>
      </c>
      <c r="F90" s="55">
        <f>D90*E90</f>
        <v>32138.750000000004</v>
      </c>
    </row>
    <row r="91" spans="1:6" x14ac:dyDescent="0.25">
      <c r="A91" s="84">
        <v>9.6999999999999993</v>
      </c>
      <c r="B91" s="138" t="s">
        <v>626</v>
      </c>
      <c r="C91" s="119"/>
      <c r="D91" s="115"/>
      <c r="E91" s="54">
        <v>0</v>
      </c>
      <c r="F91" s="55"/>
    </row>
    <row r="92" spans="1:6" ht="34.9" customHeight="1" x14ac:dyDescent="0.25">
      <c r="A92" s="85" t="s">
        <v>627</v>
      </c>
      <c r="B92" s="89" t="s">
        <v>628</v>
      </c>
      <c r="C92" s="119" t="s">
        <v>485</v>
      </c>
      <c r="D92" s="115">
        <v>1</v>
      </c>
      <c r="E92" s="54">
        <v>189968.00000000003</v>
      </c>
      <c r="F92" s="55">
        <f>D92*E92</f>
        <v>189968.00000000003</v>
      </c>
    </row>
    <row r="93" spans="1:6" ht="34.9" customHeight="1" x14ac:dyDescent="0.25">
      <c r="A93" s="85" t="s">
        <v>629</v>
      </c>
      <c r="B93" s="89" t="s">
        <v>630</v>
      </c>
      <c r="C93" s="119" t="s">
        <v>485</v>
      </c>
      <c r="D93" s="115">
        <v>1</v>
      </c>
      <c r="E93" s="54">
        <v>10005.000000000002</v>
      </c>
      <c r="F93" s="55">
        <f>D93*E93</f>
        <v>10005.000000000002</v>
      </c>
    </row>
    <row r="94" spans="1:6" ht="24.75" customHeight="1" x14ac:dyDescent="0.25">
      <c r="A94" s="85" t="s">
        <v>631</v>
      </c>
      <c r="B94" s="89" t="s">
        <v>632</v>
      </c>
      <c r="C94" s="119" t="s">
        <v>485</v>
      </c>
      <c r="D94" s="115">
        <v>1</v>
      </c>
      <c r="E94" s="54">
        <v>10005.000000000002</v>
      </c>
      <c r="F94" s="55">
        <f>D94*E94</f>
        <v>10005.000000000002</v>
      </c>
    </row>
    <row r="95" spans="1:6" ht="24.75" customHeight="1" x14ac:dyDescent="0.25">
      <c r="A95" s="85" t="s">
        <v>633</v>
      </c>
      <c r="B95" s="89" t="s">
        <v>743</v>
      </c>
      <c r="C95" s="119" t="s">
        <v>485</v>
      </c>
      <c r="D95" s="115">
        <v>1</v>
      </c>
      <c r="E95" s="54">
        <v>0</v>
      </c>
      <c r="F95" s="55">
        <f>D95*E95</f>
        <v>0</v>
      </c>
    </row>
    <row r="96" spans="1:6" x14ac:dyDescent="0.25">
      <c r="A96" s="84">
        <v>9.8000000000000007</v>
      </c>
      <c r="B96" s="138" t="s">
        <v>634</v>
      </c>
      <c r="C96" s="119"/>
      <c r="D96" s="115"/>
      <c r="E96" s="54">
        <v>0</v>
      </c>
      <c r="F96" s="55"/>
    </row>
    <row r="97" spans="1:6" ht="25.5" customHeight="1" x14ac:dyDescent="0.25">
      <c r="A97" s="85" t="s">
        <v>635</v>
      </c>
      <c r="B97" s="89" t="s">
        <v>744</v>
      </c>
      <c r="C97" s="119" t="s">
        <v>488</v>
      </c>
      <c r="D97" s="115">
        <v>1</v>
      </c>
      <c r="E97" s="54">
        <v>0</v>
      </c>
      <c r="F97" s="55">
        <f>D97*E97</f>
        <v>0</v>
      </c>
    </row>
    <row r="98" spans="1:6" ht="25.5" customHeight="1" x14ac:dyDescent="0.25">
      <c r="A98" s="85" t="s">
        <v>636</v>
      </c>
      <c r="B98" s="89" t="s">
        <v>637</v>
      </c>
      <c r="C98" s="119" t="s">
        <v>488</v>
      </c>
      <c r="D98" s="115">
        <v>2</v>
      </c>
      <c r="E98" s="54">
        <v>6666.666666666667</v>
      </c>
      <c r="F98" s="55">
        <f>D98*E98</f>
        <v>13333.333333333334</v>
      </c>
    </row>
    <row r="99" spans="1:6" ht="25.5" customHeight="1" x14ac:dyDescent="0.25">
      <c r="A99" s="85" t="s">
        <v>638</v>
      </c>
      <c r="B99" s="89" t="s">
        <v>745</v>
      </c>
      <c r="C99" s="119" t="s">
        <v>485</v>
      </c>
      <c r="D99" s="115">
        <v>1</v>
      </c>
      <c r="E99" s="54">
        <v>0</v>
      </c>
      <c r="F99" s="55">
        <f>D99*E99</f>
        <v>0</v>
      </c>
    </row>
    <row r="100" spans="1:6" ht="25.5" customHeight="1" x14ac:dyDescent="0.25">
      <c r="A100" s="85" t="s">
        <v>639</v>
      </c>
      <c r="B100" s="89" t="s">
        <v>746</v>
      </c>
      <c r="C100" s="119" t="s">
        <v>488</v>
      </c>
      <c r="D100" s="115">
        <v>1</v>
      </c>
      <c r="E100" s="54">
        <v>0</v>
      </c>
      <c r="F100" s="55">
        <f>D100*E100</f>
        <v>0</v>
      </c>
    </row>
    <row r="101" spans="1:6" ht="20.25" customHeight="1" x14ac:dyDescent="0.25">
      <c r="A101" s="150" t="s">
        <v>640</v>
      </c>
      <c r="B101" s="150"/>
      <c r="C101" s="151"/>
      <c r="D101" s="151"/>
      <c r="E101" s="152"/>
      <c r="F101" s="153">
        <f>SUM(F88:F100)</f>
        <v>255450.08333333337</v>
      </c>
    </row>
    <row r="102" spans="1:6" ht="24" customHeight="1" x14ac:dyDescent="0.25">
      <c r="A102" s="84">
        <v>9.9</v>
      </c>
      <c r="B102" s="138" t="s">
        <v>641</v>
      </c>
      <c r="C102" s="119"/>
      <c r="D102" s="115"/>
      <c r="E102" s="54"/>
      <c r="F102" s="55"/>
    </row>
    <row r="103" spans="1:6" ht="21.75" customHeight="1" x14ac:dyDescent="0.25">
      <c r="A103" s="85" t="s">
        <v>642</v>
      </c>
      <c r="B103" s="89" t="s">
        <v>643</v>
      </c>
      <c r="C103" s="119" t="s">
        <v>488</v>
      </c>
      <c r="D103" s="115">
        <v>1</v>
      </c>
      <c r="E103" s="54">
        <v>476.18999999999994</v>
      </c>
      <c r="F103" s="55">
        <f t="shared" ref="F103:F118" si="4">D103*E103</f>
        <v>476.18999999999994</v>
      </c>
    </row>
    <row r="104" spans="1:6" ht="21.75" customHeight="1" x14ac:dyDescent="0.25">
      <c r="A104" s="85" t="s">
        <v>644</v>
      </c>
      <c r="B104" s="89" t="s">
        <v>645</v>
      </c>
      <c r="C104" s="119" t="s">
        <v>485</v>
      </c>
      <c r="D104" s="115">
        <v>1</v>
      </c>
      <c r="E104" s="54">
        <v>476.18999999999994</v>
      </c>
      <c r="F104" s="55">
        <f t="shared" si="4"/>
        <v>476.18999999999994</v>
      </c>
    </row>
    <row r="105" spans="1:6" ht="21.75" customHeight="1" x14ac:dyDescent="0.25">
      <c r="A105" s="85" t="s">
        <v>646</v>
      </c>
      <c r="B105" s="89" t="s">
        <v>647</v>
      </c>
      <c r="C105" s="119" t="s">
        <v>485</v>
      </c>
      <c r="D105" s="115">
        <v>1</v>
      </c>
      <c r="E105" s="54">
        <v>476.18999999999994</v>
      </c>
      <c r="F105" s="55">
        <f t="shared" si="4"/>
        <v>476.18999999999994</v>
      </c>
    </row>
    <row r="106" spans="1:6" ht="21.75" customHeight="1" x14ac:dyDescent="0.25">
      <c r="A106" s="85" t="s">
        <v>648</v>
      </c>
      <c r="B106" s="89" t="s">
        <v>649</v>
      </c>
      <c r="C106" s="119" t="s">
        <v>485</v>
      </c>
      <c r="D106" s="115">
        <v>1</v>
      </c>
      <c r="E106" s="54">
        <v>476.18999999999994</v>
      </c>
      <c r="F106" s="55">
        <f t="shared" si="4"/>
        <v>476.18999999999994</v>
      </c>
    </row>
    <row r="107" spans="1:6" ht="21.75" customHeight="1" x14ac:dyDescent="0.25">
      <c r="A107" s="85" t="s">
        <v>650</v>
      </c>
      <c r="B107" s="89" t="s">
        <v>651</v>
      </c>
      <c r="C107" s="119" t="s">
        <v>485</v>
      </c>
      <c r="D107" s="115">
        <v>1</v>
      </c>
      <c r="E107" s="54">
        <v>476.18999999999994</v>
      </c>
      <c r="F107" s="55">
        <f t="shared" si="4"/>
        <v>476.18999999999994</v>
      </c>
    </row>
    <row r="108" spans="1:6" ht="21.75" customHeight="1" x14ac:dyDescent="0.25">
      <c r="A108" s="85" t="s">
        <v>652</v>
      </c>
      <c r="B108" s="89" t="s">
        <v>653</v>
      </c>
      <c r="C108" s="119" t="s">
        <v>485</v>
      </c>
      <c r="D108" s="115">
        <v>1</v>
      </c>
      <c r="E108" s="54">
        <v>476.18999999999994</v>
      </c>
      <c r="F108" s="55">
        <f t="shared" si="4"/>
        <v>476.18999999999994</v>
      </c>
    </row>
    <row r="109" spans="1:6" ht="21.75" customHeight="1" x14ac:dyDescent="0.25">
      <c r="A109" s="85" t="s">
        <v>654</v>
      </c>
      <c r="B109" s="89" t="s">
        <v>655</v>
      </c>
      <c r="C109" s="119" t="s">
        <v>485</v>
      </c>
      <c r="D109" s="115">
        <v>1</v>
      </c>
      <c r="E109" s="54">
        <v>476.18999999999994</v>
      </c>
      <c r="F109" s="55">
        <f t="shared" si="4"/>
        <v>476.18999999999994</v>
      </c>
    </row>
    <row r="110" spans="1:6" ht="21.75" customHeight="1" x14ac:dyDescent="0.25">
      <c r="A110" s="85" t="s">
        <v>656</v>
      </c>
      <c r="B110" s="89" t="s">
        <v>657</v>
      </c>
      <c r="C110" s="119" t="s">
        <v>658</v>
      </c>
      <c r="D110" s="115">
        <v>1</v>
      </c>
      <c r="E110" s="54">
        <v>476.18999999999994</v>
      </c>
      <c r="F110" s="55">
        <f t="shared" si="4"/>
        <v>476.18999999999994</v>
      </c>
    </row>
    <row r="111" spans="1:6" ht="21.75" customHeight="1" x14ac:dyDescent="0.25">
      <c r="A111" s="85" t="s">
        <v>659</v>
      </c>
      <c r="B111" s="89" t="s">
        <v>660</v>
      </c>
      <c r="C111" s="119" t="s">
        <v>485</v>
      </c>
      <c r="D111" s="115">
        <v>1</v>
      </c>
      <c r="E111" s="54">
        <v>476.18999999999994</v>
      </c>
      <c r="F111" s="55">
        <f t="shared" si="4"/>
        <v>476.18999999999994</v>
      </c>
    </row>
    <row r="112" spans="1:6" ht="21.75" customHeight="1" x14ac:dyDescent="0.25">
      <c r="A112" s="85" t="s">
        <v>661</v>
      </c>
      <c r="B112" s="89" t="s">
        <v>662</v>
      </c>
      <c r="C112" s="119" t="s">
        <v>485</v>
      </c>
      <c r="D112" s="115">
        <v>1</v>
      </c>
      <c r="E112" s="54">
        <v>476.18999999999994</v>
      </c>
      <c r="F112" s="55">
        <f t="shared" si="4"/>
        <v>476.18999999999994</v>
      </c>
    </row>
    <row r="113" spans="1:6" ht="21.75" customHeight="1" x14ac:dyDescent="0.25">
      <c r="A113" s="85" t="s">
        <v>663</v>
      </c>
      <c r="B113" s="89" t="s">
        <v>664</v>
      </c>
      <c r="C113" s="119" t="s">
        <v>485</v>
      </c>
      <c r="D113" s="115">
        <v>1</v>
      </c>
      <c r="E113" s="54">
        <v>476.18999999999994</v>
      </c>
      <c r="F113" s="55">
        <f t="shared" si="4"/>
        <v>476.18999999999994</v>
      </c>
    </row>
    <row r="114" spans="1:6" ht="21.75" customHeight="1" x14ac:dyDescent="0.25">
      <c r="A114" s="85" t="s">
        <v>665</v>
      </c>
      <c r="B114" s="89" t="s">
        <v>666</v>
      </c>
      <c r="C114" s="119" t="s">
        <v>488</v>
      </c>
      <c r="D114" s="115">
        <v>1</v>
      </c>
      <c r="E114" s="54">
        <v>476.18999999999994</v>
      </c>
      <c r="F114" s="55">
        <f t="shared" si="4"/>
        <v>476.18999999999994</v>
      </c>
    </row>
    <row r="115" spans="1:6" ht="21.75" customHeight="1" x14ac:dyDescent="0.25">
      <c r="A115" s="85" t="s">
        <v>667</v>
      </c>
      <c r="B115" s="89" t="s">
        <v>668</v>
      </c>
      <c r="C115" s="119" t="s">
        <v>658</v>
      </c>
      <c r="D115" s="115">
        <v>1</v>
      </c>
      <c r="E115" s="54">
        <v>476.18999999999994</v>
      </c>
      <c r="F115" s="55">
        <f t="shared" si="4"/>
        <v>476.18999999999994</v>
      </c>
    </row>
    <row r="116" spans="1:6" ht="21.75" customHeight="1" x14ac:dyDescent="0.25">
      <c r="A116" s="85" t="s">
        <v>669</v>
      </c>
      <c r="B116" s="89" t="s">
        <v>670</v>
      </c>
      <c r="C116" s="119" t="s">
        <v>658</v>
      </c>
      <c r="D116" s="115">
        <v>10</v>
      </c>
      <c r="E116" s="54">
        <v>476.18999999999994</v>
      </c>
      <c r="F116" s="55">
        <f t="shared" si="4"/>
        <v>4761.8999999999996</v>
      </c>
    </row>
    <row r="117" spans="1:6" ht="21.75" customHeight="1" x14ac:dyDescent="0.25">
      <c r="A117" s="85" t="s">
        <v>671</v>
      </c>
      <c r="B117" s="89" t="s">
        <v>672</v>
      </c>
      <c r="C117" s="119" t="s">
        <v>658</v>
      </c>
      <c r="D117" s="115">
        <v>1</v>
      </c>
      <c r="E117" s="54">
        <v>476.18999999999994</v>
      </c>
      <c r="F117" s="55">
        <f t="shared" si="4"/>
        <v>476.18999999999994</v>
      </c>
    </row>
    <row r="118" spans="1:6" ht="21.75" customHeight="1" x14ac:dyDescent="0.25">
      <c r="A118" s="85" t="s">
        <v>673</v>
      </c>
      <c r="B118" s="89" t="s">
        <v>674</v>
      </c>
      <c r="C118" s="119" t="s">
        <v>658</v>
      </c>
      <c r="D118" s="115">
        <v>1</v>
      </c>
      <c r="E118" s="54">
        <v>476.18999999999994</v>
      </c>
      <c r="F118" s="55">
        <f t="shared" si="4"/>
        <v>476.18999999999994</v>
      </c>
    </row>
    <row r="119" spans="1:6" ht="21.75" customHeight="1" x14ac:dyDescent="0.25">
      <c r="A119" s="85"/>
      <c r="B119" s="138" t="s">
        <v>675</v>
      </c>
      <c r="C119" s="119"/>
      <c r="D119" s="115"/>
      <c r="E119" s="54"/>
      <c r="F119" s="55"/>
    </row>
    <row r="120" spans="1:6" ht="21.75" customHeight="1" x14ac:dyDescent="0.25">
      <c r="A120" s="85" t="s">
        <v>676</v>
      </c>
      <c r="B120" s="89" t="s">
        <v>677</v>
      </c>
      <c r="C120" s="119" t="s">
        <v>658</v>
      </c>
      <c r="D120" s="115">
        <v>6</v>
      </c>
      <c r="E120" s="54">
        <v>476.18999999999994</v>
      </c>
      <c r="F120" s="55">
        <f>D120*E120</f>
        <v>2857.1399999999994</v>
      </c>
    </row>
    <row r="121" spans="1:6" ht="21.75" customHeight="1" x14ac:dyDescent="0.25">
      <c r="A121" s="85" t="s">
        <v>678</v>
      </c>
      <c r="B121" s="89" t="s">
        <v>679</v>
      </c>
      <c r="C121" s="119" t="s">
        <v>658</v>
      </c>
      <c r="D121" s="115">
        <v>2</v>
      </c>
      <c r="E121" s="54">
        <v>476.18999999999994</v>
      </c>
      <c r="F121" s="55">
        <f>D121*E121</f>
        <v>952.37999999999988</v>
      </c>
    </row>
    <row r="122" spans="1:6" ht="21.75" customHeight="1" x14ac:dyDescent="0.25">
      <c r="A122" s="85" t="s">
        <v>680</v>
      </c>
      <c r="B122" s="89" t="s">
        <v>681</v>
      </c>
      <c r="C122" s="119" t="s">
        <v>658</v>
      </c>
      <c r="D122" s="115">
        <v>2</v>
      </c>
      <c r="E122" s="54">
        <v>476.18999999999994</v>
      </c>
      <c r="F122" s="55">
        <f>D122*E122</f>
        <v>952.37999999999988</v>
      </c>
    </row>
    <row r="123" spans="1:6" ht="21.75" customHeight="1" x14ac:dyDescent="0.25">
      <c r="A123" s="85" t="s">
        <v>682</v>
      </c>
      <c r="B123" s="89" t="s">
        <v>683</v>
      </c>
      <c r="C123" s="119" t="s">
        <v>658</v>
      </c>
      <c r="D123" s="115">
        <v>2</v>
      </c>
      <c r="E123" s="54">
        <v>476.18999999999994</v>
      </c>
      <c r="F123" s="55">
        <f>D123*E123</f>
        <v>952.37999999999988</v>
      </c>
    </row>
    <row r="124" spans="1:6" ht="21.75" customHeight="1" x14ac:dyDescent="0.25">
      <c r="A124" s="85"/>
      <c r="B124" s="138" t="s">
        <v>684</v>
      </c>
      <c r="C124" s="119"/>
      <c r="D124" s="115"/>
      <c r="E124" s="54"/>
      <c r="F124" s="55"/>
    </row>
    <row r="125" spans="1:6" ht="21.75" customHeight="1" x14ac:dyDescent="0.25">
      <c r="A125" s="85" t="s">
        <v>685</v>
      </c>
      <c r="B125" s="89" t="s">
        <v>686</v>
      </c>
      <c r="C125" s="119" t="s">
        <v>488</v>
      </c>
      <c r="D125" s="115">
        <v>1</v>
      </c>
      <c r="E125" s="54">
        <v>476.18999999999994</v>
      </c>
      <c r="F125" s="55">
        <f t="shared" ref="F125:F137" si="5">D125*E125</f>
        <v>476.18999999999994</v>
      </c>
    </row>
    <row r="126" spans="1:6" ht="21.75" customHeight="1" x14ac:dyDescent="0.25">
      <c r="A126" s="85" t="s">
        <v>687</v>
      </c>
      <c r="B126" s="89" t="s">
        <v>688</v>
      </c>
      <c r="C126" s="119" t="s">
        <v>488</v>
      </c>
      <c r="D126" s="115">
        <v>2</v>
      </c>
      <c r="E126" s="54">
        <v>476.18999999999994</v>
      </c>
      <c r="F126" s="55">
        <f t="shared" si="5"/>
        <v>952.37999999999988</v>
      </c>
    </row>
    <row r="127" spans="1:6" ht="21.75" customHeight="1" x14ac:dyDescent="0.25">
      <c r="A127" s="85" t="s">
        <v>689</v>
      </c>
      <c r="B127" s="89" t="s">
        <v>690</v>
      </c>
      <c r="C127" s="119" t="s">
        <v>488</v>
      </c>
      <c r="D127" s="115">
        <v>2</v>
      </c>
      <c r="E127" s="54">
        <v>476.18999999999994</v>
      </c>
      <c r="F127" s="55">
        <f t="shared" si="5"/>
        <v>952.37999999999988</v>
      </c>
    </row>
    <row r="128" spans="1:6" ht="21.75" customHeight="1" x14ac:dyDescent="0.25">
      <c r="A128" s="85" t="s">
        <v>691</v>
      </c>
      <c r="B128" s="89" t="s">
        <v>692</v>
      </c>
      <c r="C128" s="119" t="s">
        <v>488</v>
      </c>
      <c r="D128" s="115">
        <v>2</v>
      </c>
      <c r="E128" s="54">
        <v>476.18999999999994</v>
      </c>
      <c r="F128" s="55">
        <f t="shared" si="5"/>
        <v>952.37999999999988</v>
      </c>
    </row>
    <row r="129" spans="1:6" ht="21.75" customHeight="1" x14ac:dyDescent="0.25">
      <c r="A129" s="85" t="s">
        <v>693</v>
      </c>
      <c r="B129" s="89" t="s">
        <v>694</v>
      </c>
      <c r="C129" s="119" t="s">
        <v>488</v>
      </c>
      <c r="D129" s="115">
        <v>2</v>
      </c>
      <c r="E129" s="54">
        <v>476.18999999999994</v>
      </c>
      <c r="F129" s="55">
        <f t="shared" si="5"/>
        <v>952.37999999999988</v>
      </c>
    </row>
    <row r="130" spans="1:6" ht="21.75" customHeight="1" x14ac:dyDescent="0.25">
      <c r="A130" s="85" t="s">
        <v>695</v>
      </c>
      <c r="B130" s="89" t="s">
        <v>696</v>
      </c>
      <c r="C130" s="119" t="s">
        <v>488</v>
      </c>
      <c r="D130" s="115">
        <v>2</v>
      </c>
      <c r="E130" s="54">
        <v>476.18999999999994</v>
      </c>
      <c r="F130" s="55">
        <f t="shared" si="5"/>
        <v>952.37999999999988</v>
      </c>
    </row>
    <row r="131" spans="1:6" ht="21.75" customHeight="1" x14ac:dyDescent="0.25">
      <c r="A131" s="85" t="s">
        <v>697</v>
      </c>
      <c r="B131" s="89" t="s">
        <v>698</v>
      </c>
      <c r="C131" s="119" t="s">
        <v>488</v>
      </c>
      <c r="D131" s="115">
        <v>2</v>
      </c>
      <c r="E131" s="54">
        <v>476.18999999999994</v>
      </c>
      <c r="F131" s="55">
        <f t="shared" si="5"/>
        <v>952.37999999999988</v>
      </c>
    </row>
    <row r="132" spans="1:6" ht="21.75" customHeight="1" x14ac:dyDescent="0.25">
      <c r="A132" s="85" t="s">
        <v>699</v>
      </c>
      <c r="B132" s="89" t="s">
        <v>700</v>
      </c>
      <c r="C132" s="119" t="s">
        <v>488</v>
      </c>
      <c r="D132" s="115">
        <v>2</v>
      </c>
      <c r="E132" s="54">
        <v>476.18999999999994</v>
      </c>
      <c r="F132" s="55">
        <f t="shared" si="5"/>
        <v>952.37999999999988</v>
      </c>
    </row>
    <row r="133" spans="1:6" ht="21.75" customHeight="1" x14ac:dyDescent="0.25">
      <c r="A133" s="85" t="s">
        <v>701</v>
      </c>
      <c r="B133" s="89" t="s">
        <v>702</v>
      </c>
      <c r="C133" s="119" t="s">
        <v>488</v>
      </c>
      <c r="D133" s="115">
        <v>6</v>
      </c>
      <c r="E133" s="54">
        <v>476.18999999999994</v>
      </c>
      <c r="F133" s="55">
        <f t="shared" si="5"/>
        <v>2857.1399999999994</v>
      </c>
    </row>
    <row r="134" spans="1:6" ht="21.75" customHeight="1" x14ac:dyDescent="0.25">
      <c r="A134" s="85" t="s">
        <v>703</v>
      </c>
      <c r="B134" s="89" t="s">
        <v>704</v>
      </c>
      <c r="C134" s="119" t="s">
        <v>488</v>
      </c>
      <c r="D134" s="115">
        <v>6</v>
      </c>
      <c r="E134" s="54">
        <v>476.18999999999994</v>
      </c>
      <c r="F134" s="55">
        <f t="shared" si="5"/>
        <v>2857.1399999999994</v>
      </c>
    </row>
    <row r="135" spans="1:6" ht="21.75" customHeight="1" x14ac:dyDescent="0.25">
      <c r="A135" s="85" t="s">
        <v>705</v>
      </c>
      <c r="B135" s="89" t="s">
        <v>706</v>
      </c>
      <c r="C135" s="119" t="s">
        <v>488</v>
      </c>
      <c r="D135" s="115">
        <v>2</v>
      </c>
      <c r="E135" s="54">
        <v>476.18999999999994</v>
      </c>
      <c r="F135" s="55">
        <f t="shared" si="5"/>
        <v>952.37999999999988</v>
      </c>
    </row>
    <row r="136" spans="1:6" ht="21.75" customHeight="1" x14ac:dyDescent="0.25">
      <c r="A136" s="85" t="s">
        <v>707</v>
      </c>
      <c r="B136" s="89" t="s">
        <v>683</v>
      </c>
      <c r="C136" s="119" t="s">
        <v>488</v>
      </c>
      <c r="D136" s="115">
        <v>2</v>
      </c>
      <c r="E136" s="54">
        <v>476.18999999999994</v>
      </c>
      <c r="F136" s="55">
        <f t="shared" si="5"/>
        <v>952.37999999999988</v>
      </c>
    </row>
    <row r="137" spans="1:6" ht="21.75" customHeight="1" x14ac:dyDescent="0.25">
      <c r="A137" s="85" t="s">
        <v>708</v>
      </c>
      <c r="B137" s="89" t="s">
        <v>709</v>
      </c>
      <c r="C137" s="119" t="s">
        <v>488</v>
      </c>
      <c r="D137" s="115">
        <v>2</v>
      </c>
      <c r="E137" s="54">
        <v>476.18999999999994</v>
      </c>
      <c r="F137" s="55">
        <f t="shared" si="5"/>
        <v>952.37999999999988</v>
      </c>
    </row>
    <row r="138" spans="1:6" ht="20.25" customHeight="1" x14ac:dyDescent="0.25">
      <c r="A138" s="150" t="s">
        <v>710</v>
      </c>
      <c r="B138" s="150"/>
      <c r="C138" s="151"/>
      <c r="D138" s="151"/>
      <c r="E138" s="152"/>
      <c r="F138" s="153">
        <f>SUM(F103:F137)</f>
        <v>33333.300000000003</v>
      </c>
    </row>
    <row r="139" spans="1:6" ht="36" customHeight="1" x14ac:dyDescent="0.25">
      <c r="A139" s="85">
        <v>9.1</v>
      </c>
      <c r="B139" s="138" t="s">
        <v>149</v>
      </c>
      <c r="C139" s="119"/>
      <c r="D139" s="115"/>
      <c r="E139" s="54"/>
      <c r="F139" s="55"/>
    </row>
    <row r="140" spans="1:6" x14ac:dyDescent="0.25">
      <c r="A140" s="85" t="s">
        <v>711</v>
      </c>
      <c r="B140" s="89" t="s">
        <v>712</v>
      </c>
      <c r="C140" s="119" t="s">
        <v>713</v>
      </c>
      <c r="D140" s="115">
        <v>1</v>
      </c>
      <c r="E140" s="54">
        <v>250.00000000000003</v>
      </c>
      <c r="F140" s="55">
        <f t="shared" ref="F140:F153" si="6">D140*E140</f>
        <v>250.00000000000003</v>
      </c>
    </row>
    <row r="141" spans="1:6" x14ac:dyDescent="0.25">
      <c r="A141" s="85" t="s">
        <v>714</v>
      </c>
      <c r="B141" s="120" t="s">
        <v>715</v>
      </c>
      <c r="C141" s="119" t="s">
        <v>713</v>
      </c>
      <c r="D141" s="115">
        <v>1</v>
      </c>
      <c r="E141" s="54">
        <v>400.00000000000006</v>
      </c>
      <c r="F141" s="55">
        <f t="shared" si="6"/>
        <v>400.00000000000006</v>
      </c>
    </row>
    <row r="142" spans="1:6" x14ac:dyDescent="0.25">
      <c r="A142" s="85" t="s">
        <v>716</v>
      </c>
      <c r="B142" s="89" t="s">
        <v>717</v>
      </c>
      <c r="C142" s="119" t="s">
        <v>713</v>
      </c>
      <c r="D142" s="115">
        <v>1</v>
      </c>
      <c r="E142" s="54">
        <v>76.666666666666671</v>
      </c>
      <c r="F142" s="55">
        <f t="shared" si="6"/>
        <v>76.666666666666671</v>
      </c>
    </row>
    <row r="143" spans="1:6" x14ac:dyDescent="0.25">
      <c r="A143" s="85" t="s">
        <v>718</v>
      </c>
      <c r="B143" s="120" t="s">
        <v>719</v>
      </c>
      <c r="C143" s="119" t="s">
        <v>713</v>
      </c>
      <c r="D143" s="115">
        <v>1</v>
      </c>
      <c r="E143" s="54">
        <v>1933.3333333333335</v>
      </c>
      <c r="F143" s="55">
        <f t="shared" si="6"/>
        <v>1933.3333333333335</v>
      </c>
    </row>
    <row r="144" spans="1:6" x14ac:dyDescent="0.25">
      <c r="A144" s="85" t="s">
        <v>720</v>
      </c>
      <c r="B144" s="89" t="s">
        <v>721</v>
      </c>
      <c r="C144" s="119" t="s">
        <v>713</v>
      </c>
      <c r="D144" s="115">
        <v>1</v>
      </c>
      <c r="E144" s="54">
        <v>116.66666666666669</v>
      </c>
      <c r="F144" s="55">
        <f t="shared" si="6"/>
        <v>116.66666666666669</v>
      </c>
    </row>
    <row r="145" spans="1:6" x14ac:dyDescent="0.25">
      <c r="A145" s="85" t="s">
        <v>722</v>
      </c>
      <c r="B145" s="120" t="s">
        <v>723</v>
      </c>
      <c r="C145" s="119" t="s">
        <v>488</v>
      </c>
      <c r="D145" s="115">
        <v>1</v>
      </c>
      <c r="E145" s="54">
        <v>966.66666666666674</v>
      </c>
      <c r="F145" s="55">
        <f t="shared" si="6"/>
        <v>966.66666666666674</v>
      </c>
    </row>
    <row r="146" spans="1:6" x14ac:dyDescent="0.25">
      <c r="A146" s="85" t="s">
        <v>724</v>
      </c>
      <c r="B146" s="89" t="s">
        <v>725</v>
      </c>
      <c r="C146" s="119" t="s">
        <v>713</v>
      </c>
      <c r="D146" s="115">
        <v>1</v>
      </c>
      <c r="E146" s="54">
        <v>1933.3333333333335</v>
      </c>
      <c r="F146" s="55">
        <f t="shared" si="6"/>
        <v>1933.3333333333335</v>
      </c>
    </row>
    <row r="147" spans="1:6" x14ac:dyDescent="0.25">
      <c r="A147" s="85" t="s">
        <v>726</v>
      </c>
      <c r="B147" s="120" t="s">
        <v>727</v>
      </c>
      <c r="C147" s="119" t="s">
        <v>488</v>
      </c>
      <c r="D147" s="115">
        <v>1</v>
      </c>
      <c r="E147" s="54">
        <v>83.333333333333343</v>
      </c>
      <c r="F147" s="55">
        <f t="shared" si="6"/>
        <v>83.333333333333343</v>
      </c>
    </row>
    <row r="148" spans="1:6" x14ac:dyDescent="0.25">
      <c r="A148" s="85" t="s">
        <v>728</v>
      </c>
      <c r="B148" s="89" t="s">
        <v>729</v>
      </c>
      <c r="C148" s="119" t="s">
        <v>713</v>
      </c>
      <c r="D148" s="115">
        <v>1</v>
      </c>
      <c r="E148" s="54">
        <v>1500.0000000000002</v>
      </c>
      <c r="F148" s="55">
        <f t="shared" si="6"/>
        <v>1500.0000000000002</v>
      </c>
    </row>
    <row r="149" spans="1:6" x14ac:dyDescent="0.25">
      <c r="A149" s="85" t="s">
        <v>730</v>
      </c>
      <c r="B149" s="120" t="s">
        <v>731</v>
      </c>
      <c r="C149" s="119" t="s">
        <v>713</v>
      </c>
      <c r="D149" s="115">
        <v>1</v>
      </c>
      <c r="E149" s="54">
        <v>166.66666666666669</v>
      </c>
      <c r="F149" s="55">
        <f t="shared" si="6"/>
        <v>166.66666666666669</v>
      </c>
    </row>
    <row r="150" spans="1:6" x14ac:dyDescent="0.25">
      <c r="A150" s="85" t="s">
        <v>732</v>
      </c>
      <c r="B150" s="89" t="s">
        <v>733</v>
      </c>
      <c r="C150" s="119" t="s">
        <v>713</v>
      </c>
      <c r="D150" s="115">
        <v>1</v>
      </c>
      <c r="E150" s="54">
        <v>250.00000000000003</v>
      </c>
      <c r="F150" s="55">
        <f t="shared" si="6"/>
        <v>250.00000000000003</v>
      </c>
    </row>
    <row r="151" spans="1:6" x14ac:dyDescent="0.25">
      <c r="A151" s="85" t="s">
        <v>734</v>
      </c>
      <c r="B151" s="120" t="s">
        <v>735</v>
      </c>
      <c r="C151" s="119" t="s">
        <v>713</v>
      </c>
      <c r="D151" s="115">
        <v>1</v>
      </c>
      <c r="E151" s="54">
        <v>186.66666666666669</v>
      </c>
      <c r="F151" s="55">
        <f t="shared" si="6"/>
        <v>186.66666666666669</v>
      </c>
    </row>
    <row r="152" spans="1:6" x14ac:dyDescent="0.25">
      <c r="A152" s="85" t="s">
        <v>736</v>
      </c>
      <c r="B152" s="89" t="s">
        <v>737</v>
      </c>
      <c r="C152" s="119" t="s">
        <v>713</v>
      </c>
      <c r="D152" s="115">
        <v>1</v>
      </c>
      <c r="E152" s="54">
        <v>283.33333333333337</v>
      </c>
      <c r="F152" s="55">
        <f t="shared" si="6"/>
        <v>283.33333333333337</v>
      </c>
    </row>
    <row r="153" spans="1:6" x14ac:dyDescent="0.25">
      <c r="A153" s="85" t="s">
        <v>738</v>
      </c>
      <c r="B153" s="89" t="s">
        <v>739</v>
      </c>
      <c r="C153" s="119" t="s">
        <v>713</v>
      </c>
      <c r="D153" s="115">
        <v>1</v>
      </c>
      <c r="E153" s="54">
        <v>966.66666666666674</v>
      </c>
      <c r="F153" s="55">
        <f t="shared" si="6"/>
        <v>966.66666666666674</v>
      </c>
    </row>
    <row r="154" spans="1:6" ht="36" customHeight="1" x14ac:dyDescent="0.25">
      <c r="A154" s="150" t="s">
        <v>740</v>
      </c>
      <c r="B154" s="155"/>
      <c r="C154" s="151"/>
      <c r="D154" s="151"/>
      <c r="E154" s="151"/>
      <c r="F154" s="153">
        <f>SUM(F140:F153)</f>
        <v>9113.3333333333321</v>
      </c>
    </row>
    <row r="155" spans="1:6" ht="25.5" customHeight="1" x14ac:dyDescent="0.25">
      <c r="A155" s="156"/>
      <c r="B155" s="156"/>
      <c r="C155" s="156"/>
      <c r="D155" s="157"/>
      <c r="E155" s="156"/>
      <c r="F155" s="156"/>
    </row>
    <row r="156" spans="1:6" ht="35.450000000000003" customHeight="1" x14ac:dyDescent="0.25">
      <c r="A156" s="158" t="s">
        <v>741</v>
      </c>
      <c r="B156" s="159" t="str">
        <f>B9</f>
        <v>Spare Parts &amp; Tools (Optional)</v>
      </c>
      <c r="C156" s="56"/>
      <c r="D156" s="146"/>
      <c r="E156" s="56"/>
      <c r="F156" s="56">
        <f>F28+F38+F65+F71+F86+F101+F138+F154</f>
        <v>924738.15333333344</v>
      </c>
    </row>
    <row r="157" spans="1:6" x14ac:dyDescent="0.25">
      <c r="A157" s="160"/>
      <c r="B157" s="161"/>
      <c r="C157" s="56"/>
      <c r="D157" s="146"/>
      <c r="E157" s="56"/>
      <c r="F157" s="56"/>
    </row>
    <row r="158" spans="1:6" ht="36" customHeight="1" x14ac:dyDescent="0.25">
      <c r="A158" s="227" t="s">
        <v>742</v>
      </c>
      <c r="B158" s="227"/>
      <c r="C158" s="162"/>
      <c r="D158" s="163"/>
      <c r="E158" s="162"/>
      <c r="F158" s="164">
        <f>F156</f>
        <v>924738.15333333344</v>
      </c>
    </row>
  </sheetData>
  <mergeCells count="9">
    <mergeCell ref="A158:B158"/>
    <mergeCell ref="E4:F4"/>
    <mergeCell ref="A5:A7"/>
    <mergeCell ref="B5:B7"/>
    <mergeCell ref="C5:C7"/>
    <mergeCell ref="D5:D7"/>
    <mergeCell ref="E5:F5"/>
    <mergeCell ref="E6:E7"/>
    <mergeCell ref="F6:F7"/>
  </mergeCells>
  <pageMargins left="0.70866141732283472" right="0.70866141732283472" top="0.74803149606299213" bottom="0.74803149606299213" header="0.31496062992125984" footer="0.31496062992125984"/>
  <pageSetup paperSize="9" scale="67"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0649E287B33147A96E520466260979" ma:contentTypeVersion="16" ma:contentTypeDescription="Create a new document." ma:contentTypeScope="" ma:versionID="5238f1850f84e5e14b0e17926437abfe">
  <xsd:schema xmlns:xsd="http://www.w3.org/2001/XMLSchema" xmlns:xs="http://www.w3.org/2001/XMLSchema" xmlns:p="http://schemas.microsoft.com/office/2006/metadata/properties" xmlns:ns2="31e273ec-0972-4cc8-ac3c-bf1a7484d6e4" xmlns:ns3="d9f1ac84-abcc-4955-b37b-0f95a688d3a7" targetNamespace="http://schemas.microsoft.com/office/2006/metadata/properties" ma:root="true" ma:fieldsID="774c77fb28d5178f23216b8bfb65c369" ns2:_="" ns3:_="">
    <xsd:import namespace="31e273ec-0972-4cc8-ac3c-bf1a7484d6e4"/>
    <xsd:import namespace="d9f1ac84-abcc-4955-b37b-0f95a688d3a7"/>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DateTaken" minOccurs="0"/>
                <xsd:element ref="ns3:MediaServiceOCR"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e273ec-0972-4cc8-ac3c-bf1a7484d6e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12a8ae5-4fa3-4409-b375-91fd93d3fffc}" ma:internalName="TaxCatchAll" ma:showField="CatchAllData" ma:web="31e273ec-0972-4cc8-ac3c-bf1a7484d6e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9f1ac84-abcc-4955-b37b-0f95a688d3a7"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684c114-7e9d-4128-aa82-739302465559"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d9f1ac84-abcc-4955-b37b-0f95a688d3a7">
      <Terms xmlns="http://schemas.microsoft.com/office/infopath/2007/PartnerControls"/>
    </lcf76f155ced4ddcb4097134ff3c332f>
    <TaxCatchAll xmlns="31e273ec-0972-4cc8-ac3c-bf1a7484d6e4" xsi:nil="true"/>
    <_dlc_DocId xmlns="31e273ec-0972-4cc8-ac3c-bf1a7484d6e4">U3ZKEUQCN2VC-818037818-543199</_dlc_DocId>
    <_dlc_DocIdUrl xmlns="31e273ec-0972-4cc8-ac3c-bf1a7484d6e4">
      <Url>https://contangoae.sharepoint.com/sites/ContangoExternal/_layouts/15/DocIdRedir.aspx?ID=U3ZKEUQCN2VC-818037818-543199</Url>
      <Description>U3ZKEUQCN2VC-818037818-543199</Description>
    </_dlc_DocIdUrl>
  </documentManagement>
</p:properties>
</file>

<file path=customXml/itemProps1.xml><?xml version="1.0" encoding="utf-8"?>
<ds:datastoreItem xmlns:ds="http://schemas.openxmlformats.org/officeDocument/2006/customXml" ds:itemID="{2960D9CE-08FE-40EC-829A-19363E6911E7}"/>
</file>

<file path=customXml/itemProps2.xml><?xml version="1.0" encoding="utf-8"?>
<ds:datastoreItem xmlns:ds="http://schemas.openxmlformats.org/officeDocument/2006/customXml" ds:itemID="{26563CEB-2952-460D-B97F-51ED3B56335F}"/>
</file>

<file path=customXml/itemProps3.xml><?xml version="1.0" encoding="utf-8"?>
<ds:datastoreItem xmlns:ds="http://schemas.openxmlformats.org/officeDocument/2006/customXml" ds:itemID="{F72BEEEF-20C1-4889-9F58-D5DD8D94BEE3}"/>
</file>

<file path=customXml/itemProps4.xml><?xml version="1.0" encoding="utf-8"?>
<ds:datastoreItem xmlns:ds="http://schemas.openxmlformats.org/officeDocument/2006/customXml" ds:itemID="{A2105FF1-742C-44CA-A99C-9FD9C3C632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Final Summary</vt:lpstr>
      <vt:lpstr>Items 1,2,3-Construction Works</vt:lpstr>
      <vt:lpstr>Items 4-Load Diversion Works</vt:lpstr>
      <vt:lpstr>Items 5-8 Dismantl &amp; Modif work</vt:lpstr>
      <vt:lpstr>Items 9- Spare Parts (Optional)</vt:lpstr>
      <vt:lpstr>'Final Summary'!Print_Area</vt:lpstr>
      <vt:lpstr>'Items 1,2,3-Construction Works'!Print_Titles</vt:lpstr>
      <vt:lpstr>'Items 4-Load Diversion Works'!Print_Titles</vt:lpstr>
      <vt:lpstr>'Items 5-8 Dismantl &amp; Modif work'!Print_Titles</vt:lpstr>
      <vt:lpstr>'Items 9- Spare Parts (Optional)'!Print_Titles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dc:creator>
  <cp:lastModifiedBy>HP</cp:lastModifiedBy>
  <cp:lastPrinted>2023-08-02T12:48:00Z</cp:lastPrinted>
  <dcterms:created xsi:type="dcterms:W3CDTF">2023-06-05T15:42:57Z</dcterms:created>
  <dcterms:modified xsi:type="dcterms:W3CDTF">2023-08-02T12:48:07Z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0x010100040649E287B33147A96E520466260979</vt:lpwstr>
  </property>
  <property fmtid="{D5CDD505-2E9C-101B-9397-08002B2CF9AE}" pid="3" name="_dlc_DocIdItemGuid">
    <vt:lpwstr>9877bc18-604c-4014-9f72-2cb6fe0e430d</vt:lpwstr>
  </property>
</Properties>
</file>