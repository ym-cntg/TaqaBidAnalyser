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T:\TENDERS 2025\TAQA DISTRIBUTION-A-20669 - IMPROVEMENT OF TANKER FILLING STATION -AL AIN\POST BID CLARIFICATION\PTC No.4 - Commercial BAFO\"/>
    </mc:Choice>
  </mc:AlternateContent>
  <xr:revisionPtr revIDLastSave="0" documentId="13_ncr:1_{562C5D5D-E7B0-4314-BC4A-EDCF26E94A8E}" xr6:coauthVersionLast="47" xr6:coauthVersionMax="47" xr10:uidLastSave="{00000000-0000-0000-0000-000000000000}"/>
  <bookViews>
    <workbookView xWindow="-120" yWindow="-120" windowWidth="29040" windowHeight="15840" tabRatio="754" firstSheet="18" activeTab="25" xr2:uid="{00000000-000D-0000-FFFF-FFFF00000000}"/>
  </bookViews>
  <sheets>
    <sheet name="Project Summary " sheetId="17" r:id="rId1"/>
    <sheet name="GENERAL ITEMS" sheetId="18" r:id="rId2"/>
    <sheet name="ALDhaher-Summary " sheetId="19" r:id="rId3"/>
    <sheet name="AL Dhaher Bill 01" sheetId="20" r:id="rId4"/>
    <sheet name="AL Dhaher-Bill 02" sheetId="21" r:id="rId5"/>
    <sheet name="AL Dhaher-Bill 03" sheetId="22" r:id="rId6"/>
    <sheet name="AL Dhaher-Bill 04" sheetId="23" r:id="rId7"/>
    <sheet name="AL Dhaher-Bill 05" sheetId="24" r:id="rId8"/>
    <sheet name="Nahel-Summary " sheetId="25" r:id="rId9"/>
    <sheet name="Nahel-Bill 01" sheetId="26" r:id="rId10"/>
    <sheet name="Nahel-Bill 02" sheetId="27" r:id="rId11"/>
    <sheet name="Nahel-Bill 03" sheetId="28" r:id="rId12"/>
    <sheet name="Nahel-Bill 04" sheetId="29" r:id="rId13"/>
    <sheet name="Nahel-Bill 05" sheetId="30" r:id="rId14"/>
    <sheet name="AL SAAD-Summary " sheetId="31" r:id="rId15"/>
    <sheet name="AL SAAD-Bill 01" sheetId="32" r:id="rId16"/>
    <sheet name="AL SAAD- Bill 02" sheetId="33" r:id="rId17"/>
    <sheet name="AL SAAD-Bill 03" sheetId="34" r:id="rId18"/>
    <sheet name="AL SAAD-Bill 04" sheetId="35" r:id="rId19"/>
    <sheet name="AL SAAD- Bill 05" sheetId="36" r:id="rId20"/>
    <sheet name="SWEIHAN-Summary " sheetId="37" r:id="rId21"/>
    <sheet name="SWEIHAN-Bill 01" sheetId="38" r:id="rId22"/>
    <sheet name="SWEIHAN-Bill 02" sheetId="39" r:id="rId23"/>
    <sheet name="SWEIHAN-Bill 03" sheetId="40" r:id="rId24"/>
    <sheet name="SWEIHAN-Bill 04" sheetId="41" r:id="rId25"/>
    <sheet name="SWEIHAN-Bill 05" sheetId="42" r:id="rId26"/>
    <sheet name="DAYWORKS-Bill 06" sheetId="43" r:id="rId27"/>
  </sheets>
  <definedNames>
    <definedName name="_xlnm._FilterDatabase" localSheetId="3" hidden="1">'AL Dhaher Bill 01'!$A$6:$CI$47</definedName>
    <definedName name="_xlnm._FilterDatabase" localSheetId="4" hidden="1">'AL Dhaher-Bill 02'!$A$6:$F$121</definedName>
    <definedName name="_xlnm._FilterDatabase" localSheetId="5" hidden="1">'AL Dhaher-Bill 03'!$A$6:$F$82</definedName>
    <definedName name="_xlnm._FilterDatabase" localSheetId="6" hidden="1">'AL Dhaher-Bill 04'!$A$6:$F$48</definedName>
    <definedName name="_xlnm._FilterDatabase" localSheetId="7" hidden="1">'AL Dhaher-Bill 05'!$A$6:$CG$42</definedName>
    <definedName name="_xlnm._FilterDatabase" localSheetId="16" hidden="1">'AL SAAD- Bill 02'!$A$6:$BJ$141</definedName>
    <definedName name="_xlnm._FilterDatabase" localSheetId="19" hidden="1">'AL SAAD- Bill 05'!$A$6:$F$44</definedName>
    <definedName name="_xlnm._FilterDatabase" localSheetId="15" hidden="1">'AL SAAD-Bill 01'!$A$6:$F$63</definedName>
    <definedName name="_xlnm._FilterDatabase" localSheetId="17" hidden="1">'AL SAAD-Bill 03'!$A$6:$F$119</definedName>
    <definedName name="_xlnm._FilterDatabase" localSheetId="18" hidden="1">'AL SAAD-Bill 04'!$A$6:$F$55</definedName>
    <definedName name="_xlnm._FilterDatabase" localSheetId="26" hidden="1">'DAYWORKS-Bill 06'!$A$6:$DA$6</definedName>
    <definedName name="_xlnm._FilterDatabase" localSheetId="1" hidden="1">'GENERAL ITEMS'!$A$6:$F$29</definedName>
    <definedName name="_xlnm._FilterDatabase" localSheetId="9" hidden="1">'Nahel-Bill 01'!$A$6:$F$43</definedName>
    <definedName name="_xlnm._FilterDatabase" localSheetId="10" hidden="1">'Nahel-Bill 02'!$A$6:$BX$110</definedName>
    <definedName name="_xlnm._FilterDatabase" localSheetId="11" hidden="1">'Nahel-Bill 03'!$A$6:$F$86</definedName>
    <definedName name="_xlnm._FilterDatabase" localSheetId="12" hidden="1">'Nahel-Bill 04'!$A$6:$F$42</definedName>
    <definedName name="_xlnm._FilterDatabase" localSheetId="13" hidden="1">'Nahel-Bill 05'!$A$6:$F$41</definedName>
    <definedName name="_xlnm._FilterDatabase" localSheetId="21" hidden="1">'SWEIHAN-Bill 01'!$A$6:$F$49</definedName>
    <definedName name="_xlnm._FilterDatabase" localSheetId="22" hidden="1">'SWEIHAN-Bill 02'!$A$6:$F$119</definedName>
    <definedName name="_xlnm._FilterDatabase" localSheetId="23" hidden="1">'SWEIHAN-Bill 03'!$A$6:$F$119</definedName>
    <definedName name="_xlnm._FilterDatabase" localSheetId="24" hidden="1">'SWEIHAN-Bill 04'!$A$6:$F$46</definedName>
    <definedName name="_xlnm._FilterDatabase" localSheetId="25" hidden="1">'SWEIHAN-Bill 05'!$A$6:$F$44</definedName>
    <definedName name="_xlnm.Print_Area" localSheetId="3">'AL Dhaher Bill 01'!$A$1:$F$47</definedName>
    <definedName name="_xlnm.Print_Area" localSheetId="4">'AL Dhaher-Bill 02'!$A$1:$F$121</definedName>
    <definedName name="_xlnm.Print_Area" localSheetId="5">'AL Dhaher-Bill 03'!$A$1:$F$82</definedName>
    <definedName name="_xlnm.Print_Area" localSheetId="6">'AL Dhaher-Bill 04'!$A$1:$F$48</definedName>
    <definedName name="_xlnm.Print_Area" localSheetId="7">'AL Dhaher-Bill 05'!$A$1:$F$41</definedName>
    <definedName name="_xlnm.Print_Area" localSheetId="16">'AL SAAD- Bill 02'!$A$1:$F$141</definedName>
    <definedName name="_xlnm.Print_Area" localSheetId="19">'AL SAAD- Bill 05'!$A$1:$F$44</definedName>
    <definedName name="_xlnm.Print_Area" localSheetId="15">'AL SAAD-Bill 01'!$A$1:$F$63</definedName>
    <definedName name="_xlnm.Print_Area" localSheetId="17">'AL SAAD-Bill 03'!$A$1:$F$119</definedName>
    <definedName name="_xlnm.Print_Area" localSheetId="18">'AL SAAD-Bill 04'!$A$1:$F$55</definedName>
    <definedName name="_xlnm.Print_Area" localSheetId="14">'AL SAAD-Summary '!$A$1:$C$20</definedName>
    <definedName name="_xlnm.Print_Area" localSheetId="2">'ALDhaher-Summary '!$A$1:$C$20</definedName>
    <definedName name="_xlnm.Print_Area" localSheetId="26">'DAYWORKS-Bill 06'!$A$1:$F$92</definedName>
    <definedName name="_xlnm.Print_Area" localSheetId="1">'GENERAL ITEMS'!$A$1:$F$29</definedName>
    <definedName name="_xlnm.Print_Area" localSheetId="9">'Nahel-Bill 01'!$A$1:$F$43</definedName>
    <definedName name="_xlnm.Print_Area" localSheetId="10">'Nahel-Bill 02'!$A$1:$F$110</definedName>
    <definedName name="_xlnm.Print_Area" localSheetId="11">'Nahel-Bill 03'!$A$1:$F$86</definedName>
    <definedName name="_xlnm.Print_Area" localSheetId="12">'Nahel-Bill 04'!$A$1:$F$42</definedName>
    <definedName name="_xlnm.Print_Area" localSheetId="13">'Nahel-Bill 05'!$A$1:$F$41</definedName>
    <definedName name="_xlnm.Print_Area" localSheetId="8">'Nahel-Summary '!$A$1:$C$20</definedName>
    <definedName name="_xlnm.Print_Area" localSheetId="0">'Project Summary '!$A$1:$C$21</definedName>
    <definedName name="_xlnm.Print_Area" localSheetId="21">'SWEIHAN-Bill 01'!$A$1:$F$49</definedName>
    <definedName name="_xlnm.Print_Area" localSheetId="22">'SWEIHAN-Bill 02'!$A$1:$F$119</definedName>
    <definedName name="_xlnm.Print_Area" localSheetId="23">'SWEIHAN-Bill 03'!$A$1:$F$119</definedName>
    <definedName name="_xlnm.Print_Area" localSheetId="24">'SWEIHAN-Bill 04'!$A$1:$F$46</definedName>
    <definedName name="_xlnm.Print_Area" localSheetId="25">'SWEIHAN-Bill 05'!$A$1:$F$44</definedName>
    <definedName name="_xlnm.Print_Area" localSheetId="20">'SWEIHAN-Summary '!$A$1:$C$20</definedName>
    <definedName name="_xlnm.Print_Titles" localSheetId="3">'AL Dhaher Bill 01'!$1:$6</definedName>
    <definedName name="_xlnm.Print_Titles" localSheetId="4">'AL Dhaher-Bill 02'!$1:$6</definedName>
    <definedName name="_xlnm.Print_Titles" localSheetId="5">'AL Dhaher-Bill 03'!$1:$6</definedName>
    <definedName name="_xlnm.Print_Titles" localSheetId="6">'AL Dhaher-Bill 04'!$1:$6</definedName>
    <definedName name="_xlnm.Print_Titles" localSheetId="7">'AL Dhaher-Bill 05'!$1:$6</definedName>
    <definedName name="_xlnm.Print_Titles" localSheetId="16">'AL SAAD- Bill 02'!$1:$6</definedName>
    <definedName name="_xlnm.Print_Titles" localSheetId="19">'AL SAAD- Bill 05'!$1:$6</definedName>
    <definedName name="_xlnm.Print_Titles" localSheetId="15">'AL SAAD-Bill 01'!$1:$6</definedName>
    <definedName name="_xlnm.Print_Titles" localSheetId="17">'AL SAAD-Bill 03'!$1:$6</definedName>
    <definedName name="_xlnm.Print_Titles" localSheetId="18">'AL SAAD-Bill 04'!$1:$6</definedName>
    <definedName name="_xlnm.Print_Titles" localSheetId="14">'AL SAAD-Summary '!$1:$6</definedName>
    <definedName name="_xlnm.Print_Titles" localSheetId="2">'ALDhaher-Summary '!$1:$6</definedName>
    <definedName name="_xlnm.Print_Titles" localSheetId="26">'DAYWORKS-Bill 06'!$1:$6</definedName>
    <definedName name="_xlnm.Print_Titles" localSheetId="1">'GENERAL ITEMS'!$1:$6</definedName>
    <definedName name="_xlnm.Print_Titles" localSheetId="9">'Nahel-Bill 01'!$1:$6</definedName>
    <definedName name="_xlnm.Print_Titles" localSheetId="10">'Nahel-Bill 02'!$1:$6</definedName>
    <definedName name="_xlnm.Print_Titles" localSheetId="11">'Nahel-Bill 03'!$1:$6</definedName>
    <definedName name="_xlnm.Print_Titles" localSheetId="12">'Nahel-Bill 04'!$1:$6</definedName>
    <definedName name="_xlnm.Print_Titles" localSheetId="13">'Nahel-Bill 05'!$1:$6</definedName>
    <definedName name="_xlnm.Print_Titles" localSheetId="8">'Nahel-Summary '!$1:$6</definedName>
    <definedName name="_xlnm.Print_Titles" localSheetId="0">'Project Summary '!$1:$6</definedName>
    <definedName name="_xlnm.Print_Titles" localSheetId="21">'SWEIHAN-Bill 01'!$1:$6</definedName>
    <definedName name="_xlnm.Print_Titles" localSheetId="22">'SWEIHAN-Bill 02'!$1:$6</definedName>
    <definedName name="_xlnm.Print_Titles" localSheetId="23">'SWEIHAN-Bill 03'!$1:$6</definedName>
    <definedName name="_xlnm.Print_Titles" localSheetId="24">'SWEIHAN-Bill 04'!$1:$6</definedName>
    <definedName name="_xlnm.Print_Titles" localSheetId="25">'SWEIHAN-Bill 05'!$1:$6</definedName>
    <definedName name="_xlnm.Print_Titles" localSheetId="20">'SWEIHAN-Summary '!$1:$6</definedName>
  </definedNames>
  <calcPr calcId="181029"/>
</workbook>
</file>

<file path=xl/calcChain.xml><?xml version="1.0" encoding="utf-8"?>
<calcChain xmlns="http://schemas.openxmlformats.org/spreadsheetml/2006/main">
  <c r="F14" i="41" l="1"/>
  <c r="F10" i="41"/>
  <c r="C14" i="17"/>
  <c r="F54" i="28"/>
  <c r="F9" i="42"/>
  <c r="F9" i="34"/>
  <c r="F8" i="32"/>
  <c r="F10" i="30"/>
  <c r="F9" i="30"/>
  <c r="F10" i="29"/>
  <c r="F9" i="28"/>
  <c r="F8" i="27"/>
  <c r="F12" i="26"/>
  <c r="F19" i="26"/>
  <c r="F8" i="26"/>
  <c r="F20" i="40"/>
  <c r="F68" i="43" l="1"/>
  <c r="F24" i="42" l="1"/>
  <c r="A14" i="38"/>
  <c r="A12" i="32"/>
  <c r="A16" i="32" s="1"/>
  <c r="A19" i="26"/>
  <c r="A21" i="26" s="1"/>
  <c r="A62" i="39"/>
  <c r="A57" i="27"/>
  <c r="A59" i="27" s="1"/>
  <c r="A23" i="26" l="1"/>
  <c r="A24" i="26"/>
  <c r="A19" i="32"/>
  <c r="A21" i="32" s="1"/>
  <c r="A17" i="38"/>
  <c r="A19" i="38" s="1"/>
  <c r="A25" i="26" l="1"/>
  <c r="A26" i="26"/>
  <c r="A23" i="32"/>
  <c r="A21" i="38"/>
  <c r="A61" i="27"/>
  <c r="A28" i="26" l="1"/>
  <c r="A30" i="26" s="1"/>
  <c r="A25" i="32"/>
  <c r="A26" i="32" s="1"/>
  <c r="A23" i="38"/>
  <c r="A25" i="38" s="1"/>
  <c r="A26" i="38" s="1"/>
  <c r="A64" i="27"/>
  <c r="A66" i="27" s="1"/>
  <c r="F91" i="43"/>
  <c r="F90" i="43"/>
  <c r="F89" i="43"/>
  <c r="F88" i="43"/>
  <c r="F87" i="43"/>
  <c r="F86" i="43"/>
  <c r="F85" i="43"/>
  <c r="F84" i="43"/>
  <c r="F83" i="43"/>
  <c r="F82" i="43"/>
  <c r="F81" i="43"/>
  <c r="F80" i="43"/>
  <c r="F79" i="43"/>
  <c r="F78" i="43"/>
  <c r="F77" i="43"/>
  <c r="F76" i="43"/>
  <c r="F74" i="43"/>
  <c r="F73" i="43"/>
  <c r="F72" i="43"/>
  <c r="F71" i="43"/>
  <c r="F70" i="43"/>
  <c r="F69" i="43"/>
  <c r="F67" i="43"/>
  <c r="F66" i="43"/>
  <c r="F65" i="43"/>
  <c r="F64" i="43"/>
  <c r="F63" i="43"/>
  <c r="F62" i="43"/>
  <c r="F61" i="43"/>
  <c r="F60" i="43"/>
  <c r="F59" i="43"/>
  <c r="F58" i="43"/>
  <c r="F57" i="43"/>
  <c r="F56" i="43"/>
  <c r="F55" i="43"/>
  <c r="F54" i="43"/>
  <c r="F53" i="43"/>
  <c r="F52" i="43"/>
  <c r="F51" i="43"/>
  <c r="F50" i="43"/>
  <c r="F49" i="43"/>
  <c r="F48" i="43"/>
  <c r="F46" i="43"/>
  <c r="F45" i="43"/>
  <c r="F44" i="43"/>
  <c r="F43" i="43"/>
  <c r="F42" i="43"/>
  <c r="F41" i="43"/>
  <c r="F40" i="43"/>
  <c r="F39" i="43"/>
  <c r="F38" i="43"/>
  <c r="F37" i="43"/>
  <c r="F36" i="43"/>
  <c r="F35" i="43"/>
  <c r="F34" i="43"/>
  <c r="F33" i="43"/>
  <c r="F32" i="43"/>
  <c r="F31" i="43"/>
  <c r="F30" i="43"/>
  <c r="F29" i="43"/>
  <c r="F28" i="43"/>
  <c r="F27" i="43"/>
  <c r="F26" i="43"/>
  <c r="F25" i="43"/>
  <c r="F24" i="43"/>
  <c r="F23" i="43"/>
  <c r="F22" i="43"/>
  <c r="F21" i="43"/>
  <c r="F20" i="43"/>
  <c r="F19" i="43"/>
  <c r="F18" i="43"/>
  <c r="F16" i="43"/>
  <c r="F15" i="43"/>
  <c r="F14" i="43"/>
  <c r="F13" i="43"/>
  <c r="F12" i="43"/>
  <c r="A32" i="26" l="1"/>
  <c r="A27" i="32"/>
  <c r="A28" i="32" s="1"/>
  <c r="A27" i="38"/>
  <c r="A28" i="38" s="1"/>
  <c r="A67" i="27"/>
  <c r="A30" i="38" l="1"/>
  <c r="A32" i="38" s="1"/>
  <c r="A36" i="38" s="1"/>
  <c r="A36" i="26"/>
  <c r="A39" i="26" s="1"/>
  <c r="A30" i="32"/>
  <c r="A69" i="27"/>
  <c r="A71" i="27" s="1"/>
  <c r="F28" i="18"/>
  <c r="A38" i="26" l="1"/>
  <c r="A42" i="26" s="1"/>
  <c r="A32" i="32"/>
  <c r="A34" i="32" s="1"/>
  <c r="A38" i="32" s="1"/>
  <c r="A38" i="38"/>
  <c r="A72" i="27"/>
  <c r="F92" i="43"/>
  <c r="C12" i="17" s="1"/>
  <c r="F26" i="18"/>
  <c r="F24" i="18"/>
  <c r="F22" i="18"/>
  <c r="F21" i="18"/>
  <c r="F19" i="18"/>
  <c r="F17" i="18"/>
  <c r="F16" i="18"/>
  <c r="F15" i="18"/>
  <c r="F12" i="18"/>
  <c r="F10" i="18"/>
  <c r="F8" i="18"/>
  <c r="F29" i="18" l="1"/>
  <c r="C7" i="17" s="1"/>
  <c r="A40" i="32"/>
  <c r="A40" i="38"/>
  <c r="A73" i="27"/>
  <c r="A74" i="27" s="1"/>
  <c r="A42" i="32" l="1"/>
  <c r="A42" i="38"/>
  <c r="A45" i="38" s="1"/>
  <c r="A75" i="27"/>
  <c r="A76" i="27" s="1"/>
  <c r="A44" i="32" l="1"/>
  <c r="A47" i="32" s="1"/>
  <c r="A50" i="32" s="1"/>
  <c r="A48" i="38"/>
  <c r="A77" i="27"/>
  <c r="A53" i="32" l="1"/>
  <c r="A55" i="32" s="1"/>
  <c r="A78" i="27"/>
  <c r="A79" i="27" s="1"/>
  <c r="A57" i="32" l="1"/>
  <c r="A59" i="32" s="1"/>
  <c r="A80" i="27"/>
  <c r="A60" i="32" l="1"/>
  <c r="A81" i="27"/>
  <c r="A82" i="27" s="1"/>
  <c r="A83" i="27" s="1"/>
  <c r="A61" i="32" l="1"/>
  <c r="A62" i="32" s="1"/>
  <c r="A86" i="27"/>
  <c r="A88" i="27" l="1"/>
  <c r="A89" i="27" l="1"/>
  <c r="A91" i="27" l="1"/>
  <c r="A94" i="27" l="1"/>
  <c r="A95" i="27" l="1"/>
  <c r="A96" i="27" s="1"/>
  <c r="A97" i="27" l="1"/>
  <c r="A98" i="27" l="1"/>
  <c r="A99" i="27" s="1"/>
  <c r="A100" i="27" l="1"/>
  <c r="A101" i="27" l="1"/>
  <c r="A102" i="27" l="1"/>
  <c r="A104" i="27" l="1"/>
  <c r="A105" i="27" l="1"/>
  <c r="A106" i="27" s="1"/>
  <c r="A107" i="27" s="1"/>
  <c r="A108" i="27" s="1"/>
  <c r="A109" i="27" s="1"/>
  <c r="F8" i="20" l="1"/>
  <c r="F31" i="20"/>
  <c r="F18" i="20"/>
  <c r="F33" i="20"/>
  <c r="F10" i="20"/>
  <c r="F26" i="20"/>
  <c r="F43" i="20"/>
  <c r="F24" i="20"/>
  <c r="F12" i="20"/>
  <c r="F27" i="20"/>
  <c r="F46" i="20"/>
  <c r="F16" i="20"/>
  <c r="F39" i="20"/>
  <c r="F25" i="20"/>
  <c r="F41" i="20"/>
  <c r="F20" i="20"/>
  <c r="F35" i="20"/>
  <c r="F22" i="20"/>
  <c r="F37" i="20"/>
  <c r="F29" i="20"/>
  <c r="F8" i="21" l="1"/>
  <c r="F51" i="21"/>
  <c r="F92" i="21"/>
  <c r="F116" i="21"/>
  <c r="F35" i="21"/>
  <c r="F41" i="21"/>
  <c r="F52" i="21"/>
  <c r="F67" i="21"/>
  <c r="F81" i="21"/>
  <c r="F93" i="21"/>
  <c r="F103" i="21"/>
  <c r="F113" i="21"/>
  <c r="F27" i="21"/>
  <c r="F56" i="21"/>
  <c r="F98" i="21"/>
  <c r="F36" i="21"/>
  <c r="F42" i="21"/>
  <c r="F53" i="21"/>
  <c r="F69" i="21"/>
  <c r="F82" i="21"/>
  <c r="F96" i="21"/>
  <c r="F104" i="21"/>
  <c r="F114" i="21"/>
  <c r="F34" i="21"/>
  <c r="F64" i="21"/>
  <c r="F102" i="21"/>
  <c r="F25" i="21"/>
  <c r="F13" i="21"/>
  <c r="F44" i="21"/>
  <c r="F55" i="21"/>
  <c r="F70" i="21"/>
  <c r="F83" i="21"/>
  <c r="F97" i="21"/>
  <c r="F105" i="21"/>
  <c r="F115" i="21"/>
  <c r="F79" i="21"/>
  <c r="F77" i="21"/>
  <c r="F15" i="21"/>
  <c r="F72" i="21"/>
  <c r="F106" i="21"/>
  <c r="F29" i="21"/>
  <c r="F17" i="21"/>
  <c r="F49" i="21"/>
  <c r="F58" i="21"/>
  <c r="F73" i="21"/>
  <c r="F85" i="21"/>
  <c r="F99" i="21"/>
  <c r="F107" i="21"/>
  <c r="F117" i="21"/>
  <c r="F40" i="21"/>
  <c r="F76" i="21"/>
  <c r="F120" i="21"/>
  <c r="F31" i="21"/>
  <c r="F19" i="21"/>
  <c r="F38" i="21"/>
  <c r="F60" i="21"/>
  <c r="F74" i="21"/>
  <c r="F87" i="21"/>
  <c r="F100" i="21"/>
  <c r="F108" i="21"/>
  <c r="F118" i="21"/>
  <c r="F48" i="21"/>
  <c r="F84" i="21"/>
  <c r="F112" i="21"/>
  <c r="F33" i="21"/>
  <c r="F21" i="21"/>
  <c r="F50" i="21"/>
  <c r="F62" i="21"/>
  <c r="F75" i="21"/>
  <c r="F90" i="21"/>
  <c r="F101" i="21"/>
  <c r="F109" i="21"/>
  <c r="F119" i="21"/>
  <c r="F78" i="21"/>
  <c r="F80" i="21"/>
  <c r="F47" i="20"/>
  <c r="C7" i="19" s="1"/>
  <c r="F9" i="22" l="1"/>
  <c r="F38" i="22"/>
  <c r="F79" i="22"/>
  <c r="F21" i="22"/>
  <c r="F33" i="22"/>
  <c r="F45" i="22"/>
  <c r="F58" i="22"/>
  <c r="F68" i="22"/>
  <c r="F81" i="22"/>
  <c r="F13" i="22"/>
  <c r="F50" i="22"/>
  <c r="F16" i="22"/>
  <c r="F29" i="22"/>
  <c r="F41" i="22"/>
  <c r="F53" i="22"/>
  <c r="F64" i="22"/>
  <c r="F75" i="22"/>
  <c r="F19" i="22"/>
  <c r="F56" i="22"/>
  <c r="F12" i="22"/>
  <c r="F24" i="22"/>
  <c r="F36" i="22"/>
  <c r="F49" i="22"/>
  <c r="F61" i="22"/>
  <c r="F71" i="22"/>
  <c r="F26" i="22"/>
  <c r="F62" i="22"/>
  <c r="F15" i="22"/>
  <c r="F27" i="22"/>
  <c r="F39" i="22"/>
  <c r="F52" i="22"/>
  <c r="F63" i="22"/>
  <c r="F74" i="22"/>
  <c r="F32" i="22"/>
  <c r="F66" i="22"/>
  <c r="F10" i="22"/>
  <c r="F22" i="22"/>
  <c r="F35" i="22"/>
  <c r="F47" i="22"/>
  <c r="F59" i="22"/>
  <c r="F69" i="22"/>
  <c r="F44" i="22"/>
  <c r="F72" i="22"/>
  <c r="F18" i="22"/>
  <c r="F30" i="22"/>
  <c r="F42" i="22"/>
  <c r="F55" i="22"/>
  <c r="F65" i="22"/>
  <c r="F77" i="22"/>
  <c r="F121" i="21"/>
  <c r="C8" i="19" s="1"/>
  <c r="F10" i="23" l="1"/>
  <c r="F47" i="23"/>
  <c r="F11" i="23"/>
  <c r="F31" i="23"/>
  <c r="F40" i="23"/>
  <c r="F14" i="23"/>
  <c r="F33" i="23"/>
  <c r="F41" i="23"/>
  <c r="F21" i="23"/>
  <c r="F27" i="23"/>
  <c r="F38" i="23"/>
  <c r="F29" i="23"/>
  <c r="F24" i="23"/>
  <c r="F36" i="23"/>
  <c r="F35" i="23"/>
  <c r="F25" i="23"/>
  <c r="F37" i="23"/>
  <c r="F39" i="23"/>
  <c r="F17" i="23"/>
  <c r="F34" i="23"/>
  <c r="F45" i="23"/>
  <c r="F82" i="22"/>
  <c r="C9" i="19" s="1"/>
  <c r="F48" i="23" l="1"/>
  <c r="C10" i="19" s="1"/>
  <c r="F9" i="24"/>
  <c r="F37" i="24"/>
  <c r="F11" i="24"/>
  <c r="F20" i="24"/>
  <c r="F32" i="24"/>
  <c r="F24" i="24"/>
  <c r="F12" i="24"/>
  <c r="F22" i="24"/>
  <c r="F33" i="24"/>
  <c r="F14" i="24"/>
  <c r="F17" i="24"/>
  <c r="F30" i="24"/>
  <c r="F40" i="24"/>
  <c r="F18" i="24"/>
  <c r="F15" i="24"/>
  <c r="F26" i="24"/>
  <c r="F38" i="24"/>
  <c r="F10" i="24"/>
  <c r="F16" i="24"/>
  <c r="F29" i="24"/>
  <c r="F39" i="24"/>
  <c r="F31" i="24"/>
  <c r="F13" i="24"/>
  <c r="F23" i="24"/>
  <c r="F35" i="24"/>
  <c r="F36" i="26" l="1"/>
  <c r="F38" i="26"/>
  <c r="F17" i="26"/>
  <c r="F30" i="26"/>
  <c r="F23" i="26"/>
  <c r="F42" i="26"/>
  <c r="F21" i="26"/>
  <c r="F34" i="26"/>
  <c r="F24" i="26"/>
  <c r="F39" i="26"/>
  <c r="F32" i="26"/>
  <c r="F28" i="26"/>
  <c r="F25" i="26"/>
  <c r="F10" i="26"/>
  <c r="F26" i="26"/>
  <c r="F16" i="26"/>
  <c r="F41" i="24"/>
  <c r="C11" i="19" s="1"/>
  <c r="C13" i="19" s="1"/>
  <c r="F91" i="27" l="1"/>
  <c r="F44" i="27"/>
  <c r="F98" i="27"/>
  <c r="F14" i="27"/>
  <c r="F101" i="27"/>
  <c r="F106" i="27"/>
  <c r="F100" i="27"/>
  <c r="F57" i="27"/>
  <c r="F102" i="27"/>
  <c r="F52" i="27"/>
  <c r="F99" i="27"/>
  <c r="F97" i="27"/>
  <c r="F18" i="27"/>
  <c r="F22" i="27"/>
  <c r="F34" i="27"/>
  <c r="F30" i="27"/>
  <c r="F75" i="27"/>
  <c r="F69" i="27"/>
  <c r="F38" i="27"/>
  <c r="F86" i="27"/>
  <c r="F33" i="27"/>
  <c r="F81" i="27"/>
  <c r="F61" i="27"/>
  <c r="F89" i="27"/>
  <c r="F73" i="27"/>
  <c r="F48" i="27"/>
  <c r="F55" i="27"/>
  <c r="F83" i="27"/>
  <c r="F78" i="27"/>
  <c r="F46" i="27"/>
  <c r="F94" i="27"/>
  <c r="F67" i="27"/>
  <c r="F108" i="27"/>
  <c r="F79" i="27"/>
  <c r="F50" i="27"/>
  <c r="F47" i="27"/>
  <c r="F74" i="27"/>
  <c r="F64" i="27"/>
  <c r="F53" i="27"/>
  <c r="F31" i="27"/>
  <c r="F80" i="27"/>
  <c r="F28" i="27"/>
  <c r="F77" i="27"/>
  <c r="F105" i="27"/>
  <c r="F26" i="27"/>
  <c r="F95" i="27"/>
  <c r="F45" i="27"/>
  <c r="F82" i="27"/>
  <c r="F24" i="27"/>
  <c r="F12" i="27"/>
  <c r="F109" i="27"/>
  <c r="F66" i="27"/>
  <c r="F107" i="27"/>
  <c r="F59" i="27"/>
  <c r="F104" i="27"/>
  <c r="F49" i="27"/>
  <c r="F76" i="27"/>
  <c r="F71" i="27"/>
  <c r="F96" i="27"/>
  <c r="F36" i="27"/>
  <c r="F29" i="27"/>
  <c r="F16" i="27"/>
  <c r="F72" i="27"/>
  <c r="F40" i="27"/>
  <c r="F88" i="27"/>
  <c r="F43" i="26"/>
  <c r="C7" i="25" s="1"/>
  <c r="C8" i="17"/>
  <c r="C14" i="19"/>
  <c r="C15" i="19" s="1"/>
  <c r="F110" i="27" l="1"/>
  <c r="C8" i="25" s="1"/>
  <c r="F14" i="28"/>
  <c r="F83" i="28"/>
  <c r="F72" i="28"/>
  <c r="F38" i="28"/>
  <c r="F46" i="28"/>
  <c r="F17" i="28"/>
  <c r="F65" i="28"/>
  <c r="F37" i="28"/>
  <c r="F85" i="28"/>
  <c r="F35" i="28"/>
  <c r="F44" i="28"/>
  <c r="F56" i="28"/>
  <c r="F28" i="28"/>
  <c r="F73" i="28"/>
  <c r="F48" i="28"/>
  <c r="F18" i="28"/>
  <c r="F66" i="28"/>
  <c r="F40" i="28"/>
  <c r="F59" i="28"/>
  <c r="F26" i="28"/>
  <c r="F78" i="28"/>
  <c r="F34" i="28"/>
  <c r="F81" i="28"/>
  <c r="F53" i="28"/>
  <c r="F25" i="28"/>
  <c r="F70" i="28"/>
  <c r="F51" i="28"/>
  <c r="F21" i="28"/>
  <c r="F60" i="28"/>
  <c r="F62" i="28"/>
  <c r="F43" i="28"/>
  <c r="F29" i="28"/>
  <c r="F63" i="28"/>
  <c r="F68" i="28"/>
  <c r="F15" i="28"/>
  <c r="F52" i="28"/>
  <c r="F79" i="28"/>
  <c r="F67" i="28"/>
  <c r="F75" i="28"/>
  <c r="F76" i="28"/>
  <c r="F41" i="28"/>
  <c r="F31" i="28"/>
  <c r="F23" i="28"/>
  <c r="F10" i="28"/>
  <c r="F49" i="28"/>
  <c r="F32" i="28"/>
  <c r="F12" i="28"/>
  <c r="F20" i="28"/>
  <c r="F69" i="28"/>
  <c r="F11" i="28"/>
  <c r="F57" i="28"/>
  <c r="F86" i="28" l="1"/>
  <c r="C9" i="25" s="1"/>
  <c r="F17" i="29"/>
  <c r="F28" i="29"/>
  <c r="F29" i="29"/>
  <c r="F35" i="29"/>
  <c r="F32" i="29"/>
  <c r="F30" i="29"/>
  <c r="F41" i="29"/>
  <c r="F27" i="29"/>
  <c r="F11" i="29"/>
  <c r="F23" i="29"/>
  <c r="F21" i="29"/>
  <c r="F25" i="29"/>
  <c r="F39" i="29"/>
  <c r="F33" i="29"/>
  <c r="F14" i="29"/>
  <c r="F34" i="29"/>
  <c r="F20" i="29"/>
  <c r="F31" i="29"/>
  <c r="F42" i="29" l="1"/>
  <c r="C10" i="25" s="1"/>
  <c r="F11" i="30"/>
  <c r="F22" i="30"/>
  <c r="F17" i="30"/>
  <c r="F15" i="30"/>
  <c r="F29" i="30"/>
  <c r="F33" i="30"/>
  <c r="F30" i="30"/>
  <c r="F20" i="30"/>
  <c r="F13" i="30"/>
  <c r="F40" i="30"/>
  <c r="F16" i="30"/>
  <c r="F39" i="30"/>
  <c r="F18" i="30"/>
  <c r="F24" i="30"/>
  <c r="F26" i="30"/>
  <c r="F38" i="30"/>
  <c r="F31" i="30"/>
  <c r="F32" i="30"/>
  <c r="F35" i="30"/>
  <c r="F12" i="30"/>
  <c r="F14" i="30"/>
  <c r="F23" i="30"/>
  <c r="F37" i="30"/>
  <c r="F23" i="32" l="1"/>
  <c r="F47" i="32"/>
  <c r="F50" i="32"/>
  <c r="F16" i="32"/>
  <c r="F36" i="32"/>
  <c r="F57" i="32"/>
  <c r="F59" i="32"/>
  <c r="F12" i="32"/>
  <c r="F34" i="32"/>
  <c r="F30" i="32"/>
  <c r="F32" i="32"/>
  <c r="F44" i="32"/>
  <c r="F38" i="32"/>
  <c r="F61" i="32"/>
  <c r="F17" i="32"/>
  <c r="F19" i="32"/>
  <c r="F60" i="32"/>
  <c r="F21" i="32"/>
  <c r="F25" i="32"/>
  <c r="F26" i="32"/>
  <c r="F42" i="32"/>
  <c r="F28" i="32"/>
  <c r="F55" i="32"/>
  <c r="F62" i="32"/>
  <c r="F27" i="32"/>
  <c r="F53" i="32"/>
  <c r="F10" i="32"/>
  <c r="F40" i="32"/>
  <c r="F41" i="30"/>
  <c r="C11" i="25" s="1"/>
  <c r="C13" i="25" s="1"/>
  <c r="C14" i="25" l="1"/>
  <c r="C15" i="25" s="1"/>
  <c r="C9" i="17"/>
  <c r="F92" i="33"/>
  <c r="F138" i="33"/>
  <c r="F123" i="33"/>
  <c r="F132" i="33"/>
  <c r="F54" i="33"/>
  <c r="F41" i="33"/>
  <c r="F42" i="33"/>
  <c r="F100" i="33"/>
  <c r="F33" i="33"/>
  <c r="F88" i="33"/>
  <c r="F17" i="33"/>
  <c r="F76" i="33"/>
  <c r="F134" i="33"/>
  <c r="F91" i="33"/>
  <c r="F136" i="33"/>
  <c r="F35" i="33"/>
  <c r="F120" i="33"/>
  <c r="F62" i="33"/>
  <c r="F90" i="33"/>
  <c r="F81" i="33"/>
  <c r="F63" i="33"/>
  <c r="F8" i="33"/>
  <c r="F135" i="33"/>
  <c r="F131" i="33"/>
  <c r="F104" i="33"/>
  <c r="F36" i="33"/>
  <c r="F137" i="33"/>
  <c r="F52" i="33"/>
  <c r="F60" i="33"/>
  <c r="F56" i="33"/>
  <c r="F69" i="33"/>
  <c r="F82" i="33"/>
  <c r="F121" i="33"/>
  <c r="F111" i="33"/>
  <c r="F117" i="33"/>
  <c r="F128" i="33"/>
  <c r="F25" i="33"/>
  <c r="F40" i="33"/>
  <c r="F109" i="33"/>
  <c r="F67" i="33"/>
  <c r="F108" i="33"/>
  <c r="F93" i="33"/>
  <c r="F84" i="33"/>
  <c r="F95" i="33"/>
  <c r="F79" i="33"/>
  <c r="F119" i="33"/>
  <c r="F31" i="33"/>
  <c r="F86" i="33"/>
  <c r="F15" i="33"/>
  <c r="F73" i="33"/>
  <c r="F133" i="33"/>
  <c r="F58" i="33"/>
  <c r="F116" i="33"/>
  <c r="F83" i="33"/>
  <c r="F65" i="33"/>
  <c r="F13" i="33"/>
  <c r="F115" i="33"/>
  <c r="F113" i="33"/>
  <c r="F47" i="33"/>
  <c r="F122" i="33"/>
  <c r="F87" i="33"/>
  <c r="F71" i="33"/>
  <c r="F45" i="33"/>
  <c r="F19" i="33"/>
  <c r="F21" i="33"/>
  <c r="F53" i="33"/>
  <c r="F78" i="33"/>
  <c r="F29" i="33"/>
  <c r="F61" i="33"/>
  <c r="F110" i="33"/>
  <c r="F94" i="33"/>
  <c r="F85" i="33"/>
  <c r="F51" i="33"/>
  <c r="F38" i="33"/>
  <c r="F27" i="33"/>
  <c r="F140" i="33"/>
  <c r="F105" i="33"/>
  <c r="F112" i="33"/>
  <c r="F97" i="33"/>
  <c r="F55" i="33"/>
  <c r="F114" i="33"/>
  <c r="F43" i="33"/>
  <c r="F101" i="33"/>
  <c r="F34" i="33"/>
  <c r="F89" i="33"/>
  <c r="F57" i="33"/>
  <c r="F102" i="33"/>
  <c r="F15" i="34"/>
  <c r="F28" i="34"/>
  <c r="F21" i="34"/>
  <c r="F10" i="34"/>
  <c r="F12" i="34"/>
  <c r="F61" i="34"/>
  <c r="F108" i="34"/>
  <c r="F50" i="34"/>
  <c r="F97" i="34"/>
  <c r="F64" i="34"/>
  <c r="F41" i="34"/>
  <c r="F33" i="34"/>
  <c r="F22" i="34"/>
  <c r="F18" i="34"/>
  <c r="F67" i="34"/>
  <c r="F116" i="34"/>
  <c r="F56" i="34"/>
  <c r="F104" i="34"/>
  <c r="F101" i="34"/>
  <c r="F107" i="34"/>
  <c r="F92" i="34"/>
  <c r="F81" i="34"/>
  <c r="F72" i="34"/>
  <c r="F13" i="34"/>
  <c r="F62" i="34"/>
  <c r="F110" i="34"/>
  <c r="F53" i="34"/>
  <c r="F51" i="34"/>
  <c r="F16" i="34"/>
  <c r="F58" i="34"/>
  <c r="F47" i="34"/>
  <c r="F30" i="34"/>
  <c r="F77" i="34"/>
  <c r="F19" i="34"/>
  <c r="F68" i="34"/>
  <c r="F118" i="34"/>
  <c r="F74" i="34"/>
  <c r="F75" i="34"/>
  <c r="F70" i="34"/>
  <c r="F59" i="34"/>
  <c r="F36" i="34"/>
  <c r="F83" i="34"/>
  <c r="F25" i="34"/>
  <c r="F73" i="34"/>
  <c r="F98" i="34"/>
  <c r="F39" i="34"/>
  <c r="F88" i="34"/>
  <c r="F80" i="34"/>
  <c r="F71" i="34"/>
  <c r="F42" i="34"/>
  <c r="F89" i="34"/>
  <c r="F32" i="34"/>
  <c r="F78" i="34"/>
  <c r="F105" i="34"/>
  <c r="F86" i="34"/>
  <c r="F45" i="34"/>
  <c r="F35" i="34"/>
  <c r="F48" i="34"/>
  <c r="F95" i="34"/>
  <c r="F38" i="34"/>
  <c r="F85" i="34"/>
  <c r="F111" i="34"/>
  <c r="F24" i="34"/>
  <c r="F27" i="34"/>
  <c r="F65" i="34"/>
  <c r="F113" i="34"/>
  <c r="F94" i="34"/>
  <c r="F55" i="34"/>
  <c r="F102" i="34"/>
  <c r="F44" i="34"/>
  <c r="F91" i="34"/>
  <c r="F63" i="32"/>
  <c r="C7" i="31" s="1"/>
  <c r="F119" i="34" l="1"/>
  <c r="C9" i="31" s="1"/>
  <c r="F10" i="35"/>
  <c r="F23" i="35"/>
  <c r="F43" i="35"/>
  <c r="F53" i="35"/>
  <c r="F14" i="35"/>
  <c r="F46" i="35"/>
  <c r="F54" i="35"/>
  <c r="F50" i="35"/>
  <c r="F32" i="35"/>
  <c r="F28" i="35"/>
  <c r="F52" i="35"/>
  <c r="F48" i="35"/>
  <c r="F49" i="35"/>
  <c r="F30" i="35"/>
  <c r="F24" i="35"/>
  <c r="F26" i="35"/>
  <c r="F34" i="35"/>
  <c r="F51" i="35"/>
  <c r="F33" i="35"/>
  <c r="F36" i="35"/>
  <c r="F38" i="35"/>
  <c r="F39" i="35"/>
  <c r="F20" i="35"/>
  <c r="F37" i="35"/>
  <c r="F11" i="35"/>
  <c r="F35" i="35"/>
  <c r="F17" i="35"/>
  <c r="F45" i="35"/>
  <c r="F141" i="33"/>
  <c r="C8" i="31" s="1"/>
  <c r="F55" i="35" l="1"/>
  <c r="C10" i="31" s="1"/>
  <c r="F17" i="36"/>
  <c r="F10" i="36"/>
  <c r="F42" i="36"/>
  <c r="F16" i="36"/>
  <c r="F33" i="36"/>
  <c r="F22" i="36"/>
  <c r="F27" i="36"/>
  <c r="F34" i="36"/>
  <c r="F36" i="36"/>
  <c r="F15" i="36"/>
  <c r="F12" i="36"/>
  <c r="F14" i="36"/>
  <c r="F21" i="36"/>
  <c r="F43" i="36"/>
  <c r="F25" i="36"/>
  <c r="F40" i="36"/>
  <c r="F38" i="36"/>
  <c r="F29" i="36"/>
  <c r="F13" i="36"/>
  <c r="F28" i="36"/>
  <c r="F9" i="36"/>
  <c r="F11" i="36"/>
  <c r="F18" i="36"/>
  <c r="F32" i="36"/>
  <c r="F35" i="36"/>
  <c r="F41" i="36"/>
  <c r="F23" i="36"/>
  <c r="F44" i="36" l="1"/>
  <c r="C11" i="31" s="1"/>
  <c r="C13" i="31" s="1"/>
  <c r="F36" i="38"/>
  <c r="F8" i="38"/>
  <c r="F10" i="38"/>
  <c r="F40" i="38"/>
  <c r="F27" i="38"/>
  <c r="F25" i="38"/>
  <c r="F14" i="38"/>
  <c r="F45" i="38"/>
  <c r="F15" i="38"/>
  <c r="F26" i="38"/>
  <c r="F32" i="38"/>
  <c r="F34" i="38"/>
  <c r="F48" i="38"/>
  <c r="F17" i="38"/>
  <c r="F19" i="38"/>
  <c r="F42" i="38"/>
  <c r="F38" i="38"/>
  <c r="F23" i="38"/>
  <c r="F30" i="38"/>
  <c r="F28" i="38"/>
  <c r="F21" i="38"/>
  <c r="C14" i="31" l="1"/>
  <c r="C15" i="31" s="1"/>
  <c r="C10" i="17"/>
  <c r="F8" i="39"/>
  <c r="F81" i="39"/>
  <c r="F44" i="39"/>
  <c r="F118" i="39"/>
  <c r="F31" i="39"/>
  <c r="F102" i="39"/>
  <c r="F71" i="39"/>
  <c r="F53" i="39"/>
  <c r="F97" i="39"/>
  <c r="F59" i="39"/>
  <c r="F104" i="39"/>
  <c r="F68" i="39"/>
  <c r="F110" i="39"/>
  <c r="F96" i="39"/>
  <c r="F43" i="39"/>
  <c r="F92" i="39"/>
  <c r="F105" i="39"/>
  <c r="F17" i="39"/>
  <c r="F85" i="39"/>
  <c r="F25" i="39"/>
  <c r="F78" i="39"/>
  <c r="F116" i="39"/>
  <c r="F83" i="39"/>
  <c r="F41" i="39"/>
  <c r="F88" i="39"/>
  <c r="F62" i="39"/>
  <c r="F73" i="39"/>
  <c r="F98" i="39"/>
  <c r="F84" i="39"/>
  <c r="F34" i="39"/>
  <c r="F106" i="39"/>
  <c r="F33" i="39"/>
  <c r="F82" i="39"/>
  <c r="F40" i="39"/>
  <c r="F87" i="39"/>
  <c r="F19" i="39"/>
  <c r="F76" i="39"/>
  <c r="F114" i="39"/>
  <c r="F79" i="39"/>
  <c r="F13" i="39"/>
  <c r="F56" i="39"/>
  <c r="F27" i="39"/>
  <c r="F38" i="39"/>
  <c r="F86" i="39"/>
  <c r="F46" i="39"/>
  <c r="F93" i="39"/>
  <c r="F29" i="39"/>
  <c r="F80" i="39"/>
  <c r="F77" i="39"/>
  <c r="F15" i="39"/>
  <c r="F54" i="39"/>
  <c r="F35" i="39"/>
  <c r="F115" i="39"/>
  <c r="F21" i="39"/>
  <c r="F91" i="39"/>
  <c r="F57" i="39"/>
  <c r="F103" i="39"/>
  <c r="F66" i="39"/>
  <c r="F109" i="39"/>
  <c r="F48" i="39"/>
  <c r="F95" i="39"/>
  <c r="F112" i="39"/>
  <c r="F60" i="39"/>
  <c r="F52" i="39"/>
  <c r="F36" i="39"/>
  <c r="F111" i="39"/>
  <c r="F64" i="39"/>
  <c r="F107" i="39"/>
  <c r="F74" i="39"/>
  <c r="F101" i="39"/>
  <c r="F113" i="39"/>
  <c r="F55" i="39"/>
  <c r="F49" i="38"/>
  <c r="C7" i="37" s="1"/>
  <c r="F97" i="40" l="1"/>
  <c r="F51" i="40"/>
  <c r="F45" i="40"/>
  <c r="F35" i="40"/>
  <c r="F81" i="40"/>
  <c r="F18" i="40"/>
  <c r="F67" i="40"/>
  <c r="F114" i="40"/>
  <c r="F56" i="40"/>
  <c r="F104" i="40"/>
  <c r="F105" i="40"/>
  <c r="F70" i="40"/>
  <c r="F41" i="40"/>
  <c r="F88" i="40"/>
  <c r="F24" i="40"/>
  <c r="F72" i="40"/>
  <c r="F13" i="40"/>
  <c r="F62" i="40"/>
  <c r="F110" i="40"/>
  <c r="F64" i="40"/>
  <c r="F33" i="40"/>
  <c r="F111" i="40"/>
  <c r="F22" i="40"/>
  <c r="F71" i="40"/>
  <c r="F30" i="40"/>
  <c r="F77" i="40"/>
  <c r="F19" i="40"/>
  <c r="F68" i="40"/>
  <c r="F27" i="40"/>
  <c r="F39" i="40"/>
  <c r="F118" i="40"/>
  <c r="F53" i="40"/>
  <c r="F100" i="40"/>
  <c r="F36" i="40"/>
  <c r="F83" i="40"/>
  <c r="F25" i="40"/>
  <c r="F73" i="40"/>
  <c r="F9" i="40"/>
  <c r="F80" i="40"/>
  <c r="F10" i="40"/>
  <c r="F59" i="40"/>
  <c r="F107" i="40"/>
  <c r="F42" i="40"/>
  <c r="F89" i="40"/>
  <c r="F32" i="40"/>
  <c r="F78" i="40"/>
  <c r="F74" i="40"/>
  <c r="F86" i="40"/>
  <c r="F16" i="40"/>
  <c r="F65" i="40"/>
  <c r="F113" i="40"/>
  <c r="F48" i="40"/>
  <c r="F95" i="40"/>
  <c r="F38" i="40"/>
  <c r="F84" i="40"/>
  <c r="F116" i="40"/>
  <c r="F98" i="40"/>
  <c r="F15" i="40"/>
  <c r="F92" i="40"/>
  <c r="F47" i="40"/>
  <c r="F94" i="40"/>
  <c r="F55" i="40"/>
  <c r="F101" i="40"/>
  <c r="F44" i="40"/>
  <c r="F91" i="40"/>
  <c r="F58" i="40"/>
  <c r="F21" i="40"/>
  <c r="F28" i="40"/>
  <c r="F75" i="40"/>
  <c r="F12" i="40"/>
  <c r="F61" i="40"/>
  <c r="F108" i="40"/>
  <c r="F50" i="40"/>
  <c r="F119" i="39"/>
  <c r="C8" i="37" s="1"/>
  <c r="F119" i="40" l="1"/>
  <c r="C9" i="37" s="1"/>
  <c r="F24" i="41"/>
  <c r="F38" i="41"/>
  <c r="F32" i="41"/>
  <c r="F35" i="41"/>
  <c r="F36" i="41"/>
  <c r="F28" i="41"/>
  <c r="F39" i="41"/>
  <c r="F17" i="41"/>
  <c r="F34" i="41"/>
  <c r="F20" i="41"/>
  <c r="F26" i="41"/>
  <c r="F30" i="41"/>
  <c r="F33" i="41"/>
  <c r="F37" i="41"/>
  <c r="F11" i="41"/>
  <c r="F43" i="41"/>
  <c r="F45" i="41"/>
  <c r="F23" i="41"/>
  <c r="F23" i="42" l="1"/>
  <c r="F36" i="42"/>
  <c r="F10" i="42"/>
  <c r="F34" i="42"/>
  <c r="F15" i="42"/>
  <c r="F29" i="42"/>
  <c r="F21" i="42"/>
  <c r="F13" i="42"/>
  <c r="F32" i="42"/>
  <c r="F27" i="42"/>
  <c r="F17" i="42"/>
  <c r="F14" i="42"/>
  <c r="F33" i="42"/>
  <c r="F40" i="42"/>
  <c r="F38" i="42"/>
  <c r="F43" i="42"/>
  <c r="F25" i="42"/>
  <c r="F22" i="42"/>
  <c r="F18" i="42"/>
  <c r="F28" i="42"/>
  <c r="F35" i="42"/>
  <c r="F42" i="42"/>
  <c r="F12" i="42"/>
  <c r="F41" i="42"/>
  <c r="F11" i="42"/>
  <c r="F16" i="42"/>
  <c r="F46" i="41"/>
  <c r="C10" i="37" s="1"/>
  <c r="F44" i="42" l="1"/>
  <c r="C11" i="37" s="1"/>
  <c r="C13" i="37" s="1"/>
  <c r="C11" i="17" l="1"/>
  <c r="C14" i="37"/>
  <c r="C15" i="37" s="1"/>
  <c r="C15" i="17" l="1"/>
  <c r="C16" i="17" s="1"/>
</calcChain>
</file>

<file path=xl/sharedStrings.xml><?xml version="1.0" encoding="utf-8"?>
<sst xmlns="http://schemas.openxmlformats.org/spreadsheetml/2006/main" count="2711" uniqueCount="742">
  <si>
    <t>Description</t>
  </si>
  <si>
    <t>Total Costs Excluding VAT (AED)</t>
  </si>
  <si>
    <t>Total  Costs Excluding VAT ( AED)</t>
  </si>
  <si>
    <t>Total Value Added Tax (VAT/5%) (AED)</t>
  </si>
  <si>
    <t>Total Costs Including VAT (AED)</t>
  </si>
  <si>
    <t>Total Costs in Words Including VAT (AED):</t>
  </si>
  <si>
    <t>Bill No.</t>
  </si>
  <si>
    <t>Total Costs in Words Excluding VAT (AED):</t>
  </si>
  <si>
    <t>VAT Amount  in Words (AED):</t>
  </si>
  <si>
    <t>GENERAL ITEMS</t>
  </si>
  <si>
    <t>AL DHAHER</t>
  </si>
  <si>
    <t>AL SAAD</t>
  </si>
  <si>
    <t>DAYWORKS</t>
  </si>
  <si>
    <t>Bill No.1, GENERAL ITEMS</t>
  </si>
  <si>
    <t>Sl.No</t>
  </si>
  <si>
    <t>UNIT</t>
  </si>
  <si>
    <t>Quantity (Q)</t>
  </si>
  <si>
    <t>Unit Rate AED (A)</t>
  </si>
  <si>
    <r>
      <t xml:space="preserve">Total Line Costs Ecxluding VAT
</t>
    </r>
    <r>
      <rPr>
        <b/>
        <sz val="9"/>
        <rFont val="Arial"/>
        <family val="2"/>
      </rPr>
      <t>B= AED (Q X A)</t>
    </r>
  </si>
  <si>
    <t>Procedures</t>
  </si>
  <si>
    <t>Allow for all costs involved in the preparation and submission of all procedures, co-ordination, method statements etc., required for the implementation of the works such as construction and shutdown requirements, testing and commissioning etc. all according to specifications</t>
  </si>
  <si>
    <t>Planning and Progress Reporting</t>
  </si>
  <si>
    <t xml:space="preserve">Allow for all costs involved in the preparation and submission of daily, weekly and monthly planning and progress reporting including reports, photographs  etc. all according to specifications. </t>
  </si>
  <si>
    <t>Design, Shop Drawings &amp; Documents</t>
  </si>
  <si>
    <t>1.03.1</t>
  </si>
  <si>
    <t>AS-BUILT DOCUMENTATION</t>
  </si>
  <si>
    <t>1.04.1</t>
  </si>
  <si>
    <t>1.04.2</t>
  </si>
  <si>
    <t xml:space="preserve">Three (3) sets including soft copies of all As Built drawings to be submitted to the TPD as per the TPD requirements and as per the CDMS license agreement including obtaining  the final approval of the TPD for the As Built Drawings </t>
  </si>
  <si>
    <t>1.04.3</t>
  </si>
  <si>
    <t xml:space="preserve">Three (3) sets of As-Built Record Manuals containing all documents of equipment, materials etc. used for the project with records of their test certificates, calibration, and setting values all properly indexed and bounded in size files with hard covers.  </t>
  </si>
  <si>
    <t>OPERATION AND MAINTENANCE MANUALS</t>
  </si>
  <si>
    <t>1.05.1</t>
  </si>
  <si>
    <t>Allow for all costs involved in the preparation and submission of one (1) set of operation and maintenance manuals (hard +soft copy) containing clear and precise instructions of operation and maintenance procedures with reference to the appropriate drawings and inclusive of the required related As-Built drawings.</t>
  </si>
  <si>
    <t>1.06.1</t>
  </si>
  <si>
    <t>1.06.2</t>
  </si>
  <si>
    <t xml:space="preserve">Temporary Facilities for Construction </t>
  </si>
  <si>
    <t>1.07.1</t>
  </si>
  <si>
    <t>Allow for all costs involved in setting up, maintenance, running costs etc. for all required temporary facilities for the construction including site preparation, workshops, fabrication yards, stores, sheds, site office, accommodation, first aid facilities, access roads etc. all according to the specification.</t>
  </si>
  <si>
    <t>Mobilization</t>
  </si>
  <si>
    <t>1.08.1</t>
  </si>
  <si>
    <t>Allow for all costs involved in mobilization of all  labor, supervision personnel, construction material, equipment &amp; plant, transport, consumables etc. which are required to set up the site including site office, fire and safety equipment all according to specifications.</t>
  </si>
  <si>
    <t xml:space="preserve">Demobilization </t>
  </si>
  <si>
    <t>1.09.1</t>
  </si>
  <si>
    <t>Total  Costs for  Bill No.1 excluding VAT  (AED)</t>
  </si>
  <si>
    <t>SUMMARY SHEET- AL DHAHER</t>
  </si>
  <si>
    <t>SUPPLY OF PIPEWORKS</t>
  </si>
  <si>
    <t xml:space="preserve">CIVIL WORKS </t>
  </si>
  <si>
    <t>.</t>
  </si>
  <si>
    <t>ELECTRICAL WORKS</t>
  </si>
  <si>
    <t xml:space="preserve">CONSTRUCTION OF PIPELINES </t>
  </si>
  <si>
    <t>INSTRUMENTATION AND CONTROL/ SCADA</t>
  </si>
  <si>
    <t>Bill No.1, SUPPLY OF PIPEWORKS</t>
  </si>
  <si>
    <r>
      <t xml:space="preserve">Total Line Costs Ecxluding VAT
</t>
    </r>
    <r>
      <rPr>
        <b/>
        <sz val="9"/>
        <color theme="1"/>
        <rFont val="Arial"/>
        <family val="2"/>
      </rPr>
      <t>B= AED (Q X A)</t>
    </r>
  </si>
  <si>
    <t xml:space="preserve">Storm Water Works </t>
  </si>
  <si>
    <t xml:space="preserve">Supply the following ISO standard uPVC including warning tape and all other accessories as per ADEWA standard specifications </t>
  </si>
  <si>
    <t xml:space="preserve">Sewerage Works </t>
  </si>
  <si>
    <t>Gully Trap</t>
  </si>
  <si>
    <t xml:space="preserve">Supply the following ISO standard Gully trap including all other accessories as per ADEWA standard specifications </t>
  </si>
  <si>
    <t xml:space="preserve">Potable Water Works </t>
  </si>
  <si>
    <t>Ductile Iron (DI) Pipe</t>
  </si>
  <si>
    <t>HDPE Pipe</t>
  </si>
  <si>
    <t>Gate Valves</t>
  </si>
  <si>
    <t>Supply of PN 16 Manual Gate Valves above ground in accordance with specification, drawings and data sheet.</t>
  </si>
  <si>
    <t>Air Valves</t>
  </si>
  <si>
    <t>Supply of Air Valves in accordance with specification, drawings and data sheet.</t>
  </si>
  <si>
    <t>Bulk Connection Chamber Valves &amp; Fittings</t>
  </si>
  <si>
    <t>Supply of Manual Check Valves &amp; Fittings in accordance with specification, drawings and data sheet.</t>
  </si>
  <si>
    <t>Supply of Manual Butterfly Valves &amp; Fittings in accordance with specification, drawings and data sheet.</t>
  </si>
  <si>
    <t>Supply of Settlement Type Electromagnetic Flow Meter &amp; Fittings on 355mm dia line in accordance with specification, drawings and data sheet.</t>
  </si>
  <si>
    <t>Supply of Control Valve &amp; Fittings in accordance with specification, drawings and data sheet.</t>
  </si>
  <si>
    <t>Flange Connection Chamber Fittings</t>
  </si>
  <si>
    <t>Supply of Flange Connection Chamber Fittings in accordance with specification, drawings and data sheet.</t>
  </si>
  <si>
    <t>Wash Out Valves</t>
  </si>
  <si>
    <t>Supply of Wash Out Valves in accordance with specification, drawings and data sheet.</t>
  </si>
  <si>
    <t xml:space="preserve">Bip Tap </t>
  </si>
  <si>
    <t>Supply of BIP TAP including all fittings and accessories</t>
  </si>
  <si>
    <t>Flow Meter Validation Unit</t>
  </si>
  <si>
    <t>Supply flow meter validation unit with validation software all as per specifications. The unit shall be supplied with power supply with rechargeable batteries and integral charger unit.</t>
  </si>
  <si>
    <t>No.</t>
  </si>
  <si>
    <t xml:space="preserve">Electromagnetic Flow Meter </t>
  </si>
  <si>
    <t>Supply of 6" flow meter. all in accordance with specification, data sheet and drawings.</t>
  </si>
  <si>
    <t xml:space="preserve">PPR Pipes </t>
  </si>
  <si>
    <t>Supply , PPR 20-25mm  pipes Including valves and chambers all as specified and shown on drawings.</t>
  </si>
  <si>
    <t>Flexible hoses</t>
  </si>
  <si>
    <t>Supply of PN 16 Flexible hoses of sufficient length, with one end flanged and necessary attachments including fasteners, gaskets etc. for filling bays as specified.</t>
  </si>
  <si>
    <t>Booster Set</t>
  </si>
  <si>
    <t>Domestic water booster set, with two or three vertical multi-stage pumps as shown on drawings, control box,  skid mounted, installed, connected and tested complete with stainless steel headers, pump individual isolating ball valves, check valves, isolating butterfly valves PN 20, lug and wafer type lever operated, strainer cast iron body PN 20,  flexible connections, concrete inertia pad, house pad, vibration eliminator pad, low level control float switches, pressure switch and controls all supplied from pump manufacturer diaphragm tank (s), food quality synthetic rubber membrane, steel painted body, working pressure 10 bars with isolating valve and pressure gauge, electric connections, wiring and accessories all as specified and shown on the drawings.</t>
  </si>
  <si>
    <t>Water booster set 1 duty + I standby  1.0 L/S @30m head each pump</t>
  </si>
  <si>
    <t xml:space="preserve">Bill No.2, CIVIL WORKS </t>
  </si>
  <si>
    <r>
      <t xml:space="preserve">Total Line Costs Ecxluding VAT
</t>
    </r>
    <r>
      <rPr>
        <sz val="9"/>
        <color theme="1"/>
        <rFont val="Arial"/>
        <family val="2"/>
      </rPr>
      <t>B= AED (Q X A)</t>
    </r>
  </si>
  <si>
    <t>Trial trench and Trial pits</t>
  </si>
  <si>
    <t xml:space="preserve">Trenches for Pipelines </t>
  </si>
  <si>
    <t xml:space="preserve">Excavate and Backfill Trenches for Pipelines </t>
  </si>
  <si>
    <t>Excavate, dewater and backfill  trenches for pipelines including shoring, surveying, etc. for a maximum cover to pipelines of 1.2 m as per specification and as shown in drawings  for the following sizes of pipelines</t>
  </si>
  <si>
    <t xml:space="preserve">PPR Pipelines </t>
  </si>
  <si>
    <t xml:space="preserve">DI Pipelines </t>
  </si>
  <si>
    <t>DI Pipelines</t>
  </si>
  <si>
    <t xml:space="preserve">HDPE Pipelines </t>
  </si>
  <si>
    <t xml:space="preserve">uPVC Pipelines for Storm Water Works </t>
  </si>
  <si>
    <t>uPVC Pipelines</t>
  </si>
  <si>
    <t xml:space="preserve">uPVC Pipelines for Sewerage Works </t>
  </si>
  <si>
    <t>E.O.I for Excavate and Backfill Trenches for Pipelines</t>
  </si>
  <si>
    <t>E.O.I.  for excavation of every additional 500 mm excavation depth exceeding 1.2 m cover, including dewatering, shoring, backfilling and disposal of surplus material all as per specification for the following sizes of pipelines</t>
  </si>
  <si>
    <t>PPR Pipelines</t>
  </si>
  <si>
    <t>E.O.I for excavation in rock using rock breaker including disposal of excavated material as per the Municipality requirements - the rock should be classified as per specs by lab test</t>
  </si>
  <si>
    <t xml:space="preserve">Construction of Manholes and Facilities at Pipelines for Storm Water Works </t>
  </si>
  <si>
    <t>Manholes including excavation, dewatering, shoring, backfilling, concrete works including the Removable cover slab, benching, blinding and screeds connection joints and protection coating to all internal concrete surfaces, waterproofing , tanking , heavy duty ductile cover &amp; frame, complete in all respect as detailed on drawing and as per specification</t>
  </si>
  <si>
    <t>Construction of Manholes and Facilities at Pipelines for Sewer Works</t>
  </si>
  <si>
    <t>Construction Storm water channels excavation, dewatering, shoring, backfilling, concrete works including the gratings complete in all respect as detailed on drawing and as per specification</t>
  </si>
  <si>
    <t>Construction of Concrete support (thrust blocks) for fittngs including reinforcement, formwork, backfilling etc. as per authority requirements, specifications and drawings</t>
  </si>
  <si>
    <t>Backdrops</t>
  </si>
  <si>
    <t>Construction of Backdrop complete with concrete surround as per SWS standard drawing</t>
  </si>
  <si>
    <t xml:space="preserve">Construction of Chambers,  and Facilities at Pipelines </t>
  </si>
  <si>
    <t>Construction of Concrete Chambers</t>
  </si>
  <si>
    <t xml:space="preserve">Gate Valve Chamber (s) as per Drawing </t>
  </si>
  <si>
    <t xml:space="preserve">Air Valve Chamber (s) as per Drawing </t>
  </si>
  <si>
    <t xml:space="preserve">Wash Out Valve Chamber (s) as per Drawing </t>
  </si>
  <si>
    <t xml:space="preserve">Flange Connection Chamber (s) as per Drawing </t>
  </si>
  <si>
    <t xml:space="preserve">Bulk Connection Chamber (s) as per  Drawings </t>
  </si>
  <si>
    <t xml:space="preserve">Manual Check Valve Chamber (s) as per  Drawings </t>
  </si>
  <si>
    <t>GRP Tank</t>
  </si>
  <si>
    <t>Supply, GRP  tank glass reinforced plastic construction, GRP panel not less than 8mm, insulation 25mm, all as specified and shown on drawings.</t>
  </si>
  <si>
    <t>Install,test and commissioning GRP  tank glass reinforced plastic construction, GRP panel not less than 8mm, insulation 25mm, all  as specified and shown on drawings.</t>
  </si>
  <si>
    <t>Steel Ladders</t>
  </si>
  <si>
    <t>Supply and Install Steel adjustable ladder including supporting frame, shade and hand rail as shown on drawing</t>
  </si>
  <si>
    <t>Car Parking Shed</t>
  </si>
  <si>
    <t>Car Parking Shed including post, foundation and designated signages all  as specified and shown on drawings.</t>
  </si>
  <si>
    <t>Garbage Containers</t>
  </si>
  <si>
    <t>Garbage containers and bins with lid all  as specified and shown on drawings.</t>
  </si>
  <si>
    <t>Road Surface Markings</t>
  </si>
  <si>
    <t>Surface markings</t>
  </si>
  <si>
    <t>In accordance with Traffic Control Devices Manual on uniform traffic control devices TR-511 Surface markings including all necessary preparation works, etc.; all in accordance with Road Markings Plan drawings and specifications</t>
  </si>
  <si>
    <t>Traffic Signs</t>
  </si>
  <si>
    <t>Supply In accordance with Traffic Control Devices Manual Second Edition September 2020 of Abu Dhabi City Municipality Warning and Regulatory Sign and Posts etc.; all in accordance with Traffic Device Plan drawings and Specification</t>
  </si>
  <si>
    <t>Install In accordance with Traffic Control Devices Manual Second Edition September 2020 of Abu Dhabi City Municipality Warning and Regulatory Sign and Posts including all necessary civil works, etc.; all in accordance with Traffic Device Plan drawings and Specification</t>
  </si>
  <si>
    <t>Asphalt Works</t>
  </si>
  <si>
    <t>Asphalt Paving including underneath layers</t>
  </si>
  <si>
    <t xml:space="preserve"> Concrete Works </t>
  </si>
  <si>
    <t>Concrete encasement for road crossing pipes for sewerage including all related works</t>
  </si>
  <si>
    <t>Reinforced concrete Coloumn including Concrete foundation, Aluminum Cladding, Steel Truss, Tension cables, 40mm mild steel painted hollow section, lighting, telephone etc as shown on drawing</t>
  </si>
  <si>
    <t>Reinforced concrete pedestal for steel ladders as shown on drawing</t>
  </si>
  <si>
    <t>Reinforced concrete foundation for LED Screen as shown on drawing</t>
  </si>
  <si>
    <t>Reinforced concrete foundation for 14m light pole as shown on drawing</t>
  </si>
  <si>
    <t>Concrete Paving including underneath layers all  as specified and shown on drawings.</t>
  </si>
  <si>
    <t>Supply of Concrete interlock concrete pedestrian paving block; Including sand bed.</t>
  </si>
  <si>
    <t>Installation of Concrete interlock concrete pedestrian paving block; Including sand bed all  as specified and shown on drawings.</t>
  </si>
  <si>
    <t>Supply of Concrete interlock concrete vehicular paving block; Including sand bed.</t>
  </si>
  <si>
    <t>Installation of Concrete interlock concrete vehicular paving block; Including sand bed all as specified and shown on drawings.</t>
  </si>
  <si>
    <t>Supply of Kerbs, Wheel Stoppers all in accordance with drawing and specifications</t>
  </si>
  <si>
    <t>Installation of Kerbs, Wheel stoppers complete including excavation, concrete foundation and haunching, cement mortar and backfilling (where required) etc. ; all in accordance with drawing and specifications</t>
  </si>
  <si>
    <t>Supply of Chlorinated rubber based paint for kerb, colour as per specification and as directed by the Engineer.</t>
  </si>
  <si>
    <t>Installation of Chlorinated rubber based quick drying paint for kerbs applied in two coats to exposed faces of concrete kerbs and  road separator; colour as per specification and as directed by the Engineer.</t>
  </si>
  <si>
    <t>Buildings</t>
  </si>
  <si>
    <t>Construct the buildings including excavation, backfilling, disposal of surplus material, anti-termite treatment, waterproofings, shoring works, plain cement concrete works, screed, reinforced concrete works, masonry works, metal works, internal finishes, external finishes, doors and windows, all necessary complete all as specified, as shown on the drawings and as per Engineer's approval.</t>
  </si>
  <si>
    <t>Office, Guard Room, Operator Room &amp; drivers toilet</t>
  </si>
  <si>
    <t xml:space="preserve">Gates, Fences and Barbed Wires </t>
  </si>
  <si>
    <t xml:space="preserve">Supply Automatic Gate Barrier with Arm </t>
  </si>
  <si>
    <t>Install Automatic Gate Barrier with Arm all in accordance with drawing and specifications</t>
  </si>
  <si>
    <t>Removal, Refurbishment and Demolishing of Miscellaneous Objects</t>
  </si>
  <si>
    <t>Demolition</t>
  </si>
  <si>
    <t>Take up and remove by existing concrete base including underneath layers and dispose to approved tip.</t>
  </si>
  <si>
    <t>Demolition of existing Kerbs and dispose to approved tip.</t>
  </si>
  <si>
    <t>Demolition of Existing 2.1m Boundary wall including foundation and dispose to approved tip.</t>
  </si>
  <si>
    <t>Demolition of existing Storm water channels and dispose to approved tip.</t>
  </si>
  <si>
    <t>Removal of existing 180mm HDPE pipe including valves, fittings and handover to Client Store</t>
  </si>
  <si>
    <t>Removal of existing 150mm DI pipe including valves, fittings and handover to Client Store</t>
  </si>
  <si>
    <t>Removal of existing Interlocking tiles including underneath layers and handover tiles to Client Store</t>
  </si>
  <si>
    <t>Demolition of the existing GI metal sheet Buildings for drivers rest area and dispose to approved tip.</t>
  </si>
  <si>
    <t>Removal of the existing Prefab structures and hand over to Client store</t>
  </si>
  <si>
    <t>Removal and relocation of existing Parking Shades including posts, foundation and install designated signages.</t>
  </si>
  <si>
    <t>Removal and relocation of existing services</t>
  </si>
  <si>
    <t>Removal of existing Tanker Filling Bays and handover to Client store</t>
  </si>
  <si>
    <t>Removal of existing water cooler and hand over to client store</t>
  </si>
  <si>
    <t>Refurbishment &amp; Painting of existing gates</t>
  </si>
  <si>
    <t>Miscellaneous Items</t>
  </si>
  <si>
    <t>Chain link fence</t>
  </si>
  <si>
    <t>Supply of chain link fence for unauthorised tankers</t>
  </si>
  <si>
    <t>Installation of chain link fence for unauthorised tankers</t>
  </si>
  <si>
    <t xml:space="preserve">Supply metal gates </t>
  </si>
  <si>
    <t>Install metal gates all in accordance with drawing and specifications</t>
  </si>
  <si>
    <t>Supply Water Cooler</t>
  </si>
  <si>
    <t>Install Water Cooler all in accordance with drawing and specifications</t>
  </si>
  <si>
    <t>Supply HSE Sign Boards</t>
  </si>
  <si>
    <t>Install HSE Sign Boards</t>
  </si>
  <si>
    <t>Construction of Temporary tanker filling arrangement with 2 fillling bays including access road.</t>
  </si>
  <si>
    <t>Total  Costs for  Bill No.2  excluding VAT  (AED)</t>
  </si>
  <si>
    <t>Bill No.3, Electrical Works</t>
  </si>
  <si>
    <t xml:space="preserve">Electrical </t>
  </si>
  <si>
    <t>LV Cable</t>
  </si>
  <si>
    <t xml:space="preserve">Supply of LV Cables as per drawings and specifications </t>
  </si>
  <si>
    <t xml:space="preserve">Installation of LV Cables as per drawings and specifications </t>
  </si>
  <si>
    <t xml:space="preserve">CAT 6 Cables </t>
  </si>
  <si>
    <t xml:space="preserve">Supply of CAT 6 Cables as per drawings and specifications </t>
  </si>
  <si>
    <t xml:space="preserve">Installation OF CAT 6 Cables as per drawings and specifications </t>
  </si>
  <si>
    <t>FOC Cables</t>
  </si>
  <si>
    <t xml:space="preserve">Supply of FOC Cables as per drawings and specifications </t>
  </si>
  <si>
    <t xml:space="preserve">Installation OF FOC Cables as per drawings and specifications </t>
  </si>
  <si>
    <t>uPVC Ducts</t>
  </si>
  <si>
    <t>Supply of uPVC ducts including , end caps, draw ropes, aluminium duct marker, warning tapes, cable tiles etc;complete; as per drawings, specification and authority requirement</t>
  </si>
  <si>
    <t>Installation of uPVC ducts including excavation, shuttering, reinforcement, concrete encasement, back filling, reinstatement, end caps, draw ropes, aluminium duct marker, warning tapes, cable tiles etc;complete; as per drawings, specification and authority requirement</t>
  </si>
  <si>
    <t>Road Crossing uPVC Ducts for LV, FOC &amp; CAT Cables</t>
  </si>
  <si>
    <t>Supply of uPVC ducts complete; as per drawings, specification and authority requirement</t>
  </si>
  <si>
    <t>Installation of  uPVC ducts including excavation, shuttering, reinforcement, concrete encasement, back filling, reinstatement, end caps, draw ropes, aluminium duct marker, warning tapes, cable tiles etc;complete; as per drawings, specification and authority requirement</t>
  </si>
  <si>
    <t xml:space="preserve">Manholes </t>
  </si>
  <si>
    <t>Manholes including excavation, backfilling, concrete works, blinding and screeds connection joints and protection coating to all internal concrete surfaces, waterproofing,  cover &amp; frame, complete in all respect as detailed on drawing and as per specification</t>
  </si>
  <si>
    <t xml:space="preserve">Main Distribution Board (MDB) </t>
  </si>
  <si>
    <t>Supply, Main Distribution Board(MDB) complete including enclosure, bus bars, circuit breakers, and insulators, complete all as specified and as shown on drawings.</t>
  </si>
  <si>
    <t xml:space="preserve"> Installed, connected, and tested, complete including enclosure, bus bars, circuit breakers, and insulators,complete all as specified and as shown on drawings.</t>
  </si>
  <si>
    <t xml:space="preserve">Distribution Board(DB) </t>
  </si>
  <si>
    <t>Supply, Distribution board complete including enclosure, bus bars, circuit breakers, and insulators, etc... complete all as specified and as shown on drawings.</t>
  </si>
  <si>
    <t>Install, Distribution board connected, and tested, complete including enclosure, bus bars, circuit breakers, and insulators, etc... complete all as specified and as shown on drawings.</t>
  </si>
  <si>
    <t xml:space="preserve">Single Pole and Neutral (SPN) Isolator 20A </t>
  </si>
  <si>
    <t>Supply, Single Pole and Neutral (SPN) Isolator 20A complete all as specified and as shown on drawings.</t>
  </si>
  <si>
    <t>Install, connected, and tested, Single Pole and Neutral (SPN) Isolator 20A complete all as specified and as shown on drawings.</t>
  </si>
  <si>
    <t xml:space="preserve">Capacitor Bank 20 KVAR </t>
  </si>
  <si>
    <t>Supply, Capacitor Bank 20 KVAR complete all as specified and as shown on drawings.</t>
  </si>
  <si>
    <t>Install, connected, and tested, Capacitor Bank 20 KVAR complete all as specified and as shown on drawings.</t>
  </si>
  <si>
    <t xml:space="preserve">Electrical Meter IP55 Metal Case Meter Enclosure Recessed on wall </t>
  </si>
  <si>
    <t>Supply, Electrical Meter 83A IP55 Metal Case Meter Enclosure Recessed on wall complete all as specified and as shown on drawings.</t>
  </si>
  <si>
    <t>Install, connected, and tested, Electrical Meter 83A IP55 Metal Case Meter Enclosure Recessed on wall complete all as specified and as shown on drawings.</t>
  </si>
  <si>
    <t>LED SCREEN</t>
  </si>
  <si>
    <t>Supply, LED SCREEN complete all as specified and as shown on drawings.</t>
  </si>
  <si>
    <t>Install, connected, and tested, LED SCREEN complete all as specified and as shown on drawings.</t>
  </si>
  <si>
    <t xml:space="preserve">Telecommunication System </t>
  </si>
  <si>
    <t>Supply UPVC ducts complete; as per drawings, specification and authority requirement</t>
  </si>
  <si>
    <t>Installation of upvc ducts including excavation, back filling, reinstatement, end caps, draw ropes, aluminium duct marker, warning tapes etc;complete; as per drawings, specification and authority requirement</t>
  </si>
  <si>
    <t xml:space="preserve">Manholes / Joint Boxes </t>
  </si>
  <si>
    <t>Construct Reinforced concrete  Manholes complete including excavation, filling, Manhole concrete, formwork, water proofing, cover &amp; frame etc. in accordance with drawings, specifications and authority requirements.</t>
  </si>
  <si>
    <t>Telecom Box</t>
  </si>
  <si>
    <t>Supply, Telecom Box complete all as specified and as shown on drawings.</t>
  </si>
  <si>
    <t>Install, connected, and tested, Telecom Box including Foundation complete all as specified and as shown on drawings.</t>
  </si>
  <si>
    <t xml:space="preserve">Main Distribution Frame (MDF) </t>
  </si>
  <si>
    <t>Supply, Main Distribution Frame (MDF) complete all as specified and as shown on drawings.</t>
  </si>
  <si>
    <t>Install, connected, and tested, Main Distribution Frame (MDF) including Foundation complete all as specified and as shown on drawings.</t>
  </si>
  <si>
    <t xml:space="preserve">ANPR Camera ( Part of Tanker Management System) ( Mounted Height 3M ) </t>
  </si>
  <si>
    <t>Supply, ANPR Camera ( Part of Tanker Management System) ( Mounted Height 3M )   complete all as specified and as shown on drawings.</t>
  </si>
  <si>
    <t>Install, ANPR Camera ( Part of Tanker Management System) ( Mounted Height 3M )   complete all as specified and as shown on drawings.</t>
  </si>
  <si>
    <t xml:space="preserve">ANPR Camera Pole 3M Height </t>
  </si>
  <si>
    <t>Supply, Camera Pole 3M Height  complete all as specified and as shown on drawings.</t>
  </si>
  <si>
    <t>Install, Camera Pole 3M Height   including Foundation complete all as specified and as shown on drawings.</t>
  </si>
  <si>
    <t xml:space="preserve">Area Lighting </t>
  </si>
  <si>
    <t>Supply, Flood Light  complete all as specified and as shown on drawings.</t>
  </si>
  <si>
    <t>Install, connect, test Flood Light including complete all as specified and as shown on drawings.</t>
  </si>
  <si>
    <t>Supply, Landscape Lighting Pull Box  complete all as specified and as shown on drawings.</t>
  </si>
  <si>
    <t>Install, connect, and tested, Landscape Lighting Pull Box complete all as specified and as shown on drawings.</t>
  </si>
  <si>
    <t>Supply, Lighting Pole of height 14M including luminaries complete all as specified and as shown on drawings.</t>
  </si>
  <si>
    <t>Install, connect and test Lighting Pole Height 14M including luminaries  complete all as specified and as shown on drawings.</t>
  </si>
  <si>
    <t>Road Crossing for Area lighting Cables</t>
  </si>
  <si>
    <t xml:space="preserve"> Installation of  uPVC ducts including excavation, shuttering, reinforcement, concrete encasement, back filling, reinstatement, end caps, draw ropes, aluminium duct marker, warning tapes, cable tiles etc;complete; as per drawings, specification and authority requirement</t>
  </si>
  <si>
    <t>Distribution Board (Area Lighting)</t>
  </si>
  <si>
    <t>Supply,DB complete all as specified and as shown on drawings.</t>
  </si>
  <si>
    <t>Installed, connected, and tested, DB complete including enclosure, bus bars, circuit breakers, and insulators, etc... complete all as specified and as shown on drawings.</t>
  </si>
  <si>
    <t>Earthing</t>
  </si>
  <si>
    <t>Supply Earthing to Control Cabinet and poles including earth electrodes, earth pits and earthing cable from LCC or light pole to earth pit, complete as shown on drawing and as per specification</t>
  </si>
  <si>
    <t>Install Earthing to Control Cabinet and poles including earth electrodes, earth pits and earthing cable from LCC or light pole to earth pit, complete as shown on drawing and as per specification</t>
  </si>
  <si>
    <t>MEP works for building includes Power, lighting, fire alarm, fire extinguishers, Emrgency Lighting, Earthing, HVAC &amp; Drainage system; complete all as specified, as shown on the drawings and as per Engineer's approval.</t>
  </si>
  <si>
    <t>SPARE PARTS FOR ELECTRICAL EQUIPMENT</t>
  </si>
  <si>
    <t>Spare parts for sub-distribution boards complete as specified.</t>
  </si>
  <si>
    <t xml:space="preserve">Bill No.4, CONSTRUCTION OF PIPELINES </t>
  </si>
  <si>
    <t xml:space="preserve">Construction of uPVC Pipeline </t>
  </si>
  <si>
    <t>Construct Upvc pipeline as specified complete include installation of detectable warning tapes and other accessories as per specification. Rates shall include all costs for  commissioning and handing over in full commercial operation.  For the following pipelines</t>
  </si>
  <si>
    <t xml:space="preserve">Upvc pipe line </t>
  </si>
  <si>
    <t>Upvc pipe line for Storm Water Works</t>
  </si>
  <si>
    <t>Upvc pipe line for Sewer Works</t>
  </si>
  <si>
    <t xml:space="preserve">Construction of PPR Pipeline </t>
  </si>
  <si>
    <t>Construct PPR pipeline using butt fusion method as specified complete include installation of detectable warning tapes and other accessories as per specification. Rates shall include all costs for testing, flushing, disinfection, commissioning and handing over in full commercial operation.</t>
  </si>
  <si>
    <t>PPR pipe line</t>
  </si>
  <si>
    <t xml:space="preserve">Construction of HDPE Pipeline </t>
  </si>
  <si>
    <t>HDPE pipeline</t>
  </si>
  <si>
    <t xml:space="preserve">uPVC Fittings </t>
  </si>
  <si>
    <t xml:space="preserve">uPVC pipe line for Storm Water Works </t>
  </si>
  <si>
    <t>uPVC pipe line for Sewerage Works</t>
  </si>
  <si>
    <t xml:space="preserve">Settlement Type Electromagnetic Flow Meter </t>
  </si>
  <si>
    <t xml:space="preserve">Control Valve </t>
  </si>
  <si>
    <t>Air Valve</t>
  </si>
  <si>
    <t>Washout Valve</t>
  </si>
  <si>
    <t>Manual Butterfly Valve</t>
  </si>
  <si>
    <t>Manual Check Valve</t>
  </si>
  <si>
    <t>Gate Valve</t>
  </si>
  <si>
    <t xml:space="preserve">Service Connections </t>
  </si>
  <si>
    <t xml:space="preserve">Installation of Pipework for Service Connections </t>
  </si>
  <si>
    <t>Tapping in HDPE Main line</t>
  </si>
  <si>
    <t xml:space="preserve"> Reinforce concrete encasement for uPVC pipes for Storm Water Works</t>
  </si>
  <si>
    <t>Total  Costs for  Bill No.4 excluding VAT  (AED)</t>
  </si>
  <si>
    <t>Bill No.5, INSTRUMENTATION AND CONTROL/ SCADA</t>
  </si>
  <si>
    <t xml:space="preserve">TANKER CONTROL SYSTEM/WorkStation </t>
  </si>
  <si>
    <t>CONTROL SYSTEM</t>
  </si>
  <si>
    <t>Dual system servers including but not limited to, CPU, HDD, keyboard mouse, DVDD, USB drive, software interface devices.</t>
  </si>
  <si>
    <t>No</t>
  </si>
  <si>
    <t>Operator workstation including but not limited to, two computers each 21" LCD monitor, CPU, keyboard, mouse, interface devices, 2 GB RAM min., HDD, USB drive, DVDD etc. including one printer.</t>
  </si>
  <si>
    <t>Electronic cabinets including but not limited to, one dual  redundant, PLC, communication and power supply modules, interface/signal/alarm etc. modules alongwith suitable communication equipment.</t>
  </si>
  <si>
    <t>Redundant secured communication network, bus and interfaces and other auxiliaries, as required</t>
  </si>
  <si>
    <t>Software packages including but not limited to the original license including all application, engineering and HMI software, configuration software etc., as required.</t>
  </si>
  <si>
    <t>Field Process Unit, which consists of flow computer with card reader, push buttons for Start / Stop, Emergency push button, lamps for indication, remote I/O module/ RTU</t>
  </si>
  <si>
    <t>Start / Stop Panel for Manual Tanker Filling Operation as specified</t>
  </si>
  <si>
    <t>Fiscal Ticket Printers for printing the prepaid cards etc. as required showing tanker information , volume and amount. To be installed in Customer Service Unit of the office building</t>
  </si>
  <si>
    <t>Supply and Install A3 &amp; A4 printer</t>
  </si>
  <si>
    <t>Supply and Install UPS as required</t>
  </si>
  <si>
    <t>LEVEL SWITCHES</t>
  </si>
  <si>
    <t>Supply of level switches of suitable type for tanker overflow detection complete with cable and other installation accessories to be installed on the filling hose.</t>
  </si>
  <si>
    <t>ACCESS CONTROL SYSTEM</t>
  </si>
  <si>
    <t>Proximity Card Reader Unit  / including all accessories required for installing at the entrance of the station, complete with power supply unit, modules etc and all other accessories as required for communication to centralised loading system PLC.</t>
  </si>
  <si>
    <t>Motorised boom including warning beacons, audible alram and all other accessries, to be installed at the entrance and exit of the station as required including interfaces with the loading system PLC.</t>
  </si>
  <si>
    <t>Display units for bay identifcation and driver information including all required accessories and interfaces.</t>
  </si>
  <si>
    <t>SPARE PARTS FOR I &amp; C SYSTEM &amp; F.O CABLE</t>
  </si>
  <si>
    <t>SPARE FOR THE FIELD INSTRUMENTS</t>
  </si>
  <si>
    <t>Electromagnetic flowmeter transmitter.</t>
  </si>
  <si>
    <t>Pressure transmitter (One from each range selected)</t>
  </si>
  <si>
    <t>Differential pressure switch, one no. for the highest range selected.</t>
  </si>
  <si>
    <t>Pressure gauge, one no. for each range selected.</t>
  </si>
  <si>
    <t>Level Switches</t>
  </si>
  <si>
    <t>SPARES FOR CONTROL AND SCADA SYSTEM</t>
  </si>
  <si>
    <t>The number of spare equipment modules shall be 5% of the installed units, rounded upto the nearest integer i.e. CPU, CP, power supply modules, I/O modules of each type, bus controller, fibre optic interfaace modules, all communication device and modules etc. alongwith 10% spare hardware accessories like relays, batteries, MCB's, etc, and EPROM/EEPROM shall be 2 minimum of each type.</t>
  </si>
  <si>
    <t>SPARE FOR F.O. CABLE SYSTEM</t>
  </si>
  <si>
    <t>Fibre optical splicing kit, 1 set for tap off location.</t>
  </si>
  <si>
    <t>10% minimum F.O. interfacing module/component of each type installed at the F.O. system cabinet/panel including interfacing module, power supply module, patch panel etc.</t>
  </si>
  <si>
    <t>Recommended consumables for 2 years trouble free operation</t>
  </si>
  <si>
    <t>SCADA System Integration with existing main SCADA and Customer care and Billing System ( CC&amp;B)</t>
  </si>
  <si>
    <t>Total  Costs for  Bill No.5 excluding VAT  (AED)</t>
  </si>
  <si>
    <t>Total Line Costs Ecxluding VAT
B= AED (Q X A)</t>
  </si>
  <si>
    <t>Supply of Settlement Type Electromagnetic Flow Meter &amp; Fittings on 400mm dia line in accordance with specification, drawings and data sheet.</t>
  </si>
  <si>
    <t xml:space="preserve">BIP TAP </t>
  </si>
  <si>
    <t>Domestic water pump set</t>
  </si>
  <si>
    <t>Domestic water pump set for building, with single stage pumps and pressure vessel as shown on drawings, control box,  skid mounted, installed, connected and tested complete with stainless steel headers, pump individual isolating ball valves, check valves, isolating butterfly valves PN 20, lug and wafer type lever operated, strainer cast iron body PN 20,  flexible connections, concrete inertia pad, house pad, vibration eliminator pad, low level control float switches, pressure switch and controls all supplied from pump manufacturer diaphragm tank (s), food quality synthetic rubber membrane, steel painted body, working pressure 2 bars with isolating valve and pressure gauge, electric connections, wiring and accessories all as specified and shown on the drawings.</t>
  </si>
  <si>
    <t>Water Pump set 1 duty + 1 standby  1.0 L/S @30m head each pump</t>
  </si>
  <si>
    <r>
      <t xml:space="preserve">Total Line Costs Ecxluding VAT
</t>
    </r>
    <r>
      <rPr>
        <sz val="12"/>
        <color theme="1"/>
        <rFont val="Arial"/>
        <family val="2"/>
      </rPr>
      <t>B= AED (Q X A)</t>
    </r>
  </si>
  <si>
    <t>E.O.I.  for excavation of every additional 500 mm excavation depth exceeding 1.2 m cover, including dewatering, shoring, backfilling and disposal of surplus material all as per specification for the following pipelines</t>
  </si>
  <si>
    <t>Soakaway</t>
  </si>
  <si>
    <t>Construction of Soakaway complete with concrete surround as per SWS standard drawing</t>
  </si>
  <si>
    <t xml:space="preserve"> Construction of Chambers,  and Facilities at Pipelines </t>
  </si>
  <si>
    <t xml:space="preserve">Flow Meter Chamber (s) as per  Drawings </t>
  </si>
  <si>
    <t xml:space="preserve">Control Valve Chamber (s) as per Drawing </t>
  </si>
  <si>
    <t>Supply, GRP  tank glass reinforced plastic construction, GRP panel not less than 8mm, insulation 25mm, all  as specified and shown on drawings.</t>
  </si>
  <si>
    <t>Reinforced concrete Coloumn including Concrete foundation, Aluminum Cladding, Steel Truss, Tension cables, 40mm mild steel painted hollow section, lighting, telephone etc as shown on drawing and as per specification.</t>
  </si>
  <si>
    <t>Supply Automatic Gate Barrier with Arm</t>
  </si>
  <si>
    <t>Install Automatic Gate Barrier with Arm</t>
  </si>
  <si>
    <t>Boundary Wall</t>
  </si>
  <si>
    <t>Boundary wall including excavation, preparation of surfaces, disposal of surplus materials, upholding sides of excavation, backfilling, removal of existing services, concrete, formworks and reinforcement, foundation works, coloumns, wall panels complete all as specified, as shown on drawings and as per Engineer approval.</t>
  </si>
  <si>
    <t>Removal of existing 2.35 high Chain link fence and hand over to Client Store</t>
  </si>
  <si>
    <t>Removal and relocation of existing Parking Shades including,supply and install additional posts, foundation, shade and designated signages.</t>
  </si>
  <si>
    <t>Removal and handover of existing gates to Client store or disposal to approved tip as directed by the Engineer</t>
  </si>
  <si>
    <t>Demolition of existing Storm water channels and dispose to aPPRoved tip.</t>
  </si>
  <si>
    <t>Refurbishment of Existing guard room</t>
  </si>
  <si>
    <t>Supply new water cooler</t>
  </si>
  <si>
    <t xml:space="preserve">Supply  steel gates </t>
  </si>
  <si>
    <t>Install steel gates all in accordance with drawing and specifications</t>
  </si>
  <si>
    <t xml:space="preserve">Supply of LV Cables as per drawings and required specifications </t>
  </si>
  <si>
    <t xml:space="preserve">Installation of LV Cables as per drawings and required specifications </t>
  </si>
  <si>
    <t xml:space="preserve">Supply of CAT 6 Cables as per drawings and required specifications </t>
  </si>
  <si>
    <t xml:space="preserve">Installation OF CAT 6 Cables as per drawings and required specifications </t>
  </si>
  <si>
    <t xml:space="preserve">Supply of FOC Cables as per drawings and required specifications </t>
  </si>
  <si>
    <t xml:space="preserve">Installation OF FOC Cables as per drawings and required specifications </t>
  </si>
  <si>
    <t>Supply, Distribution board complete including enclosure, bus bars, circuit breakers, and insulators, complete all as specified and as shown on drawings.</t>
  </si>
  <si>
    <t>Install, Distribution board connected, and tested, complete including enclosure, bus bars, circuit breakers, and insulators,complete all as specified and as shown on drawings.</t>
  </si>
  <si>
    <t xml:space="preserve">LED SCREEN including Foundation </t>
  </si>
  <si>
    <t xml:space="preserve">Telecom Box </t>
  </si>
  <si>
    <t>Pull Boxes</t>
  </si>
  <si>
    <t>Supply  pull box complete as shown on drawings, as specified and as per project requirement.</t>
  </si>
  <si>
    <t>Supply and install pull box complete as shown on drawings, as specified and as per project requirement.</t>
  </si>
  <si>
    <t>Road Crossing uPVC Ducts for Telecommunication Network</t>
  </si>
  <si>
    <t>Install, connect, test Flood Light   including  complete all as specified and as shown on drawings.</t>
  </si>
  <si>
    <t>Install, connected, and tested, Landscape Lighting Pull Box complete all as specified and as shown on drawings.</t>
  </si>
  <si>
    <t>Install, connect and test Lighting Pole Height 14M including luminaries including foundation complete all as specified and as shown on drawings.</t>
  </si>
  <si>
    <t xml:space="preserve">A- Construction of uPVC Pipeline </t>
  </si>
  <si>
    <t xml:space="preserve">Control Valve Chamber </t>
  </si>
  <si>
    <t>PROJECT SUMMARY SHEET</t>
  </si>
  <si>
    <t>SUMMARY SHEET - AL SAAD</t>
  </si>
  <si>
    <t>Supply of PN 16 Manual Gate Valves above ground in inaccordance with specification, drawings and data sheet.</t>
  </si>
  <si>
    <t xml:space="preserve">CHECK VALVES </t>
  </si>
  <si>
    <t>Supply of Check Valves above ground in inaccordance with specification, drawings and data sheet.</t>
  </si>
  <si>
    <t>Supply of Settlement Type Electromagnetic Flow Meter &amp; Fittings on 300mm dia line in accordance with specification, drawings and data sheet.</t>
  </si>
  <si>
    <t>HDPE Pipes</t>
  </si>
  <si>
    <t>Supply of HDPE pipes including all fittings all as specified and as shown on drawings.</t>
  </si>
  <si>
    <t>Water booster set</t>
  </si>
  <si>
    <t>Water booster set, with two or three vertical multi-stage pumps as shown on drawings, control box,  skid mounted, installed, connected and tested complete with stainless steel headers, pump individual isolating ball valves, check valves, isolating butterfly valves PN 20, lug and wafer type lever operated, strainer cast iron body PN 20,  flexible connections, concrete inertia pad, house pad, vibration eliminator pad, low level control float switches, pressure switch and controls all supplied from pump manufacturer diaphragm tank (s), food quality synthetic rubber membrane, steel painted body, working pressure 10 bars with isolating valve and pressure gauge, electric connections, wiring and accessories all as specified and shown on the drawings.</t>
  </si>
  <si>
    <t>Pump Capacity 51 l/s @ 2Bar(1 Duty + 1 Standby)</t>
  </si>
  <si>
    <t>Water pump set 1 duty + I standby  1.0 L/S @30m head each pump</t>
  </si>
  <si>
    <t xml:space="preserve">Tie in connection with existing network </t>
  </si>
  <si>
    <t>Supply of PN 16 Manual Gate Valves above ground on 200mm dia line in accordance with specification, drawings and data sheet.</t>
  </si>
  <si>
    <t>Supply of PN 16 Washout Valves above ground on 200mm dia line in accordance with specification, drawings and data sheet.</t>
  </si>
  <si>
    <t>Supply of PN 16 Air Valves above ground on 200mm dia line in accordance with specification, drawings and data sheet.</t>
  </si>
  <si>
    <t>Supply of Manual Check Valves &amp; Fittings on 200mm pipe in accordance with specification, drawings and data sheet.</t>
  </si>
  <si>
    <t>Supply of Manual Butterfly Valves &amp; Fittings on 200mm in accordance with specification, drawings and data sheet.</t>
  </si>
  <si>
    <t>Supply of Settlement Type Electromagnetic Flow Meter &amp; Fittings on 200mm dia line in accordance with specification, drawings and data sheet.</t>
  </si>
  <si>
    <t>Supply of Control Valve &amp; Fittings on 200mm dia pipe in accordance with specification, drawings and data sheet.</t>
  </si>
  <si>
    <t>Excavate and Backfill Trenches for Pipelines</t>
  </si>
  <si>
    <t xml:space="preserve">Costruction of Soakway </t>
  </si>
  <si>
    <t xml:space="preserve">Check Valve Chamber (s) as per  Drawings </t>
  </si>
  <si>
    <t xml:space="preserve">Washout Valve Chamber (s) as per  Drawings </t>
  </si>
  <si>
    <t xml:space="preserve">Air Release Valve Chamber (s) as per  Drawings </t>
  </si>
  <si>
    <t>Supply 6m3 GRP tank including GRP panel not less than 8mm, insulation 25mm, all  as specified and shown on drawings.</t>
  </si>
  <si>
    <t>Install,test and commissioning 6m3 GRP  tank including GRP panel not less than 8mm, insulation 25mm, all as specified and shown on drawings.</t>
  </si>
  <si>
    <t>Supply 1400m3 GRP tank including GRP panel not less than 8mm, insulation 25mm, all  as specified and shown on drawings.</t>
  </si>
  <si>
    <t>Install,test and commissioning 1400m3 GRP  tank including GRP panel not less than 8mm, insulation 25mm, all as specified and shown on drawings.</t>
  </si>
  <si>
    <t>Construct reinforced foundation for GRP Tank including all works</t>
  </si>
  <si>
    <t>Concrete encasement for road crossing ducts for seweage pipes including all works and accroding to drawing</t>
  </si>
  <si>
    <t>Office Building</t>
  </si>
  <si>
    <t>Guard Room, Operator Room &amp; drivers toilet</t>
  </si>
  <si>
    <t>Pump Room and MCC Room</t>
  </si>
  <si>
    <t>Refurbishment of existing 2.1m Boundary wall</t>
  </si>
  <si>
    <t>Demolition of existing parking and dispose to approved tip.</t>
  </si>
  <si>
    <t>Refurbishment of Sewer collection components including modification of Vent pipe, rehabilitation of Manhole cover.</t>
  </si>
  <si>
    <t xml:space="preserve">200mm dia HDPE Pipelines </t>
  </si>
  <si>
    <t>m</t>
  </si>
  <si>
    <t xml:space="preserve">Gate Valve Chamber on 200mm dia line as per Drawing </t>
  </si>
  <si>
    <t xml:space="preserve">Flow Meter Chamber on 200mm dia line as per  Drawings </t>
  </si>
  <si>
    <t xml:space="preserve">Control Valve Chamber on 200mm dia line as per  Drawings </t>
  </si>
  <si>
    <t xml:space="preserve">Manual Butterfly valve 200mm dia as per  Drawings </t>
  </si>
  <si>
    <t xml:space="preserve">Washout Valve Chamber 200mm dia as per  Drawings </t>
  </si>
  <si>
    <t xml:space="preserve">Air release valve Chamber 200mm dia as per  Drawings </t>
  </si>
  <si>
    <t xml:space="preserve">Manual Check Valve Chamber 200mm dia as per  Drawings </t>
  </si>
  <si>
    <t>Tie-in with existing DI 300mm pipe line including all fittings and accessories all in accordance with drawing and specifications,</t>
  </si>
  <si>
    <t>Ultrasonic Level Detectors</t>
  </si>
  <si>
    <t xml:space="preserve">Supply of ultrasonic level detectors as per drawings and specifications </t>
  </si>
  <si>
    <t xml:space="preserve">Installtion of ultrasonic level detectors as per drawings and specifications </t>
  </si>
  <si>
    <t>Induction Loop Cables</t>
  </si>
  <si>
    <t xml:space="preserve">Supply of Induction Loop cables as per drawings and specifications </t>
  </si>
  <si>
    <t xml:space="preserve">Installtion of Induction Loop cables as per drawings and specifications </t>
  </si>
  <si>
    <t>EVSDS</t>
  </si>
  <si>
    <t xml:space="preserve">LV DISTRIBUTION BOARD </t>
  </si>
  <si>
    <t>LV SWITCHGEAR/MCC</t>
  </si>
  <si>
    <t>Supply Low Voltage Switchboard/MCC including MCCBs, VFD, lighting distribution section, power factor correction equipment etc. complete with  protection devices to feed all the electrical and instrument loads in the pump room and all the electrical loads connected to the LV Switchboard/MCC all according to the specifications, data sheet and drawings approved by TAQA Distribution.</t>
  </si>
  <si>
    <t>Install, testing, and commissioning of the Low Voltage Switchboard/MCC, including mounting in its designated location, alignment, cable termination for all incoming and outgoing feeders (power and control), interconnection with field equipment, functional testing, and commissioning.</t>
  </si>
  <si>
    <t>LOCAL CONTROL PANELS</t>
  </si>
  <si>
    <t>Supply of Local control panel for all the main pumpsets with overriding capability to the PS control system to operate the pump station in local remote including distributed I/O station for the main pump sets all according to the specifications, drawings and operation &amp; control philosophy:</t>
  </si>
  <si>
    <t>Installation, testing, and commissioning of the Local Control Panel (LCP) and Distributed I/O station for main pump sets, including mounting, alignment, cable termination (power, signal, and communication), integration with field instruments and the main control system, and validation of local/remote control functionality.</t>
  </si>
  <si>
    <t>FIELD INSTRUMENTS FOR PUMPSTATION, DISCHARGE PIPING AND SURGE VESSEL</t>
  </si>
  <si>
    <t>Supply of field mounted pressure, temperature, speed, level and flow instruments complete with impulse lines, isolation valves, block and bleed valves, accessories, mounting racks, sun protection, enclosure boxes, JB, prefab cables etc. all according to specifications, finalized P&amp;IDs, drawings and the operation and control philosophy.</t>
  </si>
  <si>
    <t>Install, testing, and commissioning of field-mounted pressure, temperature, speed, level, and flow instruments, complete with associated impulse lines, isolation valves, block and bleed valves, mounting racks, sun protection covers, instrument enclosure boxes, JB, prefabricated signal cables, and all necessary accessories.</t>
  </si>
  <si>
    <t>COMMUNICATION SYSTEMS</t>
  </si>
  <si>
    <t>Communication equipment all according to the specifications and drawings, comprising but not limited to the following :</t>
  </si>
  <si>
    <t>Supply of ETISALAT telephone system, including the EPABX alongwith the required number of extension at different location in the Pump Station including telephone sets and the provision for intercom, all as required.</t>
  </si>
  <si>
    <t>Install, testing, and commissioning of the complete ETISALAT telephone system including the EPABX unit, telephone handsets, interconnecting cables, termination at designated extension points across the pump station and configuration of intercom features all in accordance with project specifications, approved drawings, and communication system requirements.</t>
  </si>
  <si>
    <t xml:space="preserve">JUNCTION BOXES/ENCLOSURES FOR INSTRUMENTS/EQUIPMENT INSIDE PUMPSTATION </t>
  </si>
  <si>
    <t>Supply of junction boxes with sufficient terminals plus 30% spares to allow multicore cabling all according to specifications.</t>
  </si>
  <si>
    <t>Install, testing, and commissioning of junction boxes for instruments and equipment inside the pump station, including mounting on supports or walls, termination of multicore cables, labeling, internal wiring, and provision of 30% spare terminals including all required accessories, coordination with cable routing systems, and compliance with project specifications, approved drawings, and installation standards.</t>
  </si>
  <si>
    <t xml:space="preserve">INSTRUMENT &amp; CONTROL CABLES FOR INSTRUMENTS/EQUIPMENT  INSIDE PUMPSTATION </t>
  </si>
  <si>
    <t>Supply of all required power, signal and control cables complete with lugs, glands, conduits, ladders, trays, accessories, etc. all according to the specifications and drawings.</t>
  </si>
  <si>
    <t>Install all power, signal, and control cables for instruments and equipment inside the pump station, including laying, pulling, glanding, termination, dressing, labeling, and connection to junction boxes, panels, and field instruments including installation in trays, ladders, conduits, and supports, along with all necessary hardware and accessories, in accordance with the approved drawings, cable schedules, and project specifications.</t>
  </si>
  <si>
    <t>CONTROL PANEL FOR PUMPHALL INTAKE FANS</t>
  </si>
  <si>
    <t>Supply ventilation control panel for the pumphall complete with thermostat and controller, alarms, temperature sensors, relays, meters, contactors, internal wiring, accessories all according to the specifications and drawings.</t>
  </si>
  <si>
    <t>Install, testing, and commissioning of the control panel for pumphall intake fans, including mounting, alignment, connection of all internal and external wiring, termination of power and control cables, and integration with temperature sensors, alarms, meters, relays, and contactors including configuration, functional testing, labeling, and compliance with all relevant drawings, specifications, and control requirements.</t>
  </si>
  <si>
    <t xml:space="preserve">Gate Valve Chamber </t>
  </si>
  <si>
    <t>Air Release Valve</t>
  </si>
  <si>
    <t xml:space="preserve"> Reinforce concrete encasement for uPVC pipes for Sewerage Works</t>
  </si>
  <si>
    <t>TANKER CONTROL SYSTEM/SCADA</t>
  </si>
  <si>
    <t>CONTROL SYSTEM FOR PUMP STATION</t>
  </si>
  <si>
    <t>Supply Control System, RTU/PLC with HMI to be connected to Tanker Filling Station main SCADA complete with witnessed factory tests all according to the specifications, data sheets, drawings and process &amp; control philosophy, comprising but not limited to the following :</t>
  </si>
  <si>
    <t>Consoles, 2 telephone sets and all auxiliaries.</t>
  </si>
  <si>
    <t>Distributed I/O modules with enclosures connected to hot standby PLC for Tanker Filling Station</t>
  </si>
  <si>
    <t>Redundant communication network, bus and interfaces and other auxiliaries, as required</t>
  </si>
  <si>
    <t xml:space="preserve"> NAHEL</t>
  </si>
  <si>
    <t>SWEIHAN</t>
  </si>
  <si>
    <t>SUMMARY SHEET -  NAHEL</t>
  </si>
  <si>
    <t>SUMMARY SHEET -  SWEIHAN</t>
  </si>
  <si>
    <t>Gully for Sewerage Pipes</t>
  </si>
  <si>
    <t>Check Valves</t>
  </si>
  <si>
    <t>Supply and Testing of HDPE pipes Including valves and chambers all as specified and shown on drawings.</t>
  </si>
  <si>
    <t>Water booster set, with two or three vertical multi-stage pumps as shown on drawings, control box,  skid mounted, installed, connected and tested complete with stainless steel headers, pump individual isolating ball valves, check valves, isolating butterfly valves PN 20, lug and wafer type lever operated, strainer cast iron body PN 20,  flexible connections, concrete inertia pad, house pad, vibration eliminator pad, low level control float switches, local control panel, pressure switch and controls all supplied from pump manufacturer diaphragm tank (s), food quality synthetic rubber membrane, steel painted body, working pressure 10 bars with isolating valve and pressure gauge, electric connections, wiring and accessories all as specified and shown on the drawings.</t>
  </si>
  <si>
    <t>Pump Capacity 80 l/s @ 2Bar(1 Duty + 1 Standby)</t>
  </si>
  <si>
    <t>Water pump set 1 duty + 1 standby  1.0 L/S @30m head each pump</t>
  </si>
  <si>
    <t>uPVC Pipelines for Storm Water Works</t>
  </si>
  <si>
    <t>Construction of Soakaway</t>
  </si>
  <si>
    <t>Flow Meter Chamber (s) as per  Drawings</t>
  </si>
  <si>
    <t xml:space="preserve">Concrete Works </t>
  </si>
  <si>
    <t>Supply Barbed wire 1m length</t>
  </si>
  <si>
    <t>Install Barbed wire 1m length</t>
  </si>
  <si>
    <t>Removal of existing trees and dispose to approved tip.</t>
  </si>
  <si>
    <t>Rehabilitation of existing RCC tank</t>
  </si>
  <si>
    <t>Supply of ultrasonic level detectors</t>
  </si>
  <si>
    <t>Installtion of ultrasonic level detectors</t>
  </si>
  <si>
    <t>Supply of Induction Loop cables</t>
  </si>
  <si>
    <t>Installtion of Induction Loop cables</t>
  </si>
  <si>
    <t>Install, connect and test Lighting Pole Height 14M including luminaries complete all as specified and as shown on drawings.</t>
  </si>
  <si>
    <t xml:space="preserve">Upvc pipe line for Storm Water Works </t>
  </si>
  <si>
    <t>Check Valve</t>
  </si>
  <si>
    <t xml:space="preserve"> Reinforce concrete encasement for uPVC pipes for Storm Water Works </t>
  </si>
  <si>
    <t>Field Process Unit, which consists of flow computer with card reader, push buttons for Start / Stop, Emergency push button, lamps for indication, remote I/O module/RTU</t>
  </si>
  <si>
    <t>Distributed I/O modules with enclosures connected to hot standby PPLC for Tanker Filling Station</t>
  </si>
  <si>
    <t>Bill No.6, DAYWORKS</t>
  </si>
  <si>
    <t>The items included in this schedule form part of the Tender and the Contractor shall price each item. The rates inserted shall generally be in accordance with the Contractor's rates and prices included in the Bills of Quantities</t>
  </si>
  <si>
    <t>The rates for labour for daywork, including operators, drivers, attendants, banksmen, etc., priced with the items of plant shall be for the cost of wages, accommodation, messing and all insurances required under the Conditions of Contract, all indemnities and additional payments required under any laws, regulations or orders of the Government of the UAE relating to the employment of labour, recruiting, transport and repatriation of expatriate labour, transporting labour to and about the site, 'site supervision and staff (including engineer, agent, general foreman, other foremen and charge hands not working with their hands, timekeepers, surveyors and clerks), small tools (such as picks, shovels, barrows, trowels, ladders, 'hammers, chisels, concrete vibrators, disk cutters and all items of a like nature), head office and other overhead charges and profit.</t>
  </si>
  <si>
    <t>Rates for Labour and Equipment</t>
  </si>
  <si>
    <t>These rates shall be utilized only if instructed by the Owner and certified by the Engineer</t>
  </si>
  <si>
    <t>Labour Rate (All Trades)</t>
  </si>
  <si>
    <t>6.01.1</t>
  </si>
  <si>
    <t>Foreman</t>
  </si>
  <si>
    <t>Hr</t>
  </si>
  <si>
    <t>6.01.2</t>
  </si>
  <si>
    <t xml:space="preserve">Surveyor </t>
  </si>
  <si>
    <t>6.01.3</t>
  </si>
  <si>
    <t>Skilled (Operators, Tradesmen)</t>
  </si>
  <si>
    <t>6.01.4</t>
  </si>
  <si>
    <t>Semi-skilled (Helper)</t>
  </si>
  <si>
    <t>6.01.5</t>
  </si>
  <si>
    <t>Unskilled (Labourer)</t>
  </si>
  <si>
    <t>Equipment Rate</t>
  </si>
  <si>
    <t>6.02.1</t>
  </si>
  <si>
    <t>Front End Loader (3 cu.m)</t>
  </si>
  <si>
    <t>6.02.2</t>
  </si>
  <si>
    <t>Excavator (225)</t>
  </si>
  <si>
    <t>6.02.3</t>
  </si>
  <si>
    <t>Tractor Shovel with Backhoe (JCB)</t>
  </si>
  <si>
    <t>6.02.4</t>
  </si>
  <si>
    <t>Pick-up 1½ ton</t>
  </si>
  <si>
    <t>6.02.5</t>
  </si>
  <si>
    <t>Truck up to 3 Tons</t>
  </si>
  <si>
    <t>6.02.6</t>
  </si>
  <si>
    <t>Truck over 3 and up to 10 tons</t>
  </si>
  <si>
    <t xml:space="preserve">Truck over  10 tons and up to 20 tons </t>
  </si>
  <si>
    <t>6.02.8</t>
  </si>
  <si>
    <t>Truck up to 10 tons with HIAB type crane</t>
  </si>
  <si>
    <t>6.02.9</t>
  </si>
  <si>
    <t>Truck with trailer up to 20 tons</t>
  </si>
  <si>
    <t>6.02.10</t>
  </si>
  <si>
    <t>Heavy Duty Roller 40 Tons</t>
  </si>
  <si>
    <t>6.02.11</t>
  </si>
  <si>
    <t>Light Duty Roller 11 Tons</t>
  </si>
  <si>
    <t>6.02.12</t>
  </si>
  <si>
    <t>Heavy Compactor</t>
  </si>
  <si>
    <t>6.02.13</t>
  </si>
  <si>
    <t>Light Compactor</t>
  </si>
  <si>
    <t>6.02.14</t>
  </si>
  <si>
    <t>Air Compressor up to 250 cfm</t>
  </si>
  <si>
    <t>6.02.15</t>
  </si>
  <si>
    <t>Concrete Mixer</t>
  </si>
  <si>
    <t>6.02.16</t>
  </si>
  <si>
    <t>Concrete Pump</t>
  </si>
  <si>
    <t>Welding Set with Generator</t>
  </si>
  <si>
    <t>6.02.18</t>
  </si>
  <si>
    <t>Dewatering Pump (150-200mm dia)</t>
  </si>
  <si>
    <t>6.02.19</t>
  </si>
  <si>
    <t>Set of Well Points</t>
  </si>
  <si>
    <t>6.02.20</t>
  </si>
  <si>
    <t>Discharge Pipeline (200m) (150-200mm dia)</t>
  </si>
  <si>
    <t>6.02.21</t>
  </si>
  <si>
    <t>Crane up to 5 Tons</t>
  </si>
  <si>
    <t>6.02.22</t>
  </si>
  <si>
    <t>Crane over 5 and up to 25 Tons</t>
  </si>
  <si>
    <t>6.02.23</t>
  </si>
  <si>
    <t>Crane over 25 and up to 65 Tons</t>
  </si>
  <si>
    <t>6.02.24</t>
  </si>
  <si>
    <t>Pump (50-100mm dia) with 200 metres of flexible discharge hose</t>
  </si>
  <si>
    <t>6.02.25</t>
  </si>
  <si>
    <t>Tanker for water up to 1000 gals</t>
  </si>
  <si>
    <t>6.02.26</t>
  </si>
  <si>
    <t>Tanker for water over 1000 and up to 3000 gals</t>
  </si>
  <si>
    <t>Grader</t>
  </si>
  <si>
    <t>6.02.28</t>
  </si>
  <si>
    <t>Side Boom</t>
  </si>
  <si>
    <t>6.02.29</t>
  </si>
  <si>
    <t>Dumper</t>
  </si>
  <si>
    <t>Materials - Civil</t>
  </si>
  <si>
    <t>6.03.1</t>
  </si>
  <si>
    <t>Supply sulphate resisting cement</t>
  </si>
  <si>
    <t>kg</t>
  </si>
  <si>
    <t>6.03.2</t>
  </si>
  <si>
    <t>Sand as specified</t>
  </si>
  <si>
    <t>cu.m.</t>
  </si>
  <si>
    <t>6.03.3</t>
  </si>
  <si>
    <t>Supply aggregate maximum size 10mm as specified</t>
  </si>
  <si>
    <t>6.03.4</t>
  </si>
  <si>
    <t xml:space="preserve">Ditto maximum size 20 mm </t>
  </si>
  <si>
    <t>6.03.5</t>
  </si>
  <si>
    <t xml:space="preserve">Ditto maximum size 40mm </t>
  </si>
  <si>
    <t>6.03.6</t>
  </si>
  <si>
    <t>Blinding concrete including placing</t>
  </si>
  <si>
    <t>Mass in-situ concrete including placing</t>
  </si>
  <si>
    <t>6.03.8</t>
  </si>
  <si>
    <t>Reinforced in-situ concrete including placing</t>
  </si>
  <si>
    <t>6.03.9</t>
  </si>
  <si>
    <t>10mm diameter un coated mild steel bar reinforcement</t>
  </si>
  <si>
    <t>Tons</t>
  </si>
  <si>
    <t>6.03.10</t>
  </si>
  <si>
    <t>Uncoated high yield steel up to 16 mm dia.</t>
  </si>
  <si>
    <t>6.03.11</t>
  </si>
  <si>
    <t>Uncoated high yield steel exceeding 16 mm dia.</t>
  </si>
  <si>
    <t>6.03.12</t>
  </si>
  <si>
    <t xml:space="preserve">A.393 mesh reinforcement of uncoated high yield steel </t>
  </si>
  <si>
    <t>sq.m</t>
  </si>
  <si>
    <t>6.03.13</t>
  </si>
  <si>
    <t>Soft wood for formwork</t>
  </si>
  <si>
    <t>cu.m</t>
  </si>
  <si>
    <t>6.03.14</t>
  </si>
  <si>
    <t>Plywood for formwork</t>
  </si>
  <si>
    <t>6.03.15</t>
  </si>
  <si>
    <t>100 mm thick solid blockwork (supply only)</t>
  </si>
  <si>
    <t>6.03.16</t>
  </si>
  <si>
    <t>200 mm thick solid   blockwork (supply only)</t>
  </si>
  <si>
    <t>200mm thick Hollow blockwork (supply only)</t>
  </si>
  <si>
    <t>6.03.18</t>
  </si>
  <si>
    <t>100 mm thick Hollow blockwork (supply only)</t>
  </si>
  <si>
    <t>6.03.19</t>
  </si>
  <si>
    <t>100mm thick interlocking vehicular paving tiles</t>
  </si>
  <si>
    <t>6.03.20</t>
  </si>
  <si>
    <t>80mm thick interlocking vehicular paving tiles</t>
  </si>
  <si>
    <t>6.03.21</t>
  </si>
  <si>
    <t>60mm thick interlocking pedestrian paving tiles</t>
  </si>
  <si>
    <t>6.03.22</t>
  </si>
  <si>
    <t>Copper water pipe 50 mm dia</t>
  </si>
  <si>
    <t>6.03.23</t>
  </si>
  <si>
    <t>uPVC drainage pipes of 150 mm dia</t>
  </si>
  <si>
    <t>6.03.24</t>
  </si>
  <si>
    <t xml:space="preserve">uPVC slotted drainage pipes of 150 mm dia </t>
  </si>
  <si>
    <t>6.03.25</t>
  </si>
  <si>
    <t>uPVC drainage pipes of 300 mm dia.</t>
  </si>
  <si>
    <t>6.03.26</t>
  </si>
  <si>
    <t>Sweet sand in 300mm thick layer including compost and grass seed</t>
  </si>
  <si>
    <t>20mm single size aggregate for bedding and surround to drain pipes</t>
  </si>
  <si>
    <t>Laboratory Tests</t>
  </si>
  <si>
    <t>6.04.1</t>
  </si>
  <si>
    <t>Total Sulphates, Total Chlorides and pH test on ground water samples</t>
  </si>
  <si>
    <t>6.04.2</t>
  </si>
  <si>
    <t>Total Sulphates, Total Chlorides, Organic Matter content and pH test on soil sample</t>
  </si>
  <si>
    <t>6.04.3</t>
  </si>
  <si>
    <t>Drained Shear Box Test on non-cohesive soil sample at 5 different vertical pressures</t>
  </si>
  <si>
    <t>6.04.4</t>
  </si>
  <si>
    <t>Particle Size distribution on non-cohesive soil samples</t>
  </si>
  <si>
    <t> No.</t>
  </si>
  <si>
    <t>6.04.5</t>
  </si>
  <si>
    <t>Under drained triaxial compression test on cohesive soil sample at 3 different lateral pressures</t>
  </si>
  <si>
    <t>No. </t>
  </si>
  <si>
    <t>6.04.6</t>
  </si>
  <si>
    <t>Compaction Test</t>
  </si>
  <si>
    <t>Consolidation Test</t>
  </si>
  <si>
    <t>6.04.8</t>
  </si>
  <si>
    <t>Uniaxial compressive strength on rock samples</t>
  </si>
  <si>
    <t>6.04.9</t>
  </si>
  <si>
    <t>Moisture content</t>
  </si>
  <si>
    <t>6.04.10</t>
  </si>
  <si>
    <t>Bulk and Dry Density</t>
  </si>
  <si>
    <t>6.04.11</t>
  </si>
  <si>
    <t>Liquid Limit, Plastic Limit and Plasticity Index</t>
  </si>
  <si>
    <t>6.04.12</t>
  </si>
  <si>
    <t>Linear Shrinkage</t>
  </si>
  <si>
    <t>6.04.13</t>
  </si>
  <si>
    <t>Specific Gravity</t>
  </si>
  <si>
    <t>6.04.14</t>
  </si>
  <si>
    <t>Drained Triaxial Test (up to 6 day test period)</t>
  </si>
  <si>
    <t>6.04.15</t>
  </si>
  <si>
    <t>Uniaxial Compressive Test</t>
  </si>
  <si>
    <t>6.04.16</t>
  </si>
  <si>
    <t>In-situ Vane Test</t>
  </si>
  <si>
    <t>Total  Costs for  Bill No.6 excluding VAT  (AED)</t>
  </si>
  <si>
    <t>_</t>
  </si>
  <si>
    <t>Structural Steel Column for Ladder Support</t>
  </si>
  <si>
    <t>Supply, fabrication, and installation of structural steel column for ladder support, including all required base plates, anchor bolts, connections, welding, surface treatment , and complete erection at site. Works shall be carried out as per approved drawings, specifications, and relevant standards. All associated materials, labor, equipment, and coordination are to be included to complete the item in all respects.</t>
  </si>
  <si>
    <t xml:space="preserve">Temporary power supply </t>
  </si>
  <si>
    <t>Lump sum</t>
  </si>
  <si>
    <t>Supply, fabrication, and installation of structural steel column for ladder support, including all required base plates, anchor bolts, connections, welding, surface treatment, and complete erection at site. Works shall be carried out as per approved drawings, specifications, and relevant standards. All associated materials, labor, equipment, and coordination are to be included to complete the item in all respects.</t>
  </si>
  <si>
    <t>4C x 25mm² / XLPE / CU armoured cable</t>
  </si>
  <si>
    <t xml:space="preserve">DI - Standard Socket Spigot pipes </t>
  </si>
  <si>
    <t xml:space="preserve">Flow Meter Validation Unit </t>
  </si>
  <si>
    <t>Flow Control Valve</t>
  </si>
  <si>
    <t>Supply a flow control valve for the above-ground (vertical pipeline) validation unit, complete with validation software, in full compliance with the project specifications. The unit shall include a power supply with rechargeable batteries and an integral charging unit, ensuring continuous and reliable operation. All components shall be suitable for the intended application and delivered ready for installation and commissioning.</t>
  </si>
  <si>
    <t>Supply of 4" flow meter. all in accordance with specification, data sheet and drawings.</t>
  </si>
  <si>
    <t xml:space="preserve">NDRC </t>
  </si>
  <si>
    <t>Supply and installation of Non-Destructive Road Crossing for potable water pipelines, including all necessary materials, equipment, and labor. The scope includes trenchless installation of ducts beneath existing roads or pavements without excavation, ensuring minimal disruption to traffic and surface conditions. Works involve laying, jointing, and pressure testing of ducts in compliance with potable water standards, project specifications, and safety regulations.</t>
  </si>
  <si>
    <t>Lump Sum</t>
  </si>
  <si>
    <t xml:space="preserve">Capacitor Bank 12.5 KVAR </t>
  </si>
  <si>
    <t>Supply, Capacitor Bank 12.5 KVAR complete all as specified and as shown on drawings.</t>
  </si>
  <si>
    <t>Install, connected, and tested, Capacitor Bank 12.5 KVAR complete all as specified and as shown on drawings.</t>
  </si>
  <si>
    <t>Total  Costs for  Bill No.3 excluding VAT  (AED)</t>
  </si>
  <si>
    <t>Construct the Ductile Iron (D.I) pipeline as per the approved specifications, including tie-in connection with the existing line using polyethylene sleeves and rubber gaskets, installation of detectable warning tapes, and all necessary accessories. The scope includes supply of all materials, labor, equipment, and consumables required for the complete installation, as well as testing for pressure and leakage, flushing, disinfection, commissioning, and handing over the system in full commercial operation. The quoted rates shall cover all associated costs to deliver a fully functional and operational pipeline in compliance with relevant standards and project requirements.</t>
  </si>
  <si>
    <t>Construct the HDPE pipeline using the butt fusion method as per the approved specifications, complete with tie-in connections, installation of detectable warning tapes, and all necessary accessories. The scope shall include supply of all materials, equipment, and labor required for the complete installation. Rates shall cover all associated costs for testing, flushing, disinfection, commissioning, and handing over the system in full commercial operation, in compliance with project and industry standards.</t>
  </si>
  <si>
    <t>Exta over item For pipeline construction items for installation of D.I, PPR, HDPE &amp; uPVC fittings complete (such as restrained couplings, bends, tees, reducers, reducing flanges, Lange spigot pieces, flange socket pieces, quick dismantling joints, flanged adaptors, socket connectors, tied dismantling joints, blank flanges, double flanged extension pieces, adjustable S bends, duck foot elbows, flanged pipe pieces with anchor flange, transition pieces, collars, stepped couplings, and caps, restraining glands, etc.) for the following pipes:</t>
  </si>
  <si>
    <t>Exta over item for pipeline construction for installation of flanged valves, gate valves, flowmeters, control valves, etc. including all the accessories as per the specification.</t>
  </si>
  <si>
    <t>DI - Restrained</t>
  </si>
  <si>
    <t>Proposed Road Crossing Ducts</t>
  </si>
  <si>
    <t>Supply and installation of HDPE ducts for road crossing, including reinforced concrete surround and all associated works such as excavation, duct laying, concrete casting, backfilling, compaction, and testing, all as per drawings and specifications</t>
  </si>
  <si>
    <t xml:space="preserve">Lump Sum </t>
  </si>
  <si>
    <t>Exta over item  For pipeline construction items for installation of D.I, PPR, HDPE &amp; uPVC fittings complete (such as restrained couplings, bends, tees, reducers, reducing flanges, Lange spigot pieces, flange socket pieces, quick dismantling joints, flanged adaptors, socket connectors, tied dismantling joints, blank flanges, double flanged extension pieces, adjustable S bends, duck foot elbows, flanged pipe pieces with anchor flange, transition pieces, collars, stepped couplings, and caps, restraining glands, etc.) for the following pipes:</t>
  </si>
  <si>
    <t>Exta over item pipeline construction for installation of flanged valves, gate valves, flowmeters, control valves, etc. including all the accessories as per the specification.</t>
  </si>
  <si>
    <t>Tapping in 400  DI Main line</t>
  </si>
  <si>
    <t>Supply flow control valve for the above ground(Vertical pipeline) validation unit with validation software all as per specifications. The unit shall be supplied with power supply with rechargeable batteries and integral charger unit.</t>
  </si>
  <si>
    <t>Single Girder Crane 1.0 ton</t>
  </si>
  <si>
    <t>Supply, installation, testing, and commissioning of single girder EOT crane of 1.0-ton capacity, including all structural supports, electric hoist, end carriages, LT/CT drives, control panel, cabling, DSL system, and all necessary accessories, complete in all respects as per approved drawings and technical specifications.</t>
  </si>
  <si>
    <t>Exta over item for pipeline construction for installation of flanged valves, gate valves, flowmeters, control valves, etc on DI 300mm pipe including all the accessories as per the specification.</t>
  </si>
  <si>
    <t>Exta over item for pipeline construction for installation of flanged valves, gate valves, flowmeters, control valves, etc on HDPE 200mm pipe including all the accessories as per the specification.</t>
  </si>
  <si>
    <t xml:space="preserve">Supply the following ISO standard Gully trap including warning tape and all other accessories as per ADEWA standard specifications </t>
  </si>
  <si>
    <t>Supply of 8" flow meter. all in accordance with specification, data sheet and drawings.</t>
  </si>
  <si>
    <t>Single Girder Crane 2.5 ton</t>
  </si>
  <si>
    <t>Supply, installation, testing, and commissioning of single girder EOT crane of 2.5-ton capacity, including all structural supports, electric hoist, end carriages, LT/CT drives, control panel, cabling, DSL system, and all necessary accessories, complete in all respects as per approved drawings and technical specifications.</t>
  </si>
  <si>
    <t xml:space="preserve">Capacitor Bank 35 KVAR </t>
  </si>
  <si>
    <t>Supply, Capacitor Bank 35 KVAR complete all as specified and as shown on drawings.</t>
  </si>
  <si>
    <t>Install, connected, and tested, Capacitor Bank 35 KVAR complete all as specified and as shown on drawings.</t>
  </si>
  <si>
    <t>Exta over item  pipeline construction for installation of flanged valves, gate valves, flowmeters, control valves, etc. including all the accessories as per the specification.</t>
  </si>
  <si>
    <t>2.004a</t>
  </si>
  <si>
    <t>2.007a</t>
  </si>
  <si>
    <t>2.014a</t>
  </si>
  <si>
    <t>2.020a</t>
  </si>
  <si>
    <t>1.015a</t>
  </si>
  <si>
    <t>1.014a</t>
  </si>
  <si>
    <t>1.004a</t>
  </si>
  <si>
    <t>1.011a</t>
  </si>
  <si>
    <t>1.003a</t>
  </si>
  <si>
    <t>1.013a</t>
  </si>
  <si>
    <t xml:space="preserve">Allow for all costs for demobilization of personnel and removal from site of all constructional plant, surplus material, site offices, rubbish, temporary work and any other kind of works not being part of the permanent works and leave the whole of the site and work, clean and in a workmanlike condition to the satisfaction of the TAQA Engineer. </t>
  </si>
  <si>
    <t xml:space="preserve">Supply the following ISO standard uPVC including warning tape and all other accessories as per TAQA standard specifications </t>
  </si>
  <si>
    <t xml:space="preserve">Supply the following ISO standard Gully trap including all other accessories as per TAQA standard specifications </t>
  </si>
  <si>
    <t>Provision of temporary power supply including all necessary equipment, cables, connections, and distribution boards as required for the site. Contractor shall coordinate with TAQA for all connection requirements, approvals, and inspections to ensure compliance with utility regulations.</t>
  </si>
  <si>
    <t>Construct reinforced concrete chambers, as per TAQA's standard specification with precast cover slab for chambers on pipelines including the supply of all materials complete with protection board and water proofing of outside walls from top to bottom water stop at construction joints, installation of hot dipped galvanized lifting hooks in cover slab, supports for valve spindle extension casting in of anchor flange sealing flange (water stop),access cover frame, surface box, chamber indication plate owner information plate ventilation pipes bolting of aluminum ladder excavation dewatering, backfilling, etc.,  all as per specification and as shown on tender drawings (for lifting hooks, ladder, vent pipes, chamber protection &amp; water stop) all as directed and authorized by TAQA Engineer (not include supply of pipework inside chambers)</t>
  </si>
  <si>
    <t>Allow for all costs involved in the preparation and submission of all required drawings (compatible with TAQA 's Version of Auto CAD) including all details, shop drawings, vendor drawings, calculations, sketches, graphs and other documentation associated with the work, all according to specifications and according to TAQA GIS specifications.</t>
  </si>
  <si>
    <t>Allow for all costs involved in the preparation and submission of As-Built Drawings (compatible with TAQA's Version of Auto CAD) showing accurately to scale full details of installation, sizes and dimensions of pipes, connections, etc., as constructed, all according to specifications and according to TAQA GIS specifications and to be submitted as follows :</t>
  </si>
  <si>
    <t>Allow for all costs involved in provision of the required temporary facilities (site office) and services for the sole use of TAQA / Engineers all in accordance with the Specification.</t>
  </si>
  <si>
    <t>Maintenance and running cost for above site office for TAQA Engineer during construction period complete as specified.</t>
  </si>
  <si>
    <t xml:space="preserve">TEMPORARY FACILITIES FOR TQD Engineer (SITE OFFICE) </t>
  </si>
  <si>
    <t xml:space="preserve">E.O.I. for supply, place and compact aPPRoved imported bedding / fill material/gatch including disposal of surplus material  as per specifications and as ordered and authorized by TAQA Engineer </t>
  </si>
  <si>
    <t>General excavation for any other purpose including dewatering, backfilling as required or instructed by TAQA Engineer.</t>
  </si>
  <si>
    <t>Construct reinforced concrete chambers, as per TAQA's standard specification with precast cover slab for chambers on pipelines including the supply of all materials complete with protection board and water proofing of outside walls from top to bottom water stop at construction joints, installation of hot dipped galvanized lifting hooks in cover slab, supports for valve spindle extension casting in of anchor flange sealing flange (water stop),access cover frame, surface box, chamber indication plate owner information plate ventilation pipes bolting of aluminum ladder excavation dewatering, backfilling, etc.,  all as per specification and as shown on tender drawings (for lifting hooks, ladder, vent pipes, chamber protection &amp; water stop) all as directed and authorized by AADC Engineer (not include supply of pipework inside chambers)</t>
  </si>
  <si>
    <t xml:space="preserve">E.O.I. for supply, place and compact approved imported bedding / fill material/gatch including disposal of surplus material  as per specifications and as ordered and authorized by TAQA Engineer </t>
  </si>
  <si>
    <t>Construct of New Tapping : Work includes Hand excavation, dewatring,and installation of new saddle strap &amp; ferrule/pressure tapping tee with extra long outlet with all required fittings and supply of installation of moulding compound warping tap &amp; polythene sleeve for protection of saddle &amp; ferrule,backfilling and shutdown of distribution etc.all as per  TAQA Specification.</t>
  </si>
  <si>
    <t>Construct reinforced concrete encased Socket type uPVC DUCTS for the areas under car pass, for the proposed polyethylene house connection pipes, including the supply of uPVC pipe used for protection and all other  materials complete with uPVC end cap at each duct end, duct end sealing, bituminous painting of concrete, excavation by hand, dewatering, backfilling and provision of 10 mm dia. pulling rope for installation of polyethylene house connection pipes etc. all as per TAQA Specification and Tender Drawings and as directed by TAQA ENGINEER :</t>
  </si>
  <si>
    <t>Supply LV EVSDS as per specification and Single Line Diagram approved by TAQA/TAQA complete with frequency converters, harmonic suppression  equipment, etc. including witnessed factory tests  all according to the TAQA/TAQA specifications, data sheets and drawings.</t>
  </si>
  <si>
    <t>Install LV EVSDS as per specification and Single Line Diagram approved by TAQA/TAQA complete with frequency converters, harmonic suppression  equipment, etc. all according to the TAQA/TAQA specifications, data sheets and drawings.</t>
  </si>
  <si>
    <t xml:space="preserve">Supply suitably rated distribution boards and sub-distribution boards as per approved single line diagram and specification  with all accessories for the power supply to all the electrical and instrumentation loads in pump station as  per TAQA/TAQA specification. </t>
  </si>
  <si>
    <t xml:space="preserve">Install suitably rated distribution boards and sub-distribution boards as per approved single line diagram and specification  with all accessories for the power supply to all the electrical and instrumentation loads in pump station as  per TAQA/TAQA specification. </t>
  </si>
  <si>
    <t>Supply and Install DI pipe as specified complete with installation of detectable warning tapes and other accessories all in accordance with TAQA standard specification, data sheet and drawings.</t>
  </si>
  <si>
    <t>Construct reinforced concrete encased Socket type uPVC DUCTS for the areas under car pass, for the proposed polyethylene house connection pipes, including the supply of uPVC pipe used for protection and all other  materials complete with uPVC end cap at each duct end, duct end sealing, bituminous painting of concrete, excavation by hand, dewatering, backfilling and provision of 10 mm dia. pulling rope for installation of polyethylene house connection pipes etc. all as per TAQA Specification and Tender Drawings and as directed by TAQA/ENGINEER :</t>
  </si>
  <si>
    <t>Construct reinforced concrete encased socket type GRP DUCTS for the proposed road crossing pipes, including the supply of all material complete with GRP end cap at each duct end, duct end sealing, bituminous painting of concrete, excavation, dewatering, backfilling and provision of 10 mm dia. pulling rope for installation of HDPE distribution pipes etc. all as per the specification and tender drawings, as per TAQA standards and as directed by Engineer.</t>
  </si>
  <si>
    <t>Construct reinforced concrete encased 110 mm , 160 mm dia. Socket type uPVC DUCTS (Class 10 - minimum wall thickness 5.3 mm &amp; 7.7 mm respectively) for the areas under car pass, for the proposed polyethylene house connection pipes, including the supply of uPVC pipe used for protection and all other  materials complete with uPVC end cap at each duct end, duct end sealing, bituminous painting of concrete, excavation by hand, dewatering, backfilling and provision of 10 mm dia. pulling rope for installation of polyethylene house connection pipes etc. all as per TAQA Specification and Tender Drawings and as directed by TAQA ENGINEER :</t>
  </si>
  <si>
    <t>Supply ISO Standard HDPE pipes, fittings, all in accordance with TAQA standard specification, data sheet and drawings.</t>
  </si>
  <si>
    <t>Three (3) sets of all As-Built drawings compatible with TAQA GIS specifications and projection for new drawings and scanned for existing modified drawings submitted in computer DVD or compacted discs (CD)</t>
  </si>
  <si>
    <t>Provision of temporary power supply including all necessary equipment, cables, connections, and distribution boards as required for the site. Contractor shall coordinate with TAQA/TAQA for all connection requirements, approvals, and inspections to ensure compliance with utility regulations.</t>
  </si>
  <si>
    <t xml:space="preserve">Relocation of Existing TAQA Cable </t>
  </si>
  <si>
    <t>Relocation of existing TAQA cable, including identification, safe handling, temporary support, rerouting as per authority requirements, reinstatement of affected areas, and coordination with TAQA for necessary approvals and inspections.</t>
  </si>
  <si>
    <t>Dirhams Sixty-one million, two hundred forty-seven thousand, seven hundred forty.</t>
  </si>
  <si>
    <t>Dirhams Three million, sixty-two thousand, three hundred eighty-seven</t>
  </si>
  <si>
    <t>Dirhams Sixty-four million, three hundred ten thousand, one hundred twenty-seven and one Fils</t>
  </si>
  <si>
    <t>Dirhams Twelve million, one hundred ninety-seven thousand, three hundred fifty and seventy-six Fils</t>
  </si>
  <si>
    <t>Dirhams Six hundred nine thousand, eight hundred sixty-seven and fifty-four Fils</t>
  </si>
  <si>
    <t>Dirhams Twelve million, eight hundred seven thousand, two hundred eighteen and thirty Fils</t>
  </si>
  <si>
    <t>Dirhams Fourteen million, four hundred seventy-five thousand, seven hundred thirty-one and fourteen Fils</t>
  </si>
  <si>
    <t>Dirhams Seven hundred twenty-three thousand, seven hundred eighty-six and fifty-six Fils</t>
  </si>
  <si>
    <t>Dirhams Fifteen million, one hundred ninety-nine thousand, five hundred seventeen and seventy Fils</t>
  </si>
  <si>
    <t>Dirhams Fifteen million, eight hundred twenty-one thousand, two hundred twenty-nine and eighty-eight Fils</t>
  </si>
  <si>
    <t>Dirhams Seven hundred ninety-one thousand, sixty-one and forty-nine Fils</t>
  </si>
  <si>
    <t>Dirhams Sixteen million, six hundred twelve thousand, two hundred ninety-one and thirty-eight Fils</t>
  </si>
  <si>
    <t>Dirhams Twelve million, five hundred thirty-two thousand, two hundred fifty-six and seventy-two Fils</t>
  </si>
  <si>
    <t>Dirhams Six hundred twenty-six thousand, six hundred twelve and eighty-four Fils</t>
  </si>
  <si>
    <t>Dirhams Thirteen million, one hundred fifty-eight thousand, eight hundred sixty-nine and fifty-sixFils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</si>
</sst>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0.000"/>
  </numFmts>
  <fonts count="31" x14ac:knownFonts="1">
    <font>
      <sz val="10"/>
      <name val="Arial"/>
    </font>
    <font>
      <sz val="11"/>
      <color theme="1"/>
      <name val="Calibri"/>
      <family val="2"/>
      <scheme val="minor"/>
    </font>
    <font>
      <sz val="10"/>
      <name val="Arial"/>
      <family val="2"/>
    </font>
    <font>
      <sz val="12"/>
      <name val="Times New Roman"/>
      <family val="1"/>
    </font>
    <font>
      <b/>
      <sz val="12"/>
      <name val="Times New Roman"/>
      <family val="1"/>
    </font>
    <font>
      <sz val="14"/>
      <name val="Times New Roman"/>
      <family val="1"/>
    </font>
    <font>
      <sz val="18"/>
      <name val="Times New Roman"/>
      <family val="1"/>
    </font>
    <font>
      <sz val="24"/>
      <name val="Times New Roman"/>
      <family val="1"/>
    </font>
    <font>
      <sz val="11"/>
      <color indexed="8"/>
      <name val="Calibri"/>
      <family val="2"/>
      <scheme val="minor"/>
    </font>
    <font>
      <b/>
      <sz val="22"/>
      <color theme="1"/>
      <name val="Times New Roman"/>
      <family val="1"/>
    </font>
    <font>
      <sz val="22"/>
      <name val="Times New Roman"/>
      <family val="1"/>
    </font>
    <font>
      <b/>
      <sz val="22"/>
      <name val="Times New Roman"/>
      <family val="1"/>
    </font>
    <font>
      <sz val="22"/>
      <color theme="1"/>
      <name val="Times New Roman"/>
      <family val="1"/>
    </font>
    <font>
      <sz val="10"/>
      <name val="Arial"/>
      <family val="2"/>
    </font>
    <font>
      <sz val="12"/>
      <name val="Arial"/>
      <family val="2"/>
    </font>
    <font>
      <b/>
      <sz val="12"/>
      <name val="Arial"/>
      <family val="2"/>
    </font>
    <font>
      <b/>
      <sz val="9"/>
      <name val="Arial"/>
      <family val="2"/>
    </font>
    <font>
      <sz val="12"/>
      <color theme="1"/>
      <name val="Times New Roman"/>
      <family val="1"/>
    </font>
    <font>
      <b/>
      <sz val="12"/>
      <color theme="1"/>
      <name val="Times New Roman"/>
      <family val="1"/>
    </font>
    <font>
      <sz val="24"/>
      <color theme="1"/>
      <name val="Times New Roman"/>
      <family val="1"/>
    </font>
    <font>
      <sz val="14"/>
      <color theme="1"/>
      <name val="Times New Roman"/>
      <family val="1"/>
    </font>
    <font>
      <sz val="18"/>
      <color theme="1"/>
      <name val="Times New Roman"/>
      <family val="1"/>
    </font>
    <font>
      <sz val="12"/>
      <color theme="1"/>
      <name val="Arial"/>
      <family val="2"/>
    </font>
    <font>
      <b/>
      <sz val="12"/>
      <color theme="1"/>
      <name val="Arial"/>
      <family val="2"/>
    </font>
    <font>
      <b/>
      <sz val="9"/>
      <color theme="1"/>
      <name val="Arial"/>
      <family val="2"/>
    </font>
    <font>
      <sz val="9"/>
      <color theme="1"/>
      <name val="Arial"/>
      <family val="2"/>
    </font>
    <font>
      <b/>
      <u/>
      <sz val="12"/>
      <color theme="1"/>
      <name val="Arial"/>
      <family val="2"/>
    </font>
    <font>
      <u/>
      <sz val="12"/>
      <color theme="1"/>
      <name val="Arial"/>
      <family val="2"/>
    </font>
    <font>
      <b/>
      <sz val="12"/>
      <color rgb="FFFF0000"/>
      <name val="Arial"/>
      <family val="2"/>
    </font>
    <font>
      <b/>
      <u/>
      <sz val="12"/>
      <name val="Arial"/>
      <family val="2"/>
    </font>
    <font>
      <b/>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top/>
      <bottom style="medium">
        <color indexed="64"/>
      </bottom>
      <diagonal/>
    </border>
    <border>
      <left/>
      <right style="thin">
        <color indexed="64"/>
      </right>
      <top style="thin">
        <color auto="1"/>
      </top>
      <bottom style="thin">
        <color auto="1"/>
      </bottom>
      <diagonal/>
    </border>
    <border>
      <left style="thin">
        <color indexed="64"/>
      </left>
      <right style="thin">
        <color indexed="64"/>
      </right>
      <top/>
      <bottom/>
      <diagonal/>
    </border>
    <border>
      <left/>
      <right/>
      <top style="thin">
        <color auto="1"/>
      </top>
      <bottom style="thin">
        <color auto="1"/>
      </bottom>
      <diagonal/>
    </border>
    <border>
      <left/>
      <right/>
      <top style="thin">
        <color indexed="64"/>
      </top>
      <bottom/>
      <diagonal/>
    </border>
    <border>
      <left/>
      <right style="thin">
        <color indexed="64"/>
      </right>
      <top/>
      <bottom/>
      <diagonal/>
    </border>
  </borders>
  <cellStyleXfs count="22">
    <xf numFmtId="0" fontId="0" fillId="0" borderId="0"/>
    <xf numFmtId="0" fontId="2" fillId="0" borderId="0"/>
    <xf numFmtId="43"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8" fillId="0" borderId="0"/>
    <xf numFmtId="164" fontId="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3" fillId="0" borderId="0" applyFont="0" applyFill="0" applyBorder="0" applyAlignment="0" applyProtection="0"/>
    <xf numFmtId="0" fontId="1" fillId="0" borderId="0"/>
    <xf numFmtId="0" fontId="2" fillId="0" borderId="0"/>
    <xf numFmtId="164" fontId="2" fillId="0" borderId="0" applyFont="0" applyFill="0" applyBorder="0" applyAlignment="0" applyProtection="0"/>
    <xf numFmtId="0" fontId="2" fillId="0" borderId="0"/>
  </cellStyleXfs>
  <cellXfs count="277">
    <xf numFmtId="0" fontId="0" fillId="0" borderId="0" xfId="0"/>
    <xf numFmtId="0" fontId="3" fillId="0" borderId="0" xfId="1" applyFont="1" applyAlignment="1">
      <alignment vertical="top" wrapText="1"/>
    </xf>
    <xf numFmtId="0" fontId="3" fillId="0" borderId="0" xfId="1" applyFont="1" applyAlignment="1">
      <alignment horizontal="center" vertical="top"/>
    </xf>
    <xf numFmtId="4" fontId="3" fillId="0" borderId="0" xfId="1" applyNumberFormat="1" applyFont="1" applyAlignment="1">
      <alignment horizontal="center" vertical="top"/>
    </xf>
    <xf numFmtId="0" fontId="3" fillId="0" borderId="0" xfId="1" applyFont="1" applyAlignment="1">
      <alignment vertical="top"/>
    </xf>
    <xf numFmtId="0" fontId="4" fillId="0" borderId="7" xfId="1" applyFont="1" applyBorder="1" applyAlignment="1">
      <alignment horizontal="centerContinuous"/>
    </xf>
    <xf numFmtId="4" fontId="4" fillId="0" borderId="7" xfId="1" applyNumberFormat="1" applyFont="1" applyBorder="1" applyAlignment="1">
      <alignment horizontal="center"/>
    </xf>
    <xf numFmtId="0" fontId="3" fillId="0" borderId="7" xfId="1" applyFont="1" applyBorder="1"/>
    <xf numFmtId="0" fontId="4" fillId="0" borderId="0" xfId="1" applyFont="1" applyAlignment="1">
      <alignment horizontal="centerContinuous" vertical="top"/>
    </xf>
    <xf numFmtId="4" fontId="4" fillId="0" borderId="0" xfId="1" applyNumberFormat="1" applyFont="1" applyAlignment="1">
      <alignment horizontal="center" vertical="top"/>
    </xf>
    <xf numFmtId="0" fontId="3" fillId="0" borderId="0" xfId="1" applyFont="1"/>
    <xf numFmtId="0" fontId="5" fillId="0" borderId="0" xfId="1" applyFont="1" applyAlignment="1">
      <alignment vertical="top"/>
    </xf>
    <xf numFmtId="0" fontId="6" fillId="0" borderId="0" xfId="1" applyFont="1" applyAlignment="1">
      <alignment wrapText="1"/>
    </xf>
    <xf numFmtId="4" fontId="6" fillId="0" borderId="0" xfId="1" applyNumberFormat="1" applyFont="1" applyAlignment="1">
      <alignment horizontal="center"/>
    </xf>
    <xf numFmtId="0" fontId="3" fillId="0" borderId="0" xfId="1" applyFont="1" applyAlignment="1">
      <alignment wrapText="1"/>
    </xf>
    <xf numFmtId="4" fontId="3" fillId="0" borderId="0" xfId="1" applyNumberFormat="1" applyFont="1" applyAlignment="1">
      <alignment horizontal="center"/>
    </xf>
    <xf numFmtId="0" fontId="7" fillId="0" borderId="0" xfId="1" applyFont="1" applyAlignment="1">
      <alignment wrapText="1"/>
    </xf>
    <xf numFmtId="4" fontId="7" fillId="0" borderId="0" xfId="1" applyNumberFormat="1" applyFont="1" applyAlignment="1">
      <alignment horizontal="center"/>
    </xf>
    <xf numFmtId="0" fontId="7" fillId="0" borderId="0" xfId="1" applyFont="1"/>
    <xf numFmtId="0" fontId="7" fillId="0" borderId="0" xfId="1" applyFont="1" applyAlignment="1">
      <alignment vertical="top"/>
    </xf>
    <xf numFmtId="0" fontId="9" fillId="0" borderId="1" xfId="1" applyFont="1" applyBorder="1" applyAlignment="1">
      <alignment horizontal="center" vertical="center"/>
    </xf>
    <xf numFmtId="0" fontId="10" fillId="0" borderId="0" xfId="1" applyFont="1"/>
    <xf numFmtId="0" fontId="10" fillId="0" borderId="1" xfId="1" applyFont="1" applyBorder="1" applyAlignment="1">
      <alignment horizontal="center" vertical="center" wrapText="1"/>
    </xf>
    <xf numFmtId="0" fontId="10" fillId="0" borderId="1" xfId="1" applyFont="1" applyBorder="1" applyAlignment="1">
      <alignment vertical="center" wrapText="1"/>
    </xf>
    <xf numFmtId="0" fontId="10" fillId="0" borderId="0" xfId="1" applyFont="1" applyAlignment="1">
      <alignment horizontal="center" vertical="center" wrapText="1"/>
    </xf>
    <xf numFmtId="0" fontId="9" fillId="0" borderId="5" xfId="1" applyFont="1" applyBorder="1"/>
    <xf numFmtId="0" fontId="12" fillId="0" borderId="0" xfId="1" applyFont="1" applyAlignment="1">
      <alignment vertical="center"/>
    </xf>
    <xf numFmtId="0" fontId="9" fillId="0" borderId="3" xfId="1" applyFont="1" applyBorder="1"/>
    <xf numFmtId="0" fontId="9" fillId="0" borderId="6" xfId="1" applyFont="1" applyBorder="1"/>
    <xf numFmtId="0" fontId="10" fillId="0" borderId="0" xfId="1" applyFont="1" applyAlignment="1">
      <alignment vertical="top"/>
    </xf>
    <xf numFmtId="0" fontId="9" fillId="0" borderId="3" xfId="1" applyFont="1" applyBorder="1" applyAlignment="1">
      <alignment vertical="center"/>
    </xf>
    <xf numFmtId="0" fontId="12" fillId="0" borderId="1" xfId="1" applyFont="1" applyBorder="1" applyAlignment="1">
      <alignment vertical="center" wrapText="1"/>
    </xf>
    <xf numFmtId="4" fontId="9" fillId="0" borderId="3" xfId="1" applyNumberFormat="1" applyFont="1" applyBorder="1" applyAlignment="1">
      <alignment horizontal="center" vertical="center"/>
    </xf>
    <xf numFmtId="43" fontId="12" fillId="0" borderId="0" xfId="17" applyFont="1" applyAlignment="1">
      <alignment vertical="center"/>
    </xf>
    <xf numFmtId="0" fontId="12" fillId="0" borderId="1" xfId="1" applyFont="1" applyBorder="1" applyAlignment="1">
      <alignment horizontal="center" vertical="center"/>
    </xf>
    <xf numFmtId="43" fontId="12" fillId="0" borderId="0" xfId="1" applyNumberFormat="1" applyFont="1" applyAlignment="1">
      <alignment vertical="center"/>
    </xf>
    <xf numFmtId="4" fontId="11" fillId="0" borderId="1" xfId="17" applyNumberFormat="1" applyFont="1" applyBorder="1" applyAlignment="1">
      <alignment horizontal="center" vertical="center"/>
    </xf>
    <xf numFmtId="4" fontId="9" fillId="0" borderId="1" xfId="17" applyNumberFormat="1" applyFont="1" applyBorder="1" applyAlignment="1">
      <alignment horizontal="center" vertical="center"/>
    </xf>
    <xf numFmtId="4" fontId="9" fillId="0" borderId="2" xfId="17" applyNumberFormat="1" applyFont="1" applyBorder="1" applyAlignment="1">
      <alignment horizontal="center" vertical="center"/>
    </xf>
    <xf numFmtId="0" fontId="14" fillId="0" borderId="0" xfId="4" applyFont="1" applyAlignment="1">
      <alignment horizontal="center" vertical="center" wrapText="1"/>
    </xf>
    <xf numFmtId="0" fontId="14" fillId="0" borderId="0" xfId="4" applyFont="1" applyAlignment="1">
      <alignment horizontal="left" vertical="top" wrapText="1"/>
    </xf>
    <xf numFmtId="0" fontId="14" fillId="0" borderId="0" xfId="4" applyFont="1" applyAlignment="1">
      <alignment horizontal="center" vertical="center"/>
    </xf>
    <xf numFmtId="0" fontId="14" fillId="0" borderId="0" xfId="4" applyFont="1"/>
    <xf numFmtId="0" fontId="14" fillId="0" borderId="1" xfId="4" applyFont="1" applyBorder="1" applyAlignment="1">
      <alignment horizontal="center" vertical="center" wrapText="1"/>
    </xf>
    <xf numFmtId="0" fontId="15" fillId="0" borderId="1" xfId="4" applyFont="1" applyBorder="1" applyAlignment="1">
      <alignment horizontal="left" vertical="top"/>
    </xf>
    <xf numFmtId="0" fontId="14" fillId="0" borderId="1" xfId="4" applyFont="1" applyBorder="1" applyAlignment="1">
      <alignment horizontal="center" vertical="center"/>
    </xf>
    <xf numFmtId="0" fontId="14" fillId="0" borderId="1" xfId="4" applyFont="1" applyBorder="1"/>
    <xf numFmtId="0" fontId="15" fillId="0" borderId="1" xfId="4" applyFont="1" applyBorder="1" applyAlignment="1">
      <alignment horizontal="center" vertical="center"/>
    </xf>
    <xf numFmtId="0" fontId="15" fillId="0" borderId="1" xfId="4" applyFont="1" applyBorder="1" applyAlignment="1">
      <alignment horizontal="left" vertical="center"/>
    </xf>
    <xf numFmtId="0" fontId="15" fillId="0" borderId="1" xfId="4" applyFont="1" applyBorder="1" applyAlignment="1">
      <alignment horizontal="center" vertical="center" wrapText="1"/>
    </xf>
    <xf numFmtId="0" fontId="14" fillId="0" borderId="0" xfId="4" applyFont="1" applyAlignment="1">
      <alignment vertical="center"/>
    </xf>
    <xf numFmtId="0" fontId="15" fillId="0" borderId="1" xfId="4" applyFont="1" applyBorder="1" applyAlignment="1">
      <alignment horizontal="left" vertical="center" wrapText="1"/>
    </xf>
    <xf numFmtId="4" fontId="15" fillId="0" borderId="1" xfId="4" applyNumberFormat="1" applyFont="1" applyBorder="1" applyAlignment="1">
      <alignment horizontal="center" vertical="center"/>
    </xf>
    <xf numFmtId="0" fontId="15" fillId="0" borderId="0" xfId="4" applyFont="1"/>
    <xf numFmtId="0" fontId="14" fillId="0" borderId="1" xfId="4" applyFont="1" applyBorder="1" applyAlignment="1">
      <alignment horizontal="left" vertical="center" wrapText="1"/>
    </xf>
    <xf numFmtId="4" fontId="14" fillId="0" borderId="1" xfId="4" applyNumberFormat="1" applyFont="1" applyBorder="1" applyAlignment="1">
      <alignment horizontal="center" vertical="center"/>
    </xf>
    <xf numFmtId="4" fontId="14" fillId="0" borderId="1" xfId="4" applyNumberFormat="1" applyFont="1" applyBorder="1" applyAlignment="1">
      <alignment horizontal="center" vertical="center" wrapText="1"/>
    </xf>
    <xf numFmtId="4" fontId="14" fillId="0" borderId="0" xfId="4" applyNumberFormat="1" applyFont="1"/>
    <xf numFmtId="4" fontId="14" fillId="0" borderId="0" xfId="4" applyNumberFormat="1" applyFont="1" applyAlignment="1">
      <alignment vertical="center"/>
    </xf>
    <xf numFmtId="0" fontId="17" fillId="0" borderId="0" xfId="1" applyFont="1" applyAlignment="1">
      <alignment vertical="top" wrapText="1"/>
    </xf>
    <xf numFmtId="0" fontId="17" fillId="0" borderId="0" xfId="1" applyFont="1" applyAlignment="1">
      <alignment horizontal="center" vertical="top"/>
    </xf>
    <xf numFmtId="4" fontId="17" fillId="0" borderId="0" xfId="1" applyNumberFormat="1" applyFont="1" applyAlignment="1">
      <alignment horizontal="center" vertical="top"/>
    </xf>
    <xf numFmtId="0" fontId="17" fillId="0" borderId="0" xfId="1" applyFont="1" applyAlignment="1">
      <alignment vertical="top"/>
    </xf>
    <xf numFmtId="0" fontId="18" fillId="0" borderId="7" xfId="1" applyFont="1" applyBorder="1" applyAlignment="1">
      <alignment horizontal="centerContinuous"/>
    </xf>
    <xf numFmtId="4" fontId="18" fillId="0" borderId="7" xfId="1" applyNumberFormat="1" applyFont="1" applyBorder="1" applyAlignment="1">
      <alignment horizontal="center"/>
    </xf>
    <xf numFmtId="0" fontId="17" fillId="0" borderId="0" xfId="1" applyFont="1"/>
    <xf numFmtId="0" fontId="17" fillId="0" borderId="7" xfId="1" applyFont="1" applyBorder="1"/>
    <xf numFmtId="0" fontId="18" fillId="0" borderId="0" xfId="1" applyFont="1" applyAlignment="1">
      <alignment horizontal="centerContinuous" vertical="top"/>
    </xf>
    <xf numFmtId="4" fontId="18" fillId="0" borderId="0" xfId="1" applyNumberFormat="1" applyFont="1" applyAlignment="1">
      <alignment horizontal="center" vertical="top"/>
    </xf>
    <xf numFmtId="0" fontId="19" fillId="0" borderId="0" xfId="1" applyFont="1" applyAlignment="1">
      <alignment vertical="top"/>
    </xf>
    <xf numFmtId="0" fontId="19" fillId="0" borderId="0" xfId="1" applyFont="1" applyAlignment="1">
      <alignment wrapText="1"/>
    </xf>
    <xf numFmtId="4" fontId="19" fillId="0" borderId="0" xfId="1" applyNumberFormat="1" applyFont="1" applyAlignment="1">
      <alignment horizontal="center"/>
    </xf>
    <xf numFmtId="0" fontId="19" fillId="0" borderId="0" xfId="1" applyFont="1"/>
    <xf numFmtId="0" fontId="12" fillId="0" borderId="0" xfId="1" applyFont="1"/>
    <xf numFmtId="0" fontId="12" fillId="0" borderId="1" xfId="1" applyFont="1" applyBorder="1" applyAlignment="1">
      <alignment horizontal="center" vertical="center" wrapText="1"/>
    </xf>
    <xf numFmtId="43" fontId="12" fillId="0" borderId="0" xfId="1" applyNumberFormat="1" applyFont="1"/>
    <xf numFmtId="0" fontId="12" fillId="0" borderId="0" xfId="1" applyFont="1" applyAlignment="1">
      <alignment horizontal="center" vertical="center" wrapText="1"/>
    </xf>
    <xf numFmtId="0" fontId="12" fillId="0" borderId="5" xfId="1" applyFont="1" applyBorder="1" applyAlignment="1">
      <alignment vertical="center" wrapText="1"/>
    </xf>
    <xf numFmtId="43" fontId="9" fillId="0" borderId="0" xfId="2" applyFont="1" applyFill="1" applyBorder="1" applyAlignment="1" applyProtection="1">
      <alignment horizontal="center" vertical="center"/>
    </xf>
    <xf numFmtId="43" fontId="9" fillId="0" borderId="0" xfId="2" applyFont="1" applyFill="1" applyBorder="1" applyAlignment="1">
      <alignment horizontal="center" vertical="center"/>
    </xf>
    <xf numFmtId="0" fontId="12" fillId="0" borderId="0" xfId="1" applyFont="1" applyAlignment="1">
      <alignment vertical="top"/>
    </xf>
    <xf numFmtId="0" fontId="20" fillId="0" borderId="0" xfId="1" applyFont="1" applyAlignment="1">
      <alignment vertical="top"/>
    </xf>
    <xf numFmtId="0" fontId="21" fillId="0" borderId="0" xfId="1" applyFont="1" applyAlignment="1">
      <alignment wrapText="1"/>
    </xf>
    <xf numFmtId="4" fontId="21" fillId="0" borderId="0" xfId="1" applyNumberFormat="1" applyFont="1" applyAlignment="1">
      <alignment horizontal="center"/>
    </xf>
    <xf numFmtId="0" fontId="17" fillId="0" borderId="0" xfId="1" applyFont="1" applyAlignment="1">
      <alignment wrapText="1"/>
    </xf>
    <xf numFmtId="4" fontId="17" fillId="0" borderId="0" xfId="1" applyNumberFormat="1" applyFont="1" applyAlignment="1">
      <alignment horizontal="center"/>
    </xf>
    <xf numFmtId="0" fontId="22" fillId="0" borderId="0" xfId="4" applyFont="1" applyAlignment="1">
      <alignment horizontal="center" vertical="center" wrapText="1"/>
    </xf>
    <xf numFmtId="0" fontId="22" fillId="0" borderId="0" xfId="4" applyFont="1" applyAlignment="1">
      <alignment horizontal="left" vertical="top" wrapText="1"/>
    </xf>
    <xf numFmtId="0" fontId="22" fillId="0" borderId="0" xfId="4" applyFont="1" applyAlignment="1">
      <alignment horizontal="center" vertical="center"/>
    </xf>
    <xf numFmtId="43" fontId="22" fillId="0" borderId="0" xfId="2" applyFont="1" applyFill="1"/>
    <xf numFmtId="0" fontId="22" fillId="0" borderId="0" xfId="4" applyFont="1"/>
    <xf numFmtId="0" fontId="22" fillId="0" borderId="1" xfId="4" applyFont="1" applyBorder="1" applyAlignment="1">
      <alignment horizontal="center" vertical="center" wrapText="1"/>
    </xf>
    <xf numFmtId="0" fontId="23" fillId="0" borderId="1" xfId="4" applyFont="1" applyBorder="1" applyAlignment="1">
      <alignment horizontal="left" vertical="top"/>
    </xf>
    <xf numFmtId="0" fontId="22" fillId="0" borderId="1" xfId="4" applyFont="1" applyBorder="1" applyAlignment="1">
      <alignment horizontal="center" vertical="center"/>
    </xf>
    <xf numFmtId="43" fontId="22" fillId="0" borderId="1" xfId="2" applyFont="1" applyFill="1" applyBorder="1"/>
    <xf numFmtId="0" fontId="22" fillId="0" borderId="1" xfId="4" applyFont="1" applyBorder="1"/>
    <xf numFmtId="0" fontId="23" fillId="0" borderId="1" xfId="4" applyFont="1" applyBorder="1" applyAlignment="1">
      <alignment horizontal="center" vertical="center"/>
    </xf>
    <xf numFmtId="0" fontId="23" fillId="0" borderId="1" xfId="4" applyFont="1" applyBorder="1" applyAlignment="1">
      <alignment horizontal="left" vertical="center"/>
    </xf>
    <xf numFmtId="0" fontId="23" fillId="0" borderId="1" xfId="4" applyFont="1" applyBorder="1" applyAlignment="1">
      <alignment horizontal="center" vertical="center" wrapText="1"/>
    </xf>
    <xf numFmtId="43" fontId="23" fillId="0" borderId="1" xfId="2" applyFont="1" applyFill="1" applyBorder="1" applyAlignment="1">
      <alignment horizontal="center" vertical="center" wrapText="1"/>
    </xf>
    <xf numFmtId="0" fontId="22" fillId="0" borderId="0" xfId="4" applyFont="1" applyAlignment="1">
      <alignment vertical="center"/>
    </xf>
    <xf numFmtId="0" fontId="23" fillId="0" borderId="1" xfId="4" applyFont="1" applyBorder="1" applyAlignment="1">
      <alignment horizontal="left" vertical="center" wrapText="1"/>
    </xf>
    <xf numFmtId="0" fontId="22" fillId="0" borderId="1" xfId="4" applyFont="1" applyBorder="1" applyAlignment="1">
      <alignment horizontal="left" vertical="center" wrapText="1"/>
    </xf>
    <xf numFmtId="43" fontId="22" fillId="0" borderId="1" xfId="2" applyFont="1" applyFill="1" applyBorder="1" applyAlignment="1">
      <alignment horizontal="center" vertical="center"/>
    </xf>
    <xf numFmtId="0" fontId="23" fillId="0" borderId="0" xfId="4" applyFont="1"/>
    <xf numFmtId="43" fontId="22" fillId="0" borderId="0" xfId="2" applyFont="1" applyFill="1" applyBorder="1" applyAlignment="1">
      <alignment horizontal="center" vertical="center"/>
    </xf>
    <xf numFmtId="43" fontId="23" fillId="0" borderId="1" xfId="2" applyFont="1" applyFill="1" applyBorder="1" applyAlignment="1">
      <alignment horizontal="center" vertical="center"/>
    </xf>
    <xf numFmtId="165" fontId="22" fillId="0" borderId="1" xfId="4" applyNumberFormat="1" applyFont="1" applyBorder="1" applyAlignment="1">
      <alignment horizontal="center" vertical="center"/>
    </xf>
    <xf numFmtId="4" fontId="22" fillId="0" borderId="1" xfId="4" applyNumberFormat="1" applyFont="1" applyBorder="1" applyAlignment="1">
      <alignment horizontal="center" vertical="center" wrapText="1"/>
    </xf>
    <xf numFmtId="43" fontId="22" fillId="0" borderId="0" xfId="2" applyFont="1" applyFill="1" applyAlignment="1">
      <alignment vertical="center"/>
    </xf>
    <xf numFmtId="4" fontId="9" fillId="0" borderId="1" xfId="2" applyNumberFormat="1" applyFont="1" applyFill="1" applyBorder="1" applyAlignment="1">
      <alignment horizontal="center" vertical="center"/>
    </xf>
    <xf numFmtId="4" fontId="9" fillId="0" borderId="4" xfId="2" applyNumberFormat="1" applyFont="1" applyFill="1" applyBorder="1" applyAlignment="1">
      <alignment horizontal="center" vertical="center"/>
    </xf>
    <xf numFmtId="43" fontId="12" fillId="0" borderId="0" xfId="2" applyFont="1" applyFill="1" applyAlignment="1">
      <alignment vertical="center"/>
    </xf>
    <xf numFmtId="4" fontId="9" fillId="0" borderId="2" xfId="2" applyNumberFormat="1" applyFont="1" applyFill="1" applyBorder="1" applyAlignment="1">
      <alignment horizontal="center" vertical="center"/>
    </xf>
    <xf numFmtId="4" fontId="22" fillId="0" borderId="0" xfId="4" applyNumberFormat="1" applyFont="1" applyAlignment="1">
      <alignment vertical="center"/>
    </xf>
    <xf numFmtId="43" fontId="14" fillId="0" borderId="0" xfId="2" applyFont="1" applyFill="1"/>
    <xf numFmtId="43" fontId="14" fillId="0" borderId="1" xfId="2" applyFont="1" applyFill="1" applyBorder="1"/>
    <xf numFmtId="43" fontId="15" fillId="0" borderId="1" xfId="2" applyFont="1" applyFill="1" applyBorder="1" applyAlignment="1">
      <alignment horizontal="center" vertical="center" wrapText="1"/>
    </xf>
    <xf numFmtId="43" fontId="14" fillId="0" borderId="1" xfId="2" applyFont="1" applyFill="1" applyBorder="1" applyAlignment="1">
      <alignment horizontal="center" vertical="center"/>
    </xf>
    <xf numFmtId="43" fontId="15" fillId="0" borderId="1" xfId="2" applyFont="1" applyFill="1" applyBorder="1" applyAlignment="1">
      <alignment horizontal="center" vertical="center"/>
    </xf>
    <xf numFmtId="43" fontId="14" fillId="0" borderId="0" xfId="2" applyFont="1" applyFill="1" applyAlignment="1">
      <alignment vertical="center"/>
    </xf>
    <xf numFmtId="4" fontId="14" fillId="0" borderId="1" xfId="2" applyNumberFormat="1" applyFont="1" applyBorder="1" applyAlignment="1">
      <alignment horizontal="center" vertical="center"/>
    </xf>
    <xf numFmtId="4" fontId="15" fillId="0" borderId="1" xfId="2" applyNumberFormat="1" applyFont="1" applyBorder="1" applyAlignment="1">
      <alignment horizontal="center" vertical="center"/>
    </xf>
    <xf numFmtId="43" fontId="22" fillId="0" borderId="0" xfId="2" applyFont="1" applyFill="1" applyAlignment="1">
      <alignment horizontal="center"/>
    </xf>
    <xf numFmtId="43" fontId="22" fillId="0" borderId="1" xfId="2" applyFont="1" applyFill="1" applyBorder="1" applyAlignment="1">
      <alignment horizontal="center"/>
    </xf>
    <xf numFmtId="43" fontId="22" fillId="0" borderId="0" xfId="2" applyFont="1" applyFill="1" applyAlignment="1">
      <alignment horizontal="center" vertical="center"/>
    </xf>
    <xf numFmtId="4" fontId="23" fillId="0" borderId="1" xfId="2" applyNumberFormat="1" applyFont="1" applyFill="1" applyBorder="1" applyAlignment="1" applyProtection="1">
      <alignment horizontal="center" vertical="center" wrapText="1"/>
    </xf>
    <xf numFmtId="43" fontId="22" fillId="0" borderId="1" xfId="2" applyFont="1" applyFill="1" applyBorder="1" applyProtection="1"/>
    <xf numFmtId="43" fontId="23" fillId="0" borderId="1" xfId="2" applyFont="1" applyFill="1" applyBorder="1" applyAlignment="1" applyProtection="1">
      <alignment horizontal="center" vertical="center" wrapText="1"/>
    </xf>
    <xf numFmtId="2" fontId="22" fillId="0" borderId="1" xfId="2" applyNumberFormat="1" applyFont="1" applyFill="1" applyBorder="1"/>
    <xf numFmtId="2" fontId="23" fillId="0" borderId="1" xfId="2" applyNumberFormat="1" applyFont="1" applyFill="1" applyBorder="1" applyAlignment="1">
      <alignment horizontal="center" vertical="center" wrapText="1"/>
    </xf>
    <xf numFmtId="4" fontId="14" fillId="0" borderId="1" xfId="2" applyNumberFormat="1" applyFont="1" applyFill="1" applyBorder="1" applyAlignment="1">
      <alignment horizontal="center" vertical="center"/>
    </xf>
    <xf numFmtId="4" fontId="15" fillId="0" borderId="1" xfId="2" applyNumberFormat="1" applyFont="1" applyFill="1" applyBorder="1" applyAlignment="1">
      <alignment horizontal="center" vertical="center"/>
    </xf>
    <xf numFmtId="4" fontId="14" fillId="0" borderId="1" xfId="2" applyNumberFormat="1" applyFont="1" applyFill="1" applyBorder="1" applyAlignment="1">
      <alignment horizontal="center" vertical="center" wrapText="1"/>
    </xf>
    <xf numFmtId="4" fontId="14" fillId="0" borderId="1" xfId="2" applyNumberFormat="1" applyFont="1" applyFill="1" applyBorder="1" applyAlignment="1" applyProtection="1">
      <alignment horizontal="center" vertical="center"/>
      <protection locked="0"/>
    </xf>
    <xf numFmtId="4" fontId="15" fillId="0" borderId="1" xfId="2" applyNumberFormat="1" applyFont="1" applyFill="1" applyBorder="1" applyAlignment="1" applyProtection="1">
      <alignment horizontal="center" vertical="center"/>
      <protection locked="0"/>
    </xf>
    <xf numFmtId="4" fontId="23" fillId="0" borderId="1" xfId="4" applyNumberFormat="1" applyFont="1" applyBorder="1" applyAlignment="1">
      <alignment horizontal="center" vertical="center" wrapText="1"/>
    </xf>
    <xf numFmtId="0" fontId="22" fillId="0" borderId="0" xfId="4" applyFont="1" applyAlignment="1">
      <alignment horizontal="left" vertical="center" wrapText="1"/>
    </xf>
    <xf numFmtId="165" fontId="23" fillId="0" borderId="1" xfId="4" applyNumberFormat="1" applyFont="1" applyBorder="1" applyAlignment="1">
      <alignment horizontal="center" vertical="center"/>
    </xf>
    <xf numFmtId="0" fontId="23" fillId="0" borderId="1" xfId="4" applyFont="1" applyBorder="1"/>
    <xf numFmtId="0" fontId="23" fillId="0" borderId="1" xfId="21" applyFont="1" applyBorder="1" applyAlignment="1">
      <alignment horizontal="justify" vertical="center" wrapText="1"/>
    </xf>
    <xf numFmtId="0" fontId="22" fillId="0" borderId="1" xfId="21" applyFont="1" applyBorder="1" applyAlignment="1">
      <alignment horizontal="center" vertical="center"/>
    </xf>
    <xf numFmtId="0" fontId="22" fillId="0" borderId="1" xfId="21" applyFont="1" applyBorder="1" applyAlignment="1">
      <alignment horizontal="justify" vertical="center" wrapText="1"/>
    </xf>
    <xf numFmtId="165" fontId="22" fillId="0" borderId="0" xfId="4" applyNumberFormat="1" applyFont="1" applyAlignment="1">
      <alignment horizontal="center" vertical="center" wrapText="1"/>
    </xf>
    <xf numFmtId="165" fontId="22" fillId="0" borderId="1" xfId="4" applyNumberFormat="1" applyFont="1" applyBorder="1" applyAlignment="1">
      <alignment horizontal="center" vertical="center" wrapText="1"/>
    </xf>
    <xf numFmtId="165" fontId="22" fillId="0" borderId="1" xfId="4" applyNumberFormat="1" applyFont="1" applyBorder="1"/>
    <xf numFmtId="165" fontId="22" fillId="0" borderId="0" xfId="4" applyNumberFormat="1" applyFont="1" applyAlignment="1">
      <alignment horizontal="center" vertical="center"/>
    </xf>
    <xf numFmtId="2" fontId="22" fillId="0" borderId="1" xfId="4" applyNumberFormat="1" applyFont="1" applyBorder="1" applyAlignment="1">
      <alignment horizontal="center" vertical="center"/>
    </xf>
    <xf numFmtId="0" fontId="26" fillId="0" borderId="1" xfId="4" applyFont="1" applyBorder="1" applyAlignment="1">
      <alignment horizontal="justify" vertical="center" wrapText="1"/>
    </xf>
    <xf numFmtId="3" fontId="22" fillId="0" borderId="1" xfId="4" applyNumberFormat="1" applyFont="1" applyBorder="1" applyAlignment="1">
      <alignment horizontal="center" vertical="center"/>
    </xf>
    <xf numFmtId="4" fontId="22" fillId="0" borderId="1" xfId="4" applyNumberFormat="1" applyFont="1" applyBorder="1" applyAlignment="1">
      <alignment horizontal="left" vertical="center" wrapText="1"/>
    </xf>
    <xf numFmtId="0" fontId="22" fillId="0" borderId="1" xfId="4" applyFont="1" applyBorder="1" applyAlignment="1">
      <alignment horizontal="justify" vertical="center" wrapText="1"/>
    </xf>
    <xf numFmtId="0" fontId="23" fillId="0" borderId="1" xfId="4" applyFont="1" applyBorder="1" applyAlignment="1">
      <alignment horizontal="justify" vertical="center" wrapText="1"/>
    </xf>
    <xf numFmtId="0" fontId="22" fillId="0" borderId="9" xfId="19" applyFont="1" applyBorder="1" applyAlignment="1">
      <alignment horizontal="left" vertical="top" wrapText="1"/>
    </xf>
    <xf numFmtId="2" fontId="23" fillId="0" borderId="1" xfId="4" applyNumberFormat="1" applyFont="1" applyBorder="1" applyAlignment="1">
      <alignment horizontal="center" vertical="center"/>
    </xf>
    <xf numFmtId="2" fontId="22" fillId="0" borderId="1" xfId="4" applyNumberFormat="1" applyFont="1" applyBorder="1" applyAlignment="1">
      <alignment horizontal="center" vertical="center" wrapText="1"/>
    </xf>
    <xf numFmtId="2" fontId="23" fillId="0" borderId="1" xfId="4" applyNumberFormat="1" applyFont="1" applyBorder="1" applyAlignment="1">
      <alignment horizontal="left" vertical="top"/>
    </xf>
    <xf numFmtId="2" fontId="23" fillId="0" borderId="1" xfId="4" applyNumberFormat="1" applyFont="1" applyBorder="1" applyAlignment="1">
      <alignment horizontal="left" vertical="center"/>
    </xf>
    <xf numFmtId="2" fontId="23" fillId="0" borderId="1" xfId="4" applyNumberFormat="1" applyFont="1" applyBorder="1" applyAlignment="1">
      <alignment horizontal="center" vertical="center" wrapText="1"/>
    </xf>
    <xf numFmtId="0" fontId="28" fillId="0" borderId="0" xfId="4" applyFont="1"/>
    <xf numFmtId="0" fontId="23" fillId="0" borderId="0" xfId="4" applyFont="1" applyAlignment="1">
      <alignment vertical="center"/>
    </xf>
    <xf numFmtId="0" fontId="23" fillId="0" borderId="1" xfId="4" applyFont="1" applyBorder="1" applyAlignment="1">
      <alignment vertical="center"/>
    </xf>
    <xf numFmtId="0" fontId="22" fillId="0" borderId="0" xfId="4" applyFont="1" applyAlignment="1">
      <alignment vertical="top" wrapText="1"/>
    </xf>
    <xf numFmtId="0" fontId="23" fillId="0" borderId="1" xfId="4" applyFont="1" applyBorder="1" applyAlignment="1">
      <alignment vertical="top"/>
    </xf>
    <xf numFmtId="0" fontId="22" fillId="0" borderId="0" xfId="4" applyFont="1" applyAlignment="1">
      <alignment vertical="center" wrapText="1"/>
    </xf>
    <xf numFmtId="0" fontId="22" fillId="0" borderId="3" xfId="4" applyFont="1" applyBorder="1"/>
    <xf numFmtId="0" fontId="23" fillId="0" borderId="3" xfId="4" applyFont="1" applyBorder="1" applyAlignment="1">
      <alignment horizontal="center" vertical="center" wrapText="1"/>
    </xf>
    <xf numFmtId="0" fontId="22" fillId="0" borderId="8" xfId="4" applyFont="1" applyBorder="1"/>
    <xf numFmtId="0" fontId="23" fillId="0" borderId="8" xfId="4" applyFont="1" applyBorder="1"/>
    <xf numFmtId="0" fontId="23" fillId="0" borderId="1" xfId="0" applyFont="1" applyBorder="1" applyAlignment="1">
      <alignment horizontal="center" vertical="center"/>
    </xf>
    <xf numFmtId="0" fontId="23" fillId="0" borderId="1" xfId="0" applyFont="1" applyBorder="1" applyAlignment="1">
      <alignment horizontal="left" vertical="center" wrapText="1"/>
    </xf>
    <xf numFmtId="0" fontId="23" fillId="0" borderId="1" xfId="0" applyFont="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43" fontId="22" fillId="0" borderId="1" xfId="2" applyFont="1" applyFill="1" applyBorder="1" applyAlignment="1">
      <alignment horizontal="center" vertical="center" wrapText="1"/>
    </xf>
    <xf numFmtId="165" fontId="22" fillId="0" borderId="1" xfId="0" applyNumberFormat="1" applyFont="1" applyBorder="1" applyAlignment="1">
      <alignment horizontal="center" vertical="center"/>
    </xf>
    <xf numFmtId="0" fontId="22" fillId="0" borderId="1" xfId="0" applyFont="1" applyBorder="1"/>
    <xf numFmtId="4" fontId="22" fillId="0" borderId="1" xfId="0" applyNumberFormat="1" applyFont="1" applyBorder="1" applyAlignment="1">
      <alignment horizontal="center" vertical="center" wrapText="1"/>
    </xf>
    <xf numFmtId="165" fontId="23" fillId="0" borderId="1" xfId="0" applyNumberFormat="1" applyFont="1" applyBorder="1" applyAlignment="1">
      <alignment horizontal="center" vertical="center"/>
    </xf>
    <xf numFmtId="0" fontId="26" fillId="0" borderId="1" xfId="0" applyFont="1" applyBorder="1" applyAlignment="1">
      <alignment horizontal="left" vertical="center" wrapText="1"/>
    </xf>
    <xf numFmtId="1" fontId="22" fillId="0" borderId="1" xfId="0" applyNumberFormat="1" applyFont="1" applyBorder="1" applyAlignment="1">
      <alignment horizontal="center" vertical="center" wrapText="1"/>
    </xf>
    <xf numFmtId="4" fontId="22" fillId="0" borderId="1" xfId="0" applyNumberFormat="1" applyFont="1" applyBorder="1" applyAlignment="1">
      <alignment horizontal="left" vertical="center" wrapText="1"/>
    </xf>
    <xf numFmtId="0" fontId="23" fillId="0" borderId="1" xfId="0" applyFont="1" applyBorder="1"/>
    <xf numFmtId="4" fontId="23" fillId="0" borderId="1" xfId="0" applyNumberFormat="1" applyFont="1" applyBorder="1" applyAlignment="1">
      <alignment horizontal="center" vertical="center" wrapText="1"/>
    </xf>
    <xf numFmtId="4" fontId="22"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left" vertical="center" wrapText="1"/>
    </xf>
    <xf numFmtId="165" fontId="22" fillId="0" borderId="1" xfId="0" applyNumberFormat="1" applyFont="1" applyBorder="1"/>
    <xf numFmtId="2" fontId="22" fillId="0" borderId="1" xfId="0" applyNumberFormat="1" applyFont="1" applyBorder="1" applyAlignment="1">
      <alignment horizontal="center" vertical="center"/>
    </xf>
    <xf numFmtId="0" fontId="26" fillId="0" borderId="1" xfId="0" applyFont="1" applyBorder="1" applyAlignment="1">
      <alignment horizontal="justify" vertical="center" wrapText="1"/>
    </xf>
    <xf numFmtId="3" fontId="22" fillId="0" borderId="1" xfId="0" applyNumberFormat="1" applyFont="1" applyBorder="1" applyAlignment="1">
      <alignment horizontal="center" vertical="center"/>
    </xf>
    <xf numFmtId="0" fontId="22" fillId="0" borderId="1" xfId="0" applyFont="1" applyBorder="1" applyAlignment="1">
      <alignment horizontal="justify" vertical="center" wrapText="1"/>
    </xf>
    <xf numFmtId="0" fontId="23" fillId="0" borderId="1" xfId="0" applyFont="1" applyBorder="1" applyAlignment="1">
      <alignment horizontal="justify" vertical="center" wrapText="1"/>
    </xf>
    <xf numFmtId="0" fontId="27" fillId="0" borderId="1" xfId="0" applyFont="1" applyBorder="1" applyAlignment="1">
      <alignment horizontal="justify" vertical="center" wrapText="1"/>
    </xf>
    <xf numFmtId="0" fontId="27" fillId="0" borderId="1" xfId="21" applyFont="1" applyBorder="1" applyAlignment="1">
      <alignment horizontal="justify" vertical="center" wrapText="1"/>
    </xf>
    <xf numFmtId="43" fontId="22" fillId="0" borderId="4" xfId="2" applyFont="1" applyFill="1" applyBorder="1" applyAlignment="1">
      <alignment horizontal="center" vertical="center"/>
    </xf>
    <xf numFmtId="2" fontId="23" fillId="0" borderId="1" xfId="0" applyNumberFormat="1" applyFont="1" applyBorder="1" applyAlignment="1">
      <alignment horizontal="center" vertical="center"/>
    </xf>
    <xf numFmtId="0" fontId="22" fillId="0" borderId="0" xfId="0" applyFont="1" applyAlignment="1">
      <alignment horizontal="center" vertical="center"/>
    </xf>
    <xf numFmtId="0" fontId="27" fillId="0" borderId="1" xfId="0" applyFont="1" applyBorder="1" applyAlignment="1">
      <alignment horizontal="left" vertical="center" wrapText="1"/>
    </xf>
    <xf numFmtId="0" fontId="22" fillId="2" borderId="1" xfId="0" applyFont="1" applyFill="1" applyBorder="1" applyAlignment="1">
      <alignment horizontal="left" vertical="center" wrapText="1"/>
    </xf>
    <xf numFmtId="1" fontId="22" fillId="0" borderId="1" xfId="4" applyNumberFormat="1" applyFont="1" applyBorder="1" applyAlignment="1">
      <alignment horizontal="center" vertical="center" wrapText="1"/>
    </xf>
    <xf numFmtId="0" fontId="27" fillId="0" borderId="1" xfId="4" applyFont="1" applyBorder="1" applyAlignment="1">
      <alignment horizontal="justify" vertical="center" wrapText="1"/>
    </xf>
    <xf numFmtId="4" fontId="23" fillId="0" borderId="1" xfId="0" applyNumberFormat="1" applyFont="1" applyBorder="1" applyAlignment="1">
      <alignment horizontal="center" vertical="center"/>
    </xf>
    <xf numFmtId="0" fontId="29" fillId="3" borderId="1" xfId="0" applyFont="1" applyFill="1" applyBorder="1" applyAlignment="1">
      <alignment horizontal="left" vertical="center" wrapText="1"/>
    </xf>
    <xf numFmtId="0" fontId="14" fillId="3" borderId="1" xfId="0" applyFont="1" applyFill="1" applyBorder="1" applyAlignment="1">
      <alignment horizontal="center" vertical="center"/>
    </xf>
    <xf numFmtId="0" fontId="14" fillId="3" borderId="1" xfId="0" applyFont="1" applyFill="1" applyBorder="1" applyAlignment="1">
      <alignment horizontal="left" vertical="center" wrapText="1"/>
    </xf>
    <xf numFmtId="165" fontId="14" fillId="3" borderId="1" xfId="0" applyNumberFormat="1" applyFont="1" applyFill="1" applyBorder="1" applyAlignment="1">
      <alignment horizontal="center" vertical="center"/>
    </xf>
    <xf numFmtId="0" fontId="15" fillId="3" borderId="1" xfId="0" applyFont="1" applyFill="1" applyBorder="1" applyAlignment="1">
      <alignment horizontal="left" vertical="center" wrapText="1"/>
    </xf>
    <xf numFmtId="165" fontId="22" fillId="3" borderId="1" xfId="0" applyNumberFormat="1" applyFont="1" applyFill="1" applyBorder="1" applyAlignment="1">
      <alignment horizontal="center" vertical="center"/>
    </xf>
    <xf numFmtId="0" fontId="26" fillId="3" borderId="1" xfId="0" applyFont="1" applyFill="1" applyBorder="1" applyAlignment="1">
      <alignment horizontal="left" vertical="center" wrapText="1"/>
    </xf>
    <xf numFmtId="0" fontId="22" fillId="3" borderId="1" xfId="0" applyFont="1" applyFill="1" applyBorder="1" applyAlignment="1">
      <alignment horizontal="center" vertical="center"/>
    </xf>
    <xf numFmtId="0" fontId="22" fillId="3" borderId="1"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23" fillId="3" borderId="1" xfId="0" applyFont="1" applyFill="1" applyBorder="1" applyAlignment="1">
      <alignment horizontal="center" vertical="center"/>
    </xf>
    <xf numFmtId="0" fontId="27" fillId="3" borderId="1" xfId="0" applyFont="1" applyFill="1" applyBorder="1" applyAlignment="1">
      <alignment horizontal="left" vertical="center" wrapText="1"/>
    </xf>
    <xf numFmtId="0" fontId="23" fillId="3" borderId="1" xfId="21" applyFont="1" applyFill="1" applyBorder="1" applyAlignment="1">
      <alignment horizontal="justify" vertical="center" wrapText="1"/>
    </xf>
    <xf numFmtId="0" fontId="22" fillId="3" borderId="1" xfId="21" applyFont="1" applyFill="1" applyBorder="1" applyAlignment="1">
      <alignment horizontal="center" vertical="center"/>
    </xf>
    <xf numFmtId="1" fontId="22" fillId="3" borderId="1" xfId="0" applyNumberFormat="1" applyFont="1" applyFill="1" applyBorder="1" applyAlignment="1">
      <alignment horizontal="center" vertical="center" wrapText="1"/>
    </xf>
    <xf numFmtId="0" fontId="22" fillId="3" borderId="1" xfId="0" applyFont="1" applyFill="1" applyBorder="1" applyAlignment="1">
      <alignment horizontal="center" vertical="center" wrapText="1"/>
    </xf>
    <xf numFmtId="43" fontId="22" fillId="0" borderId="0" xfId="17" applyFont="1" applyAlignment="1">
      <alignment horizontal="center" vertical="center"/>
    </xf>
    <xf numFmtId="43" fontId="22" fillId="0" borderId="1" xfId="17" applyFont="1" applyBorder="1" applyAlignment="1">
      <alignment horizontal="center" vertical="center"/>
    </xf>
    <xf numFmtId="43" fontId="23" fillId="0" borderId="1" xfId="17" applyFont="1" applyBorder="1" applyAlignment="1">
      <alignment horizontal="center" vertical="center" wrapText="1"/>
    </xf>
    <xf numFmtId="4" fontId="22" fillId="0" borderId="1" xfId="2" applyNumberFormat="1" applyFont="1" applyFill="1" applyBorder="1" applyAlignment="1">
      <alignment horizontal="center" vertical="center"/>
    </xf>
    <xf numFmtId="4" fontId="22" fillId="0" borderId="1" xfId="2" applyNumberFormat="1" applyFont="1" applyFill="1" applyBorder="1" applyAlignment="1">
      <alignment horizontal="center" vertical="center" wrapText="1"/>
    </xf>
    <xf numFmtId="4" fontId="23" fillId="0" borderId="1" xfId="2" applyNumberFormat="1" applyFont="1" applyFill="1" applyBorder="1" applyAlignment="1">
      <alignment horizontal="center" vertical="center"/>
    </xf>
    <xf numFmtId="4" fontId="23" fillId="0" borderId="1" xfId="2" applyNumberFormat="1" applyFont="1" applyFill="1" applyBorder="1" applyAlignment="1">
      <alignment horizontal="center" vertical="center" wrapText="1"/>
    </xf>
    <xf numFmtId="4" fontId="22" fillId="0" borderId="4" xfId="2" applyNumberFormat="1" applyFont="1" applyFill="1" applyBorder="1" applyAlignment="1">
      <alignment horizontal="center" vertical="center"/>
    </xf>
    <xf numFmtId="1" fontId="22" fillId="0" borderId="1" xfId="2" applyNumberFormat="1" applyFont="1" applyFill="1" applyBorder="1" applyAlignment="1">
      <alignment horizontal="center" vertical="center"/>
    </xf>
    <xf numFmtId="1" fontId="22" fillId="0" borderId="1" xfId="0" applyNumberFormat="1" applyFont="1" applyBorder="1" applyAlignment="1">
      <alignment horizontal="center" vertical="center"/>
    </xf>
    <xf numFmtId="1" fontId="22" fillId="3" borderId="1" xfId="0" applyNumberFormat="1" applyFont="1" applyFill="1" applyBorder="1" applyAlignment="1">
      <alignment horizontal="center" vertical="center"/>
    </xf>
    <xf numFmtId="1" fontId="22" fillId="3" borderId="1" xfId="2"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0" borderId="1" xfId="2" applyNumberFormat="1" applyFont="1" applyBorder="1" applyAlignment="1">
      <alignment horizontal="center" vertical="center" wrapText="1"/>
    </xf>
    <xf numFmtId="1" fontId="22" fillId="0" borderId="1" xfId="2" applyNumberFormat="1" applyFont="1" applyBorder="1" applyAlignment="1">
      <alignment horizontal="center" vertical="center" wrapText="1"/>
    </xf>
    <xf numFmtId="1" fontId="23" fillId="0" borderId="1" xfId="2" applyNumberFormat="1" applyFont="1" applyBorder="1" applyAlignment="1">
      <alignment horizontal="center" vertical="center"/>
    </xf>
    <xf numFmtId="1" fontId="22" fillId="0" borderId="1" xfId="2" applyNumberFormat="1" applyFont="1" applyBorder="1" applyAlignment="1">
      <alignment horizontal="center" vertical="center"/>
    </xf>
    <xf numFmtId="1" fontId="22" fillId="3" borderId="1" xfId="2" applyNumberFormat="1" applyFont="1" applyFill="1" applyBorder="1" applyAlignment="1">
      <alignment horizontal="center" vertical="center" wrapText="1"/>
    </xf>
    <xf numFmtId="4" fontId="22" fillId="0" borderId="0" xfId="2" applyNumberFormat="1" applyFont="1" applyFill="1" applyAlignment="1">
      <alignment vertical="center"/>
    </xf>
    <xf numFmtId="1" fontId="23" fillId="0" borderId="1" xfId="17" applyNumberFormat="1" applyFont="1" applyBorder="1" applyAlignment="1">
      <alignment horizontal="center" vertical="center" wrapText="1"/>
    </xf>
    <xf numFmtId="1" fontId="22" fillId="0" borderId="1" xfId="17" applyNumberFormat="1" applyFont="1" applyBorder="1" applyAlignment="1">
      <alignment horizontal="center" vertical="center" wrapText="1"/>
    </xf>
    <xf numFmtId="1" fontId="23" fillId="0" borderId="1" xfId="17" applyNumberFormat="1" applyFont="1" applyBorder="1" applyAlignment="1">
      <alignment horizontal="center" vertical="center"/>
    </xf>
    <xf numFmtId="1" fontId="22" fillId="0" borderId="1" xfId="17" applyNumberFormat="1" applyFont="1" applyBorder="1" applyAlignment="1">
      <alignment horizontal="center" vertical="center"/>
    </xf>
    <xf numFmtId="1" fontId="22" fillId="3" borderId="1" xfId="17" applyNumberFormat="1" applyFont="1" applyFill="1" applyBorder="1" applyAlignment="1">
      <alignment horizontal="center" vertical="center"/>
    </xf>
    <xf numFmtId="1" fontId="22" fillId="0" borderId="1" xfId="17" applyNumberFormat="1" applyFont="1" applyFill="1" applyBorder="1" applyAlignment="1">
      <alignment horizontal="center" vertical="center"/>
    </xf>
    <xf numFmtId="1" fontId="14" fillId="3" borderId="1" xfId="17" applyNumberFormat="1" applyFont="1" applyFill="1" applyBorder="1" applyAlignment="1">
      <alignment horizontal="center" vertical="center"/>
    </xf>
    <xf numFmtId="1" fontId="22" fillId="0" borderId="0" xfId="17" applyNumberFormat="1" applyFont="1" applyAlignment="1">
      <alignment horizontal="center" vertical="center"/>
    </xf>
    <xf numFmtId="4" fontId="22" fillId="0" borderId="1" xfId="2" applyNumberFormat="1" applyFont="1" applyFill="1" applyBorder="1" applyAlignment="1" applyProtection="1">
      <alignment horizontal="center" vertical="center"/>
      <protection locked="0"/>
    </xf>
    <xf numFmtId="165" fontId="23" fillId="0" borderId="1" xfId="0" applyNumberFormat="1" applyFont="1" applyBorder="1"/>
    <xf numFmtId="4" fontId="14" fillId="0" borderId="0" xfId="4" applyNumberFormat="1" applyFont="1" applyAlignment="1">
      <alignment horizontal="center" vertical="center"/>
    </xf>
    <xf numFmtId="3" fontId="22" fillId="0" borderId="0" xfId="4" applyNumberFormat="1" applyFont="1" applyAlignment="1">
      <alignment horizontal="center" vertical="center"/>
    </xf>
    <xf numFmtId="1" fontId="22" fillId="0" borderId="0" xfId="4" applyNumberFormat="1" applyFont="1" applyAlignment="1">
      <alignment horizontal="center" vertical="center"/>
    </xf>
    <xf numFmtId="0" fontId="22" fillId="0" borderId="0" xfId="4" applyFont="1" applyAlignment="1">
      <alignment horizontal="center"/>
    </xf>
    <xf numFmtId="0" fontId="22" fillId="0" borderId="1" xfId="4" applyFont="1" applyBorder="1" applyAlignment="1">
      <alignment horizontal="center"/>
    </xf>
    <xf numFmtId="4" fontId="22" fillId="0" borderId="0" xfId="4" applyNumberFormat="1" applyFont="1" applyAlignment="1">
      <alignment horizontal="center" vertical="center"/>
    </xf>
    <xf numFmtId="2" fontId="22" fillId="0" borderId="1" xfId="0" applyNumberFormat="1" applyFont="1" applyBorder="1" applyAlignment="1">
      <alignment horizontal="center" vertical="center" wrapText="1"/>
    </xf>
    <xf numFmtId="2" fontId="14" fillId="3" borderId="1" xfId="0" applyNumberFormat="1" applyFont="1" applyFill="1" applyBorder="1" applyAlignment="1">
      <alignment horizontal="center" vertical="center"/>
    </xf>
    <xf numFmtId="43" fontId="30" fillId="0" borderId="8" xfId="17" applyFont="1" applyBorder="1" applyAlignment="1" applyProtection="1">
      <alignment vertical="center"/>
      <protection locked="0"/>
    </xf>
    <xf numFmtId="4" fontId="9" fillId="0" borderId="9" xfId="17" applyNumberFormat="1" applyFont="1" applyBorder="1" applyAlignment="1">
      <alignment horizontal="center" vertical="center"/>
    </xf>
    <xf numFmtId="0" fontId="10" fillId="0" borderId="10" xfId="1" applyFont="1" applyBorder="1" applyAlignment="1">
      <alignment vertical="center" wrapText="1"/>
    </xf>
    <xf numFmtId="4" fontId="11" fillId="0" borderId="10" xfId="17" applyNumberFormat="1" applyFont="1" applyBorder="1" applyAlignment="1">
      <alignment horizontal="center" vertical="center"/>
    </xf>
    <xf numFmtId="0" fontId="10" fillId="0" borderId="11" xfId="1" applyFont="1" applyBorder="1" applyAlignment="1">
      <alignment horizontal="center" vertical="center" wrapText="1"/>
    </xf>
    <xf numFmtId="0" fontId="10" fillId="0" borderId="12" xfId="1" applyFont="1" applyBorder="1" applyAlignment="1">
      <alignment horizontal="center" vertical="center" wrapText="1"/>
    </xf>
    <xf numFmtId="0" fontId="9" fillId="0" borderId="4" xfId="1" applyFont="1" applyBorder="1"/>
    <xf numFmtId="0" fontId="9" fillId="0" borderId="1" xfId="1" applyFont="1" applyBorder="1"/>
    <xf numFmtId="0" fontId="9" fillId="0" borderId="2" xfId="1" applyFont="1" applyBorder="1"/>
    <xf numFmtId="0" fontId="30" fillId="0" borderId="8" xfId="1" applyFont="1" applyBorder="1" applyAlignment="1" applyProtection="1">
      <alignment vertical="center"/>
      <protection locked="0"/>
    </xf>
    <xf numFmtId="43" fontId="30" fillId="0" borderId="8" xfId="2" applyFont="1" applyFill="1" applyBorder="1" applyAlignment="1" applyProtection="1">
      <alignment vertical="center"/>
      <protection locked="0"/>
    </xf>
    <xf numFmtId="43" fontId="30" fillId="0" borderId="8" xfId="17" applyFont="1" applyBorder="1" applyAlignment="1" applyProtection="1">
      <alignment vertical="center" wrapText="1"/>
      <protection locked="0"/>
    </xf>
    <xf numFmtId="0" fontId="30" fillId="0" borderId="8" xfId="1" applyFont="1" applyBorder="1" applyAlignment="1" applyProtection="1">
      <alignment vertical="center" wrapText="1"/>
      <protection locked="0"/>
    </xf>
    <xf numFmtId="43" fontId="30" fillId="0" borderId="8" xfId="2" applyFont="1" applyFill="1" applyBorder="1" applyAlignment="1" applyProtection="1">
      <alignment vertical="center" wrapText="1"/>
      <protection locked="0"/>
    </xf>
    <xf numFmtId="0" fontId="14" fillId="0" borderId="7" xfId="4" applyFont="1" applyBorder="1" applyAlignment="1">
      <alignment horizontal="left" vertical="top" wrapText="1"/>
    </xf>
    <xf numFmtId="0" fontId="14" fillId="0" borderId="7" xfId="4" applyFont="1" applyBorder="1" applyAlignment="1">
      <alignment horizontal="center" vertical="center"/>
    </xf>
    <xf numFmtId="0" fontId="22" fillId="0" borderId="7" xfId="4" applyFont="1" applyBorder="1" applyAlignment="1">
      <alignment horizontal="left" vertical="top" wrapText="1"/>
    </xf>
    <xf numFmtId="0" fontId="22" fillId="0" borderId="7" xfId="4" applyFont="1" applyBorder="1" applyAlignment="1">
      <alignment horizontal="center" vertical="center"/>
    </xf>
    <xf numFmtId="0" fontId="22" fillId="0" borderId="7" xfId="4" applyFont="1" applyBorder="1" applyAlignment="1">
      <alignment horizontal="center" vertical="center" wrapText="1"/>
    </xf>
    <xf numFmtId="0" fontId="22" fillId="0" borderId="7" xfId="4" applyFont="1" applyBorder="1" applyAlignment="1">
      <alignment vertical="top" wrapText="1"/>
    </xf>
  </cellXfs>
  <cellStyles count="22">
    <cellStyle name="Comma" xfId="17" builtinId="3"/>
    <cellStyle name="Comma 15" xfId="3" xr:uid="{07F41DAC-D51F-4A3B-BF66-74DA7BD15F82}"/>
    <cellStyle name="Comma 2" xfId="20" xr:uid="{BB8BF316-A1EA-4588-AE5F-357EE36C39E8}"/>
    <cellStyle name="Comma 3" xfId="2" xr:uid="{41168BCF-A727-4321-892D-8DAF38CEBC73}"/>
    <cellStyle name="Comma 7" xfId="6" xr:uid="{69F9025F-8AD4-4413-AD87-5268496A6924}"/>
    <cellStyle name="Comma 8" xfId="8" xr:uid="{5FA4B353-0A75-427B-9B87-2F4C5AAF2258}"/>
    <cellStyle name="Normal" xfId="0" builtinId="0"/>
    <cellStyle name="Normal 10 2" xfId="18" xr:uid="{5420683C-44A1-4D29-9F1C-E9883E76D7D2}"/>
    <cellStyle name="Normal 10 2 2 2" xfId="4" xr:uid="{B807108B-072A-403D-93A1-4CF2F04B05C4}"/>
    <cellStyle name="Normal 10 8" xfId="13" xr:uid="{BEE9AA2F-13C2-4657-9EAC-D81E262BE97D}"/>
    <cellStyle name="Normal 12" xfId="10" xr:uid="{5BC2B533-0DF6-4EC7-8B39-0C042515242B}"/>
    <cellStyle name="Normal 13 2" xfId="15" xr:uid="{BBFEF25D-8FCC-4F4F-AF96-6970E94335F6}"/>
    <cellStyle name="Normal 17" xfId="7" xr:uid="{BBCA1E73-FE79-4DAD-92BF-1B9907D4C32B}"/>
    <cellStyle name="Normal 17 2 2" xfId="14" xr:uid="{805A6403-70F8-4FD6-AC61-D55DDA21E579}"/>
    <cellStyle name="Normal 2 2" xfId="1" xr:uid="{E066376A-548C-4971-BF06-E498E3E4B5DE}"/>
    <cellStyle name="Normal 2 2 11" xfId="9" xr:uid="{636E10D9-5007-401A-80D4-5547F9D76F39}"/>
    <cellStyle name="Normal 2 2 2" xfId="12" xr:uid="{E7C622C2-6153-4036-A226-A7EADD01878C}"/>
    <cellStyle name="Normal 2 2 2 2" xfId="16" xr:uid="{CB4B95DC-9338-4DC7-AB35-F95F5497174A}"/>
    <cellStyle name="Normal 2 2 3 2 23 2" xfId="19" xr:uid="{4EE94295-7530-427F-A35C-064A6A86B1BA}"/>
    <cellStyle name="Normal 2 3" xfId="5" xr:uid="{7FE221C9-E865-4472-91BC-BB2AA0BAD0E3}"/>
    <cellStyle name="Normal 3 2" xfId="11" xr:uid="{73C47047-5705-478C-91E5-C2718687F2D2}"/>
    <cellStyle name="Normal_7112781-a" xfId="21" xr:uid="{5DB5A83A-EB04-42E4-91A1-476F9676FF53}"/>
  </cellStyles>
  <dxfs count="1">
    <dxf>
      <font>
        <color rgb="FF9C0006"/>
      </font>
      <fill>
        <patternFill>
          <bgColor rgb="FFFFC7CE"/>
        </patternFill>
      </fill>
    </dxf>
  </dxfs>
  <tableStyles count="0" defaultTableStyle="TableStyleMedium9" defaultPivotStyle="PivotStyleLight16"/>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4.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3.jpeg"/></Relationships>
</file>

<file path=xl/drawings/drawing1.xml><?xml version="1.0" encoding="utf-8"?>
<xdr:wsDr xmlns:xdr="http://schemas.openxmlformats.org/drawingml/2006/spreadsheetDrawing" xmlns:a="http://schemas.openxmlformats.org/drawingml/2006/main">
  <xdr:twoCellAnchor>
    <xdr:from>
      <xdr:col>0</xdr:col>
      <xdr:colOff>57148</xdr:colOff>
      <xdr:row>0</xdr:row>
      <xdr:rowOff>133351</xdr:rowOff>
    </xdr:from>
    <xdr:to>
      <xdr:col>1</xdr:col>
      <xdr:colOff>2268069</xdr:colOff>
      <xdr:row>2</xdr:row>
      <xdr:rowOff>376517</xdr:rowOff>
    </xdr:to>
    <xdr:sp macro="" textlink="">
      <xdr:nvSpPr>
        <xdr:cNvPr id="3" name="Text Box 21">
          <a:extLst>
            <a:ext uri="{FF2B5EF4-FFF2-40B4-BE49-F238E27FC236}">
              <a16:creationId xmlns:a16="http://schemas.microsoft.com/office/drawing/2014/main" id="{9D0A831D-F685-455F-8DFF-F2F6B028D9CD}"/>
            </a:ext>
          </a:extLst>
        </xdr:cNvPr>
        <xdr:cNvSpPr txBox="1">
          <a:spLocks noChangeArrowheads="1"/>
        </xdr:cNvSpPr>
      </xdr:nvSpPr>
      <xdr:spPr bwMode="auto">
        <a:xfrm>
          <a:off x="57148" y="133351"/>
          <a:ext cx="3403227" cy="745190"/>
        </a:xfrm>
        <a:prstGeom prst="rect">
          <a:avLst/>
        </a:prstGeom>
        <a:solidFill>
          <a:srgbClr val="FFFFFF"/>
        </a:solidFill>
        <a:ln w="9525">
          <a:noFill/>
          <a:miter lim="800000"/>
          <a:headEnd/>
          <a:tailEnd/>
        </a:ln>
      </xdr:spPr>
      <xdr:txBody>
        <a:bodyPr vertOverflow="clip" wrap="square" lIns="91440" tIns="45720" rIns="91440" bIns="45720" anchor="t" upright="1"/>
        <a:lstStyle/>
        <a:p>
          <a:pPr rtl="0" eaLnBrk="1" fontAlgn="auto" latinLnBrk="0" hangingPunct="1"/>
          <a:r>
            <a:rPr lang="en-US" sz="1400" b="1" i="0" baseline="0">
              <a:effectLst/>
              <a:latin typeface="+mn-lt"/>
              <a:ea typeface="+mn-ea"/>
              <a:cs typeface="+mn-cs"/>
            </a:rPr>
            <a:t>ABU DHABI DISTRIBUTION COMPANY  PJSC</a:t>
          </a:r>
          <a:endParaRPr lang="en-US" sz="1600">
            <a:effectLst/>
          </a:endParaRPr>
        </a:p>
        <a:p>
          <a:pPr rtl="0" eaLnBrk="1" fontAlgn="auto" latinLnBrk="0" hangingPunct="1"/>
          <a:r>
            <a:rPr lang="en-US" sz="1400" b="1" i="0" baseline="0">
              <a:effectLst/>
              <a:latin typeface="+mn-lt"/>
              <a:ea typeface="+mn-ea"/>
              <a:cs typeface="+mn-cs"/>
            </a:rPr>
            <a:t> (TAQA Distribution )</a:t>
          </a:r>
          <a:endParaRPr lang="en-US" sz="1600">
            <a:effectLst/>
          </a:endParaRPr>
        </a:p>
        <a:p>
          <a:pPr algn="l" rtl="0">
            <a:lnSpc>
              <a:spcPts val="900"/>
            </a:lnSpc>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5614307</xdr:colOff>
      <xdr:row>0</xdr:row>
      <xdr:rowOff>200025</xdr:rowOff>
    </xdr:from>
    <xdr:to>
      <xdr:col>2</xdr:col>
      <xdr:colOff>5913664</xdr:colOff>
      <xdr:row>3</xdr:row>
      <xdr:rowOff>62143</xdr:rowOff>
    </xdr:to>
    <xdr:sp macro="" textlink="">
      <xdr:nvSpPr>
        <xdr:cNvPr id="5" name="Rectangle 18">
          <a:extLst>
            <a:ext uri="{FF2B5EF4-FFF2-40B4-BE49-F238E27FC236}">
              <a16:creationId xmlns:a16="http://schemas.microsoft.com/office/drawing/2014/main" id="{0E33B8FB-83B4-43A8-B456-00A9BAA51F3A}"/>
            </a:ext>
          </a:extLst>
        </xdr:cNvPr>
        <xdr:cNvSpPr>
          <a:spLocks noChangeArrowheads="1"/>
        </xdr:cNvSpPr>
      </xdr:nvSpPr>
      <xdr:spPr bwMode="auto">
        <a:xfrm>
          <a:off x="6623957" y="200025"/>
          <a:ext cx="7043057" cy="1738543"/>
        </a:xfrm>
        <a:prstGeom prst="rect">
          <a:avLst/>
        </a:prstGeom>
        <a:solidFill>
          <a:srgbClr val="FFFFFF"/>
        </a:solidFill>
        <a:ln w="9525">
          <a:solidFill>
            <a:srgbClr val="FFFFFF"/>
          </a:solidFill>
          <a:miter lim="800000"/>
          <a:headEnd/>
          <a:tailEnd/>
        </a:ln>
      </xdr:spPr>
      <xdr:txBody>
        <a:bodyPr vertOverflow="clip" wrap="square" lIns="91440" tIns="45720" rIns="91440" bIns="45720" anchor="t" upright="1"/>
        <a:lstStyle/>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Title : Improvement of Exisiting Tanker Filling Station at Al Ain Area</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No. A-</a:t>
          </a:r>
          <a:r>
            <a:rPr lang="qaa-Latn-001" sz="1600" b="1" i="0" u="none" strike="noStrike" baseline="0">
              <a:solidFill>
                <a:srgbClr val="000000"/>
              </a:solidFill>
              <a:latin typeface="Times New Roman" panose="02020603050405020304" pitchFamily="18" charset="0"/>
              <a:cs typeface="Times New Roman" panose="02020603050405020304" pitchFamily="18" charset="0"/>
            </a:rPr>
            <a:t>2</a:t>
          </a:r>
          <a:r>
            <a:rPr lang="en-US" sz="1600" b="1" i="0" u="none" strike="noStrike" baseline="0">
              <a:solidFill>
                <a:srgbClr val="000000"/>
              </a:solidFill>
              <a:latin typeface="Times New Roman" panose="02020603050405020304" pitchFamily="18" charset="0"/>
              <a:cs typeface="Times New Roman" panose="02020603050405020304" pitchFamily="18" charset="0"/>
            </a:rPr>
            <a:t>0669</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Bidder Name: Pure Water Technology. LLC</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Date: 12th September, 2025</a:t>
          </a: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2670842</xdr:colOff>
      <xdr:row>0</xdr:row>
      <xdr:rowOff>50106</xdr:rowOff>
    </xdr:from>
    <xdr:to>
      <xdr:col>1</xdr:col>
      <xdr:colOff>4321784</xdr:colOff>
      <xdr:row>2</xdr:row>
      <xdr:rowOff>785824</xdr:rowOff>
    </xdr:to>
    <xdr:pic>
      <xdr:nvPicPr>
        <xdr:cNvPr id="6" name="Picture 5">
          <a:extLst>
            <a:ext uri="{FF2B5EF4-FFF2-40B4-BE49-F238E27FC236}">
              <a16:creationId xmlns:a16="http://schemas.microsoft.com/office/drawing/2014/main" id="{53E28B63-B17B-4D9B-B0E2-171B71DAC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63148" y="50106"/>
          <a:ext cx="1650942" cy="1237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3957017</xdr:colOff>
      <xdr:row>0</xdr:row>
      <xdr:rowOff>0</xdr:rowOff>
    </xdr:from>
    <xdr:to>
      <xdr:col>5</xdr:col>
      <xdr:colOff>1171989</xdr:colOff>
      <xdr:row>3</xdr:row>
      <xdr:rowOff>393700</xdr:rowOff>
    </xdr:to>
    <xdr:sp macro="" textlink="">
      <xdr:nvSpPr>
        <xdr:cNvPr id="2" name="TextBox 1">
          <a:extLst>
            <a:ext uri="{FF2B5EF4-FFF2-40B4-BE49-F238E27FC236}">
              <a16:creationId xmlns:a16="http://schemas.microsoft.com/office/drawing/2014/main" id="{D61F4FFE-EBC9-46CC-B988-35D002BDA0B5}"/>
            </a:ext>
          </a:extLst>
        </xdr:cNvPr>
        <xdr:cNvSpPr txBox="1"/>
      </xdr:nvSpPr>
      <xdr:spPr>
        <a:xfrm>
          <a:off x="4581857" y="0"/>
          <a:ext cx="5078812" cy="927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a:effectLst/>
          </a:endParaRPr>
        </a:p>
        <a:p>
          <a:pPr rtl="0"/>
          <a:r>
            <a:rPr lang="en-US" sz="1100" b="1" i="0" baseline="0">
              <a:solidFill>
                <a:schemeClr val="dk1"/>
              </a:solidFill>
              <a:effectLst/>
              <a:latin typeface="+mn-lt"/>
              <a:ea typeface="+mn-ea"/>
              <a:cs typeface="+mn-cs"/>
            </a:rPr>
            <a:t>Tender Title : Improvement of Exisiting Tanker Filling Station at Al Ain Area</a:t>
          </a:r>
          <a:endParaRPr lang="en-US">
            <a:effectLst/>
          </a:endParaRPr>
        </a:p>
        <a:p>
          <a:pPr rtl="0"/>
          <a:r>
            <a:rPr lang="en-US" sz="1100" b="1" i="0" baseline="0">
              <a:solidFill>
                <a:schemeClr val="dk1"/>
              </a:solidFill>
              <a:effectLst/>
              <a:latin typeface="+mn-lt"/>
              <a:ea typeface="+mn-ea"/>
              <a:cs typeface="+mn-cs"/>
            </a:rPr>
            <a:t>Tender No. A-20669</a:t>
          </a:r>
          <a:endParaRPr lang="en-US">
            <a:effectLst/>
          </a:endParaRPr>
        </a:p>
        <a:p>
          <a:pPr rtl="0"/>
          <a:r>
            <a:rPr lang="en-US" sz="1100" b="1" i="0" baseline="0">
              <a:solidFill>
                <a:schemeClr val="dk1"/>
              </a:solidFill>
              <a:effectLst/>
              <a:latin typeface="+mn-lt"/>
              <a:ea typeface="+mn-ea"/>
              <a:cs typeface="+mn-cs"/>
            </a:rPr>
            <a:t>Bidder Name: Pure Water Technology. LLC</a:t>
          </a:r>
          <a:endParaRPr lang="en-US">
            <a:effectLst/>
          </a:endParaRPr>
        </a:p>
        <a:p>
          <a:pPr rtl="0"/>
          <a:r>
            <a:rPr lang="en-US" sz="1100" b="1" i="0" baseline="0">
              <a:solidFill>
                <a:schemeClr val="dk1"/>
              </a:solidFill>
              <a:effectLst/>
              <a:latin typeface="+mn-lt"/>
              <a:ea typeface="+mn-ea"/>
              <a:cs typeface="+mn-cs"/>
            </a:rPr>
            <a:t>Date: 12th September, 2025</a:t>
          </a:r>
          <a:endParaRPr lang="en-US">
            <a:effectLst/>
          </a:endParaRPr>
        </a:p>
      </xdr:txBody>
    </xdr:sp>
    <xdr:clientData/>
  </xdr:twoCellAnchor>
  <xdr:twoCellAnchor>
    <xdr:from>
      <xdr:col>0</xdr:col>
      <xdr:colOff>104775</xdr:colOff>
      <xdr:row>0</xdr:row>
      <xdr:rowOff>182218</xdr:rowOff>
    </xdr:from>
    <xdr:to>
      <xdr:col>1</xdr:col>
      <xdr:colOff>2278380</xdr:colOff>
      <xdr:row>3</xdr:row>
      <xdr:rowOff>259080</xdr:rowOff>
    </xdr:to>
    <xdr:sp macro="" textlink="">
      <xdr:nvSpPr>
        <xdr:cNvPr id="3" name="TextBox 2">
          <a:extLst>
            <a:ext uri="{FF2B5EF4-FFF2-40B4-BE49-F238E27FC236}">
              <a16:creationId xmlns:a16="http://schemas.microsoft.com/office/drawing/2014/main" id="{D90F8E78-F277-4DFC-B350-2A7750D88B31}"/>
            </a:ext>
          </a:extLst>
        </xdr:cNvPr>
        <xdr:cNvSpPr txBox="1"/>
      </xdr:nvSpPr>
      <xdr:spPr>
        <a:xfrm>
          <a:off x="104775" y="182218"/>
          <a:ext cx="2798445" cy="6102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editAs="oneCell">
    <xdr:from>
      <xdr:col>1</xdr:col>
      <xdr:colOff>2381924</xdr:colOff>
      <xdr:row>0</xdr:row>
      <xdr:rowOff>37204</xdr:rowOff>
    </xdr:from>
    <xdr:to>
      <xdr:col>1</xdr:col>
      <xdr:colOff>3543748</xdr:colOff>
      <xdr:row>3</xdr:row>
      <xdr:rowOff>368276</xdr:rowOff>
    </xdr:to>
    <xdr:pic>
      <xdr:nvPicPr>
        <xdr:cNvPr id="4" name="Picture 3">
          <a:extLst>
            <a:ext uri="{FF2B5EF4-FFF2-40B4-BE49-F238E27FC236}">
              <a16:creationId xmlns:a16="http://schemas.microsoft.com/office/drawing/2014/main" id="{5346EA65-29D2-42C2-B692-65DE5D2C2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06764" y="37204"/>
          <a:ext cx="1161824" cy="8644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0</xdr:row>
      <xdr:rowOff>133350</xdr:rowOff>
    </xdr:from>
    <xdr:to>
      <xdr:col>1</xdr:col>
      <xdr:colOff>2295293</xdr:colOff>
      <xdr:row>2</xdr:row>
      <xdr:rowOff>288073</xdr:rowOff>
    </xdr:to>
    <xdr:sp macro="" textlink="">
      <xdr:nvSpPr>
        <xdr:cNvPr id="2" name="Text Box 21">
          <a:extLst>
            <a:ext uri="{FF2B5EF4-FFF2-40B4-BE49-F238E27FC236}">
              <a16:creationId xmlns:a16="http://schemas.microsoft.com/office/drawing/2014/main" id="{9A7F55BB-8C0A-4A2C-823A-DE993B9D678B}"/>
            </a:ext>
          </a:extLst>
        </xdr:cNvPr>
        <xdr:cNvSpPr txBox="1">
          <a:spLocks noChangeArrowheads="1"/>
        </xdr:cNvSpPr>
      </xdr:nvSpPr>
      <xdr:spPr bwMode="auto">
        <a:xfrm>
          <a:off x="57149" y="133350"/>
          <a:ext cx="3427607" cy="656528"/>
        </a:xfrm>
        <a:prstGeom prst="rect">
          <a:avLst/>
        </a:prstGeom>
        <a:solidFill>
          <a:srgbClr val="FFFFFF"/>
        </a:solidFill>
        <a:ln w="9525">
          <a:noFill/>
          <a:miter lim="800000"/>
          <a:headEnd/>
          <a:tailEnd/>
        </a:ln>
      </xdr:spPr>
      <xdr:txBody>
        <a:bodyPr vertOverflow="clip" wrap="square" lIns="91440" tIns="45720" rIns="91440" bIns="45720" anchor="t" upright="1"/>
        <a:lstStyle/>
        <a:p>
          <a:pPr rtl="0" eaLnBrk="1" fontAlgn="auto" latinLnBrk="0" hangingPunct="1"/>
          <a:r>
            <a:rPr lang="en-US" sz="1400" b="1" i="0" baseline="0">
              <a:effectLst/>
              <a:latin typeface="+mn-lt"/>
              <a:ea typeface="+mn-ea"/>
              <a:cs typeface="+mn-cs"/>
            </a:rPr>
            <a:t>ABU DHABI DISTRIBUTION COMPANY  PJSC</a:t>
          </a:r>
          <a:endParaRPr lang="en-US" sz="1600">
            <a:effectLst/>
          </a:endParaRPr>
        </a:p>
        <a:p>
          <a:pPr rtl="0" eaLnBrk="1" fontAlgn="auto" latinLnBrk="0" hangingPunct="1"/>
          <a:r>
            <a:rPr lang="en-US" sz="1400" b="1" i="0" baseline="0">
              <a:effectLst/>
              <a:latin typeface="+mn-lt"/>
              <a:ea typeface="+mn-ea"/>
              <a:cs typeface="+mn-cs"/>
            </a:rPr>
            <a:t> (TAQA Distribution )</a:t>
          </a:r>
          <a:endParaRPr lang="en-US" sz="1600">
            <a:effectLst/>
          </a:endParaRPr>
        </a:p>
        <a:p>
          <a:pPr algn="l" rtl="0">
            <a:lnSpc>
              <a:spcPts val="9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5633357</xdr:colOff>
      <xdr:row>0</xdr:row>
      <xdr:rowOff>95250</xdr:rowOff>
    </xdr:from>
    <xdr:to>
      <xdr:col>2</xdr:col>
      <xdr:colOff>5932714</xdr:colOff>
      <xdr:row>2</xdr:row>
      <xdr:rowOff>1338493</xdr:rowOff>
    </xdr:to>
    <xdr:sp macro="" textlink="">
      <xdr:nvSpPr>
        <xdr:cNvPr id="3" name="Rectangle 18">
          <a:extLst>
            <a:ext uri="{FF2B5EF4-FFF2-40B4-BE49-F238E27FC236}">
              <a16:creationId xmlns:a16="http://schemas.microsoft.com/office/drawing/2014/main" id="{1549CF27-776C-4079-9600-BD7052F9F64C}"/>
            </a:ext>
          </a:extLst>
        </xdr:cNvPr>
        <xdr:cNvSpPr>
          <a:spLocks noChangeArrowheads="1"/>
        </xdr:cNvSpPr>
      </xdr:nvSpPr>
      <xdr:spPr bwMode="auto">
        <a:xfrm>
          <a:off x="6822077" y="95250"/>
          <a:ext cx="7233557" cy="1746163"/>
        </a:xfrm>
        <a:prstGeom prst="rect">
          <a:avLst/>
        </a:prstGeom>
        <a:solidFill>
          <a:srgbClr val="FFFFFF"/>
        </a:solidFill>
        <a:ln w="9525">
          <a:solidFill>
            <a:srgbClr val="FFFFFF"/>
          </a:solidFill>
          <a:miter lim="800000"/>
          <a:headEnd/>
          <a:tailEnd/>
        </a:ln>
      </xdr:spPr>
      <xdr:txBody>
        <a:bodyPr vertOverflow="clip" wrap="square" lIns="91440" tIns="45720" rIns="91440" bIns="45720" anchor="t" upright="1"/>
        <a:lstStyle/>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Title : Improvement of Exisiting Tanker Filling Station at Al Ain Area</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No. A-</a:t>
          </a:r>
          <a:r>
            <a:rPr lang="qaa-Latn-001" sz="1600" b="1" i="0" u="none" strike="noStrike" baseline="0">
              <a:solidFill>
                <a:srgbClr val="000000"/>
              </a:solidFill>
              <a:latin typeface="Times New Roman" panose="02020603050405020304" pitchFamily="18" charset="0"/>
              <a:cs typeface="Times New Roman" panose="02020603050405020304" pitchFamily="18" charset="0"/>
            </a:rPr>
            <a:t>2</a:t>
          </a:r>
          <a:r>
            <a:rPr lang="en-US" sz="1600" b="1" i="0" u="none" strike="noStrike" baseline="0">
              <a:solidFill>
                <a:srgbClr val="000000"/>
              </a:solidFill>
              <a:latin typeface="Times New Roman" panose="02020603050405020304" pitchFamily="18" charset="0"/>
              <a:cs typeface="Times New Roman" panose="02020603050405020304" pitchFamily="18" charset="0"/>
            </a:rPr>
            <a:t>0669</a:t>
          </a: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2684319</xdr:colOff>
      <xdr:row>0</xdr:row>
      <xdr:rowOff>138545</xdr:rowOff>
    </xdr:from>
    <xdr:to>
      <xdr:col>1</xdr:col>
      <xdr:colOff>4331451</xdr:colOff>
      <xdr:row>2</xdr:row>
      <xdr:rowOff>884926</xdr:rowOff>
    </xdr:to>
    <xdr:pic>
      <xdr:nvPicPr>
        <xdr:cNvPr id="4" name="Picture 3">
          <a:extLst>
            <a:ext uri="{FF2B5EF4-FFF2-40B4-BE49-F238E27FC236}">
              <a16:creationId xmlns:a16="http://schemas.microsoft.com/office/drawing/2014/main" id="{0A166E14-2987-4526-AA1C-566FE7D4D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039" y="138545"/>
          <a:ext cx="1647132" cy="12493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182218</xdr:rowOff>
    </xdr:from>
    <xdr:to>
      <xdr:col>1</xdr:col>
      <xdr:colOff>2247900</xdr:colOff>
      <xdr:row>3</xdr:row>
      <xdr:rowOff>266700</xdr:rowOff>
    </xdr:to>
    <xdr:sp macro="" textlink="">
      <xdr:nvSpPr>
        <xdr:cNvPr id="2" name="TextBox 1">
          <a:extLst>
            <a:ext uri="{FF2B5EF4-FFF2-40B4-BE49-F238E27FC236}">
              <a16:creationId xmlns:a16="http://schemas.microsoft.com/office/drawing/2014/main" id="{CF78599F-DA82-4364-B224-B5460C3418B3}"/>
            </a:ext>
          </a:extLst>
        </xdr:cNvPr>
        <xdr:cNvSpPr txBox="1"/>
      </xdr:nvSpPr>
      <xdr:spPr>
        <a:xfrm>
          <a:off x="104775" y="182218"/>
          <a:ext cx="2752725" cy="6178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sz="1000">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sz="1000">
            <a:effectLst/>
          </a:endParaRPr>
        </a:p>
        <a:p>
          <a:pPr rtl="0"/>
          <a:endParaRPr lang="en-US" sz="1000">
            <a:effectLst/>
          </a:endParaRPr>
        </a:p>
      </xdr:txBody>
    </xdr:sp>
    <xdr:clientData/>
  </xdr:twoCellAnchor>
  <xdr:twoCellAnchor>
    <xdr:from>
      <xdr:col>1</xdr:col>
      <xdr:colOff>3619499</xdr:colOff>
      <xdr:row>0</xdr:row>
      <xdr:rowOff>56029</xdr:rowOff>
    </xdr:from>
    <xdr:to>
      <xdr:col>5</xdr:col>
      <xdr:colOff>1170648</xdr:colOff>
      <xdr:row>3</xdr:row>
      <xdr:rowOff>403412</xdr:rowOff>
    </xdr:to>
    <xdr:sp macro="" textlink="">
      <xdr:nvSpPr>
        <xdr:cNvPr id="3" name="TextBox 2">
          <a:extLst>
            <a:ext uri="{FF2B5EF4-FFF2-40B4-BE49-F238E27FC236}">
              <a16:creationId xmlns:a16="http://schemas.microsoft.com/office/drawing/2014/main" id="{2642284C-6D82-4FE6-9C61-E7F641E406DC}"/>
            </a:ext>
          </a:extLst>
        </xdr:cNvPr>
        <xdr:cNvSpPr txBox="1"/>
      </xdr:nvSpPr>
      <xdr:spPr>
        <a:xfrm>
          <a:off x="4229099" y="56029"/>
          <a:ext cx="5049229" cy="88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Al Dhaher</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2329543</xdr:colOff>
      <xdr:row>0</xdr:row>
      <xdr:rowOff>54186</xdr:rowOff>
    </xdr:from>
    <xdr:to>
      <xdr:col>1</xdr:col>
      <xdr:colOff>3276600</xdr:colOff>
      <xdr:row>3</xdr:row>
      <xdr:rowOff>241253</xdr:rowOff>
    </xdr:to>
    <xdr:pic>
      <xdr:nvPicPr>
        <xdr:cNvPr id="4" name="Picture 3">
          <a:extLst>
            <a:ext uri="{FF2B5EF4-FFF2-40B4-BE49-F238E27FC236}">
              <a16:creationId xmlns:a16="http://schemas.microsoft.com/office/drawing/2014/main" id="{08522546-C469-489E-869D-CF1A60FE4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9143" y="54186"/>
          <a:ext cx="947057" cy="7204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104774</xdr:colOff>
      <xdr:row>0</xdr:row>
      <xdr:rowOff>182218</xdr:rowOff>
    </xdr:from>
    <xdr:to>
      <xdr:col>1</xdr:col>
      <xdr:colOff>2294964</xdr:colOff>
      <xdr:row>3</xdr:row>
      <xdr:rowOff>277906</xdr:rowOff>
    </xdr:to>
    <xdr:sp macro="" textlink="">
      <xdr:nvSpPr>
        <xdr:cNvPr id="2" name="TextBox 1">
          <a:extLst>
            <a:ext uri="{FF2B5EF4-FFF2-40B4-BE49-F238E27FC236}">
              <a16:creationId xmlns:a16="http://schemas.microsoft.com/office/drawing/2014/main" id="{550D5D9C-7B75-4A9D-9DB5-430B882465C1}"/>
            </a:ext>
          </a:extLst>
        </xdr:cNvPr>
        <xdr:cNvSpPr txBox="1"/>
      </xdr:nvSpPr>
      <xdr:spPr>
        <a:xfrm>
          <a:off x="104774" y="182218"/>
          <a:ext cx="2817719" cy="624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4078942</xdr:colOff>
      <xdr:row>0</xdr:row>
      <xdr:rowOff>33617</xdr:rowOff>
    </xdr:from>
    <xdr:to>
      <xdr:col>5</xdr:col>
      <xdr:colOff>1293914</xdr:colOff>
      <xdr:row>3</xdr:row>
      <xdr:rowOff>381000</xdr:rowOff>
    </xdr:to>
    <xdr:sp macro="" textlink="">
      <xdr:nvSpPr>
        <xdr:cNvPr id="3" name="TextBox 2">
          <a:extLst>
            <a:ext uri="{FF2B5EF4-FFF2-40B4-BE49-F238E27FC236}">
              <a16:creationId xmlns:a16="http://schemas.microsoft.com/office/drawing/2014/main" id="{0A6F5EC3-897F-4A17-801E-58D1E0933D7A}"/>
            </a:ext>
          </a:extLst>
        </xdr:cNvPr>
        <xdr:cNvSpPr txBox="1"/>
      </xdr:nvSpPr>
      <xdr:spPr>
        <a:xfrm>
          <a:off x="4703782" y="33617"/>
          <a:ext cx="5101672" cy="88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Al Dhaher</a:t>
          </a:r>
          <a:endParaRPr lang="en-US">
            <a:effectLst/>
          </a:endParaRPr>
        </a:p>
        <a:p>
          <a:endParaRPr lang="en-US">
            <a:effectLst/>
          </a:endParaRPr>
        </a:p>
      </xdr:txBody>
    </xdr:sp>
    <xdr:clientData/>
  </xdr:twoCellAnchor>
  <xdr:twoCellAnchor editAs="oneCell">
    <xdr:from>
      <xdr:col>1</xdr:col>
      <xdr:colOff>2321220</xdr:colOff>
      <xdr:row>0</xdr:row>
      <xdr:rowOff>36178</xdr:rowOff>
    </xdr:from>
    <xdr:to>
      <xdr:col>1</xdr:col>
      <xdr:colOff>3499327</xdr:colOff>
      <xdr:row>3</xdr:row>
      <xdr:rowOff>392844</xdr:rowOff>
    </xdr:to>
    <xdr:pic>
      <xdr:nvPicPr>
        <xdr:cNvPr id="4" name="Picture 3">
          <a:extLst>
            <a:ext uri="{FF2B5EF4-FFF2-40B4-BE49-F238E27FC236}">
              <a16:creationId xmlns:a16="http://schemas.microsoft.com/office/drawing/2014/main" id="{081DEA75-10D9-4EC1-9F66-F5D0629B6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8749" y="36178"/>
          <a:ext cx="1178107" cy="8855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104774</xdr:colOff>
      <xdr:row>0</xdr:row>
      <xdr:rowOff>182218</xdr:rowOff>
    </xdr:from>
    <xdr:to>
      <xdr:col>1</xdr:col>
      <xdr:colOff>2393460</xdr:colOff>
      <xdr:row>3</xdr:row>
      <xdr:rowOff>322385</xdr:rowOff>
    </xdr:to>
    <xdr:sp macro="" textlink="">
      <xdr:nvSpPr>
        <xdr:cNvPr id="2" name="TextBox 1">
          <a:extLst>
            <a:ext uri="{FF2B5EF4-FFF2-40B4-BE49-F238E27FC236}">
              <a16:creationId xmlns:a16="http://schemas.microsoft.com/office/drawing/2014/main" id="{60191977-52FE-40DF-BE39-21D09256E83E}"/>
            </a:ext>
          </a:extLst>
        </xdr:cNvPr>
        <xdr:cNvSpPr txBox="1"/>
      </xdr:nvSpPr>
      <xdr:spPr>
        <a:xfrm>
          <a:off x="104774" y="182218"/>
          <a:ext cx="2913917" cy="6872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4090146</xdr:colOff>
      <xdr:row>0</xdr:row>
      <xdr:rowOff>67236</xdr:rowOff>
    </xdr:from>
    <xdr:to>
      <xdr:col>6</xdr:col>
      <xdr:colOff>0</xdr:colOff>
      <xdr:row>3</xdr:row>
      <xdr:rowOff>324972</xdr:rowOff>
    </xdr:to>
    <xdr:sp macro="" textlink="">
      <xdr:nvSpPr>
        <xdr:cNvPr id="3" name="TextBox 2">
          <a:extLst>
            <a:ext uri="{FF2B5EF4-FFF2-40B4-BE49-F238E27FC236}">
              <a16:creationId xmlns:a16="http://schemas.microsoft.com/office/drawing/2014/main" id="{587DFD03-447F-459E-95F6-1022E8AC509D}"/>
            </a:ext>
          </a:extLst>
        </xdr:cNvPr>
        <xdr:cNvSpPr txBox="1"/>
      </xdr:nvSpPr>
      <xdr:spPr>
        <a:xfrm>
          <a:off x="4714986" y="67236"/>
          <a:ext cx="5722030" cy="791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Al Dhaher</a:t>
          </a:r>
          <a:endParaRPr lang="en-US">
            <a:effectLst/>
          </a:endParaRP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2431676</xdr:colOff>
      <xdr:row>0</xdr:row>
      <xdr:rowOff>111771</xdr:rowOff>
    </xdr:from>
    <xdr:to>
      <xdr:col>1</xdr:col>
      <xdr:colOff>3497384</xdr:colOff>
      <xdr:row>3</xdr:row>
      <xdr:rowOff>371783</xdr:rowOff>
    </xdr:to>
    <xdr:pic>
      <xdr:nvPicPr>
        <xdr:cNvPr id="4" name="Picture 3">
          <a:extLst>
            <a:ext uri="{FF2B5EF4-FFF2-40B4-BE49-F238E27FC236}">
              <a16:creationId xmlns:a16="http://schemas.microsoft.com/office/drawing/2014/main" id="{05C8D6F6-B913-4649-AFE6-DA032DB2AD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6907" y="111771"/>
          <a:ext cx="1065708" cy="80708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26333</xdr:colOff>
      <xdr:row>0</xdr:row>
      <xdr:rowOff>70158</xdr:rowOff>
    </xdr:from>
    <xdr:to>
      <xdr:col>1</xdr:col>
      <xdr:colOff>2471056</xdr:colOff>
      <xdr:row>3</xdr:row>
      <xdr:rowOff>283027</xdr:rowOff>
    </xdr:to>
    <xdr:sp macro="" textlink="">
      <xdr:nvSpPr>
        <xdr:cNvPr id="2" name="TextBox 1">
          <a:extLst>
            <a:ext uri="{FF2B5EF4-FFF2-40B4-BE49-F238E27FC236}">
              <a16:creationId xmlns:a16="http://schemas.microsoft.com/office/drawing/2014/main" id="{D3A642C5-D2D1-415A-982D-25E275FF7A07}"/>
            </a:ext>
          </a:extLst>
        </xdr:cNvPr>
        <xdr:cNvSpPr txBox="1"/>
      </xdr:nvSpPr>
      <xdr:spPr>
        <a:xfrm>
          <a:off x="26333" y="70158"/>
          <a:ext cx="3065209" cy="7571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eaLnBrk="1" fontAlgn="auto" latinLnBrk="0" hangingPunct="1"/>
          <a:endParaRPr lang="en-US">
            <a:effectLst/>
          </a:endParaRPr>
        </a:p>
      </xdr:txBody>
    </xdr:sp>
    <xdr:clientData/>
  </xdr:twoCellAnchor>
  <xdr:twoCellAnchor>
    <xdr:from>
      <xdr:col>1</xdr:col>
      <xdr:colOff>4267200</xdr:colOff>
      <xdr:row>0</xdr:row>
      <xdr:rowOff>48987</xdr:rowOff>
    </xdr:from>
    <xdr:to>
      <xdr:col>5</xdr:col>
      <xdr:colOff>1287236</xdr:colOff>
      <xdr:row>3</xdr:row>
      <xdr:rowOff>315685</xdr:rowOff>
    </xdr:to>
    <xdr:sp macro="" textlink="">
      <xdr:nvSpPr>
        <xdr:cNvPr id="3" name="TextBox 2">
          <a:extLst>
            <a:ext uri="{FF2B5EF4-FFF2-40B4-BE49-F238E27FC236}">
              <a16:creationId xmlns:a16="http://schemas.microsoft.com/office/drawing/2014/main" id="{ACC8D160-6FE6-469D-8AAC-4F9A66F4EFA7}"/>
            </a:ext>
          </a:extLst>
        </xdr:cNvPr>
        <xdr:cNvSpPr txBox="1"/>
      </xdr:nvSpPr>
      <xdr:spPr>
        <a:xfrm>
          <a:off x="4887686" y="48987"/>
          <a:ext cx="5140779" cy="810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Al Dhaher</a:t>
          </a:r>
          <a:endParaRPr lang="en-US">
            <a:effectLst/>
          </a:endParaRP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2388133</xdr:colOff>
      <xdr:row>0</xdr:row>
      <xdr:rowOff>0</xdr:rowOff>
    </xdr:from>
    <xdr:to>
      <xdr:col>1</xdr:col>
      <xdr:colOff>3571955</xdr:colOff>
      <xdr:row>3</xdr:row>
      <xdr:rowOff>353273</xdr:rowOff>
    </xdr:to>
    <xdr:pic>
      <xdr:nvPicPr>
        <xdr:cNvPr id="4" name="Picture 3">
          <a:extLst>
            <a:ext uri="{FF2B5EF4-FFF2-40B4-BE49-F238E27FC236}">
              <a16:creationId xmlns:a16="http://schemas.microsoft.com/office/drawing/2014/main" id="{E6E333D0-ADED-4BAA-B312-555867219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08619" y="0"/>
          <a:ext cx="1183822" cy="8975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104774</xdr:colOff>
      <xdr:row>0</xdr:row>
      <xdr:rowOff>182217</xdr:rowOff>
    </xdr:from>
    <xdr:to>
      <xdr:col>1</xdr:col>
      <xdr:colOff>2569027</xdr:colOff>
      <xdr:row>3</xdr:row>
      <xdr:rowOff>315684</xdr:rowOff>
    </xdr:to>
    <xdr:sp macro="" textlink="">
      <xdr:nvSpPr>
        <xdr:cNvPr id="2" name="TextBox 1">
          <a:extLst>
            <a:ext uri="{FF2B5EF4-FFF2-40B4-BE49-F238E27FC236}">
              <a16:creationId xmlns:a16="http://schemas.microsoft.com/office/drawing/2014/main" id="{CBEB47CD-C8C7-4FE8-8ABB-708109CFADFD}"/>
            </a:ext>
          </a:extLst>
        </xdr:cNvPr>
        <xdr:cNvSpPr txBox="1"/>
      </xdr:nvSpPr>
      <xdr:spPr>
        <a:xfrm>
          <a:off x="104774" y="182217"/>
          <a:ext cx="3084739" cy="6777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4078941</xdr:colOff>
      <xdr:row>0</xdr:row>
      <xdr:rowOff>168089</xdr:rowOff>
    </xdr:from>
    <xdr:to>
      <xdr:col>5</xdr:col>
      <xdr:colOff>1293913</xdr:colOff>
      <xdr:row>3</xdr:row>
      <xdr:rowOff>403413</xdr:rowOff>
    </xdr:to>
    <xdr:sp macro="" textlink="">
      <xdr:nvSpPr>
        <xdr:cNvPr id="3" name="TextBox 2">
          <a:extLst>
            <a:ext uri="{FF2B5EF4-FFF2-40B4-BE49-F238E27FC236}">
              <a16:creationId xmlns:a16="http://schemas.microsoft.com/office/drawing/2014/main" id="{DE0FB1F9-8159-45E7-A906-FBE15CD9CB61}"/>
            </a:ext>
          </a:extLst>
        </xdr:cNvPr>
        <xdr:cNvSpPr txBox="1"/>
      </xdr:nvSpPr>
      <xdr:spPr>
        <a:xfrm>
          <a:off x="4703781" y="168089"/>
          <a:ext cx="5170252" cy="768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Al Dhaher</a:t>
          </a:r>
          <a:endParaRPr lang="en-US">
            <a:effectLst/>
          </a:endParaRPr>
        </a:p>
        <a:p>
          <a:endParaRPr lang="en-US">
            <a:effectLst/>
          </a:endParaRPr>
        </a:p>
      </xdr:txBody>
    </xdr:sp>
    <xdr:clientData/>
  </xdr:twoCellAnchor>
  <xdr:twoCellAnchor editAs="oneCell">
    <xdr:from>
      <xdr:col>1</xdr:col>
      <xdr:colOff>2498271</xdr:colOff>
      <xdr:row>0</xdr:row>
      <xdr:rowOff>27214</xdr:rowOff>
    </xdr:from>
    <xdr:to>
      <xdr:col>1</xdr:col>
      <xdr:colOff>3697333</xdr:colOff>
      <xdr:row>3</xdr:row>
      <xdr:rowOff>378075</xdr:rowOff>
    </xdr:to>
    <xdr:pic>
      <xdr:nvPicPr>
        <xdr:cNvPr id="4" name="Picture 3">
          <a:extLst>
            <a:ext uri="{FF2B5EF4-FFF2-40B4-BE49-F238E27FC236}">
              <a16:creationId xmlns:a16="http://schemas.microsoft.com/office/drawing/2014/main" id="{68628416-B924-4301-8106-A11988215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18757" y="27214"/>
          <a:ext cx="1199062" cy="8900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57149</xdr:colOff>
      <xdr:row>0</xdr:row>
      <xdr:rowOff>133350</xdr:rowOff>
    </xdr:from>
    <xdr:to>
      <xdr:col>1</xdr:col>
      <xdr:colOff>2471057</xdr:colOff>
      <xdr:row>2</xdr:row>
      <xdr:rowOff>329046</xdr:rowOff>
    </xdr:to>
    <xdr:sp macro="" textlink="">
      <xdr:nvSpPr>
        <xdr:cNvPr id="2" name="Text Box 21">
          <a:extLst>
            <a:ext uri="{FF2B5EF4-FFF2-40B4-BE49-F238E27FC236}">
              <a16:creationId xmlns:a16="http://schemas.microsoft.com/office/drawing/2014/main" id="{F4459964-F56B-4321-948F-9AF93A6FC26B}"/>
            </a:ext>
          </a:extLst>
        </xdr:cNvPr>
        <xdr:cNvSpPr txBox="1">
          <a:spLocks noChangeArrowheads="1"/>
        </xdr:cNvSpPr>
      </xdr:nvSpPr>
      <xdr:spPr bwMode="auto">
        <a:xfrm>
          <a:off x="57149" y="133350"/>
          <a:ext cx="3600451" cy="696439"/>
        </a:xfrm>
        <a:prstGeom prst="rect">
          <a:avLst/>
        </a:prstGeom>
        <a:solidFill>
          <a:srgbClr val="FFFFFF"/>
        </a:solidFill>
        <a:ln w="9525">
          <a:noFill/>
          <a:miter lim="800000"/>
          <a:headEnd/>
          <a:tailEnd/>
        </a:ln>
      </xdr:spPr>
      <xdr:txBody>
        <a:bodyPr vertOverflow="clip" wrap="square" lIns="91440" tIns="45720" rIns="91440" bIns="45720" anchor="t" upright="1"/>
        <a:lstStyle/>
        <a:p>
          <a:pPr rtl="0" eaLnBrk="1" fontAlgn="auto" latinLnBrk="0" hangingPunct="1"/>
          <a:r>
            <a:rPr lang="en-US" sz="1400" b="1" i="0" baseline="0">
              <a:effectLst/>
              <a:latin typeface="+mn-lt"/>
              <a:ea typeface="+mn-ea"/>
              <a:cs typeface="+mn-cs"/>
            </a:rPr>
            <a:t>ABU DHABI DISTRIBUTION COMPANY  PJSC</a:t>
          </a:r>
          <a:endParaRPr lang="en-US" sz="1400">
            <a:effectLst/>
          </a:endParaRPr>
        </a:p>
        <a:p>
          <a:pPr rtl="0" eaLnBrk="1" fontAlgn="auto" latinLnBrk="0" hangingPunct="1"/>
          <a:r>
            <a:rPr lang="en-US" sz="1400" b="1" i="0" baseline="0">
              <a:effectLst/>
              <a:latin typeface="+mn-lt"/>
              <a:ea typeface="+mn-ea"/>
              <a:cs typeface="+mn-cs"/>
            </a:rPr>
            <a:t> (TAQA Distribution )</a:t>
          </a:r>
          <a:endParaRPr lang="en-US" sz="1400">
            <a:effectLst/>
          </a:endParaRPr>
        </a:p>
        <a:p>
          <a:pPr algn="l" rtl="0">
            <a:lnSpc>
              <a:spcPts val="900"/>
            </a:lnSpc>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5633357</xdr:colOff>
      <xdr:row>0</xdr:row>
      <xdr:rowOff>95250</xdr:rowOff>
    </xdr:from>
    <xdr:to>
      <xdr:col>2</xdr:col>
      <xdr:colOff>5932714</xdr:colOff>
      <xdr:row>2</xdr:row>
      <xdr:rowOff>1338493</xdr:rowOff>
    </xdr:to>
    <xdr:sp macro="" textlink="">
      <xdr:nvSpPr>
        <xdr:cNvPr id="3" name="Rectangle 18">
          <a:extLst>
            <a:ext uri="{FF2B5EF4-FFF2-40B4-BE49-F238E27FC236}">
              <a16:creationId xmlns:a16="http://schemas.microsoft.com/office/drawing/2014/main" id="{375FFDBE-FEA4-4442-8F9A-943CD7482C0D}"/>
            </a:ext>
          </a:extLst>
        </xdr:cNvPr>
        <xdr:cNvSpPr>
          <a:spLocks noChangeArrowheads="1"/>
        </xdr:cNvSpPr>
      </xdr:nvSpPr>
      <xdr:spPr bwMode="auto">
        <a:xfrm>
          <a:off x="6822077" y="95250"/>
          <a:ext cx="7233557" cy="1746163"/>
        </a:xfrm>
        <a:prstGeom prst="rect">
          <a:avLst/>
        </a:prstGeom>
        <a:solidFill>
          <a:srgbClr val="FFFFFF"/>
        </a:solidFill>
        <a:ln w="9525">
          <a:solidFill>
            <a:srgbClr val="FFFFFF"/>
          </a:solidFill>
          <a:miter lim="800000"/>
          <a:headEnd/>
          <a:tailEnd/>
        </a:ln>
      </xdr:spPr>
      <xdr:txBody>
        <a:bodyPr vertOverflow="clip" wrap="square" lIns="91440" tIns="45720" rIns="91440" bIns="45720" anchor="t" upright="1"/>
        <a:lstStyle/>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Title : Improvement of Exisiting Tanker Filling Station at Al Ain Area</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No. A-</a:t>
          </a:r>
          <a:r>
            <a:rPr lang="qaa-Latn-001" sz="1600" b="1" i="0" u="none" strike="noStrike" baseline="0">
              <a:solidFill>
                <a:srgbClr val="000000"/>
              </a:solidFill>
              <a:latin typeface="Times New Roman" panose="02020603050405020304" pitchFamily="18" charset="0"/>
              <a:cs typeface="Times New Roman" panose="02020603050405020304" pitchFamily="18" charset="0"/>
            </a:rPr>
            <a:t>2</a:t>
          </a:r>
          <a:r>
            <a:rPr lang="en-US" sz="1600" b="1" i="0" u="none" strike="noStrike" baseline="0">
              <a:solidFill>
                <a:srgbClr val="000000"/>
              </a:solidFill>
              <a:latin typeface="Times New Roman" panose="02020603050405020304" pitchFamily="18" charset="0"/>
              <a:cs typeface="Times New Roman" panose="02020603050405020304" pitchFamily="18" charset="0"/>
            </a:rPr>
            <a:t>0669</a:t>
          </a: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Bidder Name: </a:t>
          </a: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r>
            <a:rPr lang="en-US" sz="1800" b="1" i="0" u="none" strike="noStrike" baseline="0">
              <a:solidFill>
                <a:srgbClr val="000000"/>
              </a:solidFill>
              <a:latin typeface="Times New Roman" panose="02020603050405020304" pitchFamily="18" charset="0"/>
              <a:cs typeface="Times New Roman" panose="02020603050405020304" pitchFamily="18" charset="0"/>
            </a:rPr>
            <a:t>Date: </a:t>
          </a: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2580408</xdr:colOff>
      <xdr:row>0</xdr:row>
      <xdr:rowOff>138545</xdr:rowOff>
    </xdr:from>
    <xdr:to>
      <xdr:col>1</xdr:col>
      <xdr:colOff>4062905</xdr:colOff>
      <xdr:row>2</xdr:row>
      <xdr:rowOff>762000</xdr:rowOff>
    </xdr:to>
    <xdr:pic>
      <xdr:nvPicPr>
        <xdr:cNvPr id="4" name="Picture 3">
          <a:extLst>
            <a:ext uri="{FF2B5EF4-FFF2-40B4-BE49-F238E27FC236}">
              <a16:creationId xmlns:a16="http://schemas.microsoft.com/office/drawing/2014/main" id="{5C46978D-4582-42C3-9569-65CB63654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69128" y="138545"/>
          <a:ext cx="1482497" cy="11263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104775</xdr:colOff>
      <xdr:row>0</xdr:row>
      <xdr:rowOff>182218</xdr:rowOff>
    </xdr:from>
    <xdr:to>
      <xdr:col>1</xdr:col>
      <xdr:colOff>2394857</xdr:colOff>
      <xdr:row>3</xdr:row>
      <xdr:rowOff>359228</xdr:rowOff>
    </xdr:to>
    <xdr:sp macro="" textlink="">
      <xdr:nvSpPr>
        <xdr:cNvPr id="2" name="TextBox 1">
          <a:extLst>
            <a:ext uri="{FF2B5EF4-FFF2-40B4-BE49-F238E27FC236}">
              <a16:creationId xmlns:a16="http://schemas.microsoft.com/office/drawing/2014/main" id="{2A94BFD8-5131-4739-A639-4687D6B15B32}"/>
            </a:ext>
          </a:extLst>
        </xdr:cNvPr>
        <xdr:cNvSpPr txBox="1"/>
      </xdr:nvSpPr>
      <xdr:spPr>
        <a:xfrm>
          <a:off x="104775" y="182218"/>
          <a:ext cx="2899682" cy="7212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3619499</xdr:colOff>
      <xdr:row>0</xdr:row>
      <xdr:rowOff>56030</xdr:rowOff>
    </xdr:from>
    <xdr:to>
      <xdr:col>5</xdr:col>
      <xdr:colOff>1170648</xdr:colOff>
      <xdr:row>3</xdr:row>
      <xdr:rowOff>326572</xdr:rowOff>
    </xdr:to>
    <xdr:sp macro="" textlink="">
      <xdr:nvSpPr>
        <xdr:cNvPr id="3" name="TextBox 2">
          <a:extLst>
            <a:ext uri="{FF2B5EF4-FFF2-40B4-BE49-F238E27FC236}">
              <a16:creationId xmlns:a16="http://schemas.microsoft.com/office/drawing/2014/main" id="{218D2C90-AED6-4670-B8F5-A78AA23BA7E1}"/>
            </a:ext>
          </a:extLst>
        </xdr:cNvPr>
        <xdr:cNvSpPr txBox="1"/>
      </xdr:nvSpPr>
      <xdr:spPr>
        <a:xfrm>
          <a:off x="4229099" y="56030"/>
          <a:ext cx="5203806" cy="814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Nahel</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2253344</xdr:colOff>
      <xdr:row>0</xdr:row>
      <xdr:rowOff>97971</xdr:rowOff>
    </xdr:from>
    <xdr:to>
      <xdr:col>1</xdr:col>
      <xdr:colOff>3303070</xdr:colOff>
      <xdr:row>3</xdr:row>
      <xdr:rowOff>354761</xdr:rowOff>
    </xdr:to>
    <xdr:pic>
      <xdr:nvPicPr>
        <xdr:cNvPr id="4" name="Picture 3">
          <a:extLst>
            <a:ext uri="{FF2B5EF4-FFF2-40B4-BE49-F238E27FC236}">
              <a16:creationId xmlns:a16="http://schemas.microsoft.com/office/drawing/2014/main" id="{EAA9E729-3734-4955-961D-1E9D465C1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62944" y="97971"/>
          <a:ext cx="1049726" cy="8010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104775</xdr:colOff>
      <xdr:row>0</xdr:row>
      <xdr:rowOff>182218</xdr:rowOff>
    </xdr:from>
    <xdr:to>
      <xdr:col>1</xdr:col>
      <xdr:colOff>2394857</xdr:colOff>
      <xdr:row>3</xdr:row>
      <xdr:rowOff>293914</xdr:rowOff>
    </xdr:to>
    <xdr:sp macro="" textlink="">
      <xdr:nvSpPr>
        <xdr:cNvPr id="2" name="TextBox 1">
          <a:extLst>
            <a:ext uri="{FF2B5EF4-FFF2-40B4-BE49-F238E27FC236}">
              <a16:creationId xmlns:a16="http://schemas.microsoft.com/office/drawing/2014/main" id="{5D6DA8FE-8224-4323-9601-FA074BB51B43}"/>
            </a:ext>
          </a:extLst>
        </xdr:cNvPr>
        <xdr:cNvSpPr txBox="1"/>
      </xdr:nvSpPr>
      <xdr:spPr>
        <a:xfrm>
          <a:off x="104775" y="182218"/>
          <a:ext cx="2910568" cy="655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4078942</xdr:colOff>
      <xdr:row>0</xdr:row>
      <xdr:rowOff>33617</xdr:rowOff>
    </xdr:from>
    <xdr:to>
      <xdr:col>5</xdr:col>
      <xdr:colOff>1293914</xdr:colOff>
      <xdr:row>3</xdr:row>
      <xdr:rowOff>391885</xdr:rowOff>
    </xdr:to>
    <xdr:sp macro="" textlink="">
      <xdr:nvSpPr>
        <xdr:cNvPr id="3" name="TextBox 2">
          <a:extLst>
            <a:ext uri="{FF2B5EF4-FFF2-40B4-BE49-F238E27FC236}">
              <a16:creationId xmlns:a16="http://schemas.microsoft.com/office/drawing/2014/main" id="{A52280E1-2032-47CC-B630-CEF332754D52}"/>
            </a:ext>
          </a:extLst>
        </xdr:cNvPr>
        <xdr:cNvSpPr txBox="1"/>
      </xdr:nvSpPr>
      <xdr:spPr>
        <a:xfrm>
          <a:off x="4699428" y="33617"/>
          <a:ext cx="5368372" cy="902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endParaRPr lang="en-US" sz="1100" b="1" i="0" baseline="0">
            <a:solidFill>
              <a:schemeClr val="dk1"/>
            </a:solidFill>
            <a:effectLst/>
            <a:latin typeface="+mn-lt"/>
            <a:ea typeface="+mn-ea"/>
            <a:cs typeface="+mn-cs"/>
          </a:endParaRPr>
        </a:p>
        <a:p>
          <a:r>
            <a:rPr lang="en-US" b="1">
              <a:effectLst/>
            </a:rPr>
            <a:t>Nahel</a:t>
          </a:r>
        </a:p>
      </xdr:txBody>
    </xdr:sp>
    <xdr:clientData/>
  </xdr:twoCellAnchor>
  <xdr:twoCellAnchor editAs="oneCell">
    <xdr:from>
      <xdr:col>1</xdr:col>
      <xdr:colOff>2435678</xdr:colOff>
      <xdr:row>0</xdr:row>
      <xdr:rowOff>0</xdr:rowOff>
    </xdr:from>
    <xdr:to>
      <xdr:col>1</xdr:col>
      <xdr:colOff>3617595</xdr:colOff>
      <xdr:row>3</xdr:row>
      <xdr:rowOff>356666</xdr:rowOff>
    </xdr:to>
    <xdr:pic>
      <xdr:nvPicPr>
        <xdr:cNvPr id="4" name="Picture 3">
          <a:extLst>
            <a:ext uri="{FF2B5EF4-FFF2-40B4-BE49-F238E27FC236}">
              <a16:creationId xmlns:a16="http://schemas.microsoft.com/office/drawing/2014/main" id="{EDA5FFCE-9BC7-4913-A93B-A4F136605D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6164" y="0"/>
          <a:ext cx="1181917" cy="90095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104774</xdr:colOff>
      <xdr:row>0</xdr:row>
      <xdr:rowOff>182218</xdr:rowOff>
    </xdr:from>
    <xdr:to>
      <xdr:col>1</xdr:col>
      <xdr:colOff>2569027</xdr:colOff>
      <xdr:row>3</xdr:row>
      <xdr:rowOff>283028</xdr:rowOff>
    </xdr:to>
    <xdr:sp macro="" textlink="">
      <xdr:nvSpPr>
        <xdr:cNvPr id="2" name="TextBox 1">
          <a:extLst>
            <a:ext uri="{FF2B5EF4-FFF2-40B4-BE49-F238E27FC236}">
              <a16:creationId xmlns:a16="http://schemas.microsoft.com/office/drawing/2014/main" id="{96A6AA76-78CF-4E53-9C66-2CFC3DB3AF73}"/>
            </a:ext>
          </a:extLst>
        </xdr:cNvPr>
        <xdr:cNvSpPr txBox="1"/>
      </xdr:nvSpPr>
      <xdr:spPr>
        <a:xfrm>
          <a:off x="104774" y="182218"/>
          <a:ext cx="3084739" cy="6450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4090146</xdr:colOff>
      <xdr:row>0</xdr:row>
      <xdr:rowOff>67236</xdr:rowOff>
    </xdr:from>
    <xdr:to>
      <xdr:col>6</xdr:col>
      <xdr:colOff>0</xdr:colOff>
      <xdr:row>3</xdr:row>
      <xdr:rowOff>324972</xdr:rowOff>
    </xdr:to>
    <xdr:sp macro="" textlink="">
      <xdr:nvSpPr>
        <xdr:cNvPr id="3" name="TextBox 2">
          <a:extLst>
            <a:ext uri="{FF2B5EF4-FFF2-40B4-BE49-F238E27FC236}">
              <a16:creationId xmlns:a16="http://schemas.microsoft.com/office/drawing/2014/main" id="{336B10A7-3055-4041-B7EC-A000972C5F0A}"/>
            </a:ext>
          </a:extLst>
        </xdr:cNvPr>
        <xdr:cNvSpPr txBox="1"/>
      </xdr:nvSpPr>
      <xdr:spPr>
        <a:xfrm>
          <a:off x="4714986" y="67236"/>
          <a:ext cx="5213874" cy="791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Nahel</a:t>
          </a:r>
        </a:p>
        <a:p>
          <a:endParaRPr lang="en-US">
            <a:effectLst/>
          </a:endParaRPr>
        </a:p>
      </xdr:txBody>
    </xdr:sp>
    <xdr:clientData/>
  </xdr:twoCellAnchor>
  <xdr:twoCellAnchor editAs="oneCell">
    <xdr:from>
      <xdr:col>1</xdr:col>
      <xdr:colOff>2405744</xdr:colOff>
      <xdr:row>0</xdr:row>
      <xdr:rowOff>155282</xdr:rowOff>
    </xdr:from>
    <xdr:to>
      <xdr:col>1</xdr:col>
      <xdr:colOff>3436685</xdr:colOff>
      <xdr:row>3</xdr:row>
      <xdr:rowOff>393962</xdr:rowOff>
    </xdr:to>
    <xdr:pic>
      <xdr:nvPicPr>
        <xdr:cNvPr id="4" name="Picture 3">
          <a:extLst>
            <a:ext uri="{FF2B5EF4-FFF2-40B4-BE49-F238E27FC236}">
              <a16:creationId xmlns:a16="http://schemas.microsoft.com/office/drawing/2014/main" id="{35D1FD34-F216-4209-BBE9-72D106EC3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230" y="155282"/>
          <a:ext cx="1030941" cy="78296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104775</xdr:colOff>
      <xdr:row>0</xdr:row>
      <xdr:rowOff>182217</xdr:rowOff>
    </xdr:from>
    <xdr:to>
      <xdr:col>1</xdr:col>
      <xdr:colOff>2198914</xdr:colOff>
      <xdr:row>3</xdr:row>
      <xdr:rowOff>272142</xdr:rowOff>
    </xdr:to>
    <xdr:sp macro="" textlink="">
      <xdr:nvSpPr>
        <xdr:cNvPr id="2" name="TextBox 1">
          <a:extLst>
            <a:ext uri="{FF2B5EF4-FFF2-40B4-BE49-F238E27FC236}">
              <a16:creationId xmlns:a16="http://schemas.microsoft.com/office/drawing/2014/main" id="{505D9EAB-0CCE-41FA-A3BB-B26151F97F2A}"/>
            </a:ext>
          </a:extLst>
        </xdr:cNvPr>
        <xdr:cNvSpPr txBox="1"/>
      </xdr:nvSpPr>
      <xdr:spPr>
        <a:xfrm>
          <a:off x="104775" y="182217"/>
          <a:ext cx="2714625" cy="6342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xdr:txBody>
    </xdr:sp>
    <xdr:clientData/>
  </xdr:twoCellAnchor>
  <xdr:twoCellAnchor>
    <xdr:from>
      <xdr:col>1</xdr:col>
      <xdr:colOff>4278086</xdr:colOff>
      <xdr:row>0</xdr:row>
      <xdr:rowOff>103415</xdr:rowOff>
    </xdr:from>
    <xdr:to>
      <xdr:col>5</xdr:col>
      <xdr:colOff>1298122</xdr:colOff>
      <xdr:row>3</xdr:row>
      <xdr:rowOff>348343</xdr:rowOff>
    </xdr:to>
    <xdr:sp macro="" textlink="">
      <xdr:nvSpPr>
        <xdr:cNvPr id="3" name="TextBox 2">
          <a:extLst>
            <a:ext uri="{FF2B5EF4-FFF2-40B4-BE49-F238E27FC236}">
              <a16:creationId xmlns:a16="http://schemas.microsoft.com/office/drawing/2014/main" id="{C41EBE8B-5E08-4D77-85F6-5FAB40B3236B}"/>
            </a:ext>
          </a:extLst>
        </xdr:cNvPr>
        <xdr:cNvSpPr txBox="1"/>
      </xdr:nvSpPr>
      <xdr:spPr>
        <a:xfrm>
          <a:off x="4898572" y="103415"/>
          <a:ext cx="5173436" cy="789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Nahel</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2866901</xdr:colOff>
      <xdr:row>0</xdr:row>
      <xdr:rowOff>99457</xdr:rowOff>
    </xdr:from>
    <xdr:to>
      <xdr:col>1</xdr:col>
      <xdr:colOff>3860394</xdr:colOff>
      <xdr:row>3</xdr:row>
      <xdr:rowOff>316800</xdr:rowOff>
    </xdr:to>
    <xdr:pic>
      <xdr:nvPicPr>
        <xdr:cNvPr id="4" name="Picture 3">
          <a:extLst>
            <a:ext uri="{FF2B5EF4-FFF2-40B4-BE49-F238E27FC236}">
              <a16:creationId xmlns:a16="http://schemas.microsoft.com/office/drawing/2014/main" id="{E1CC94CE-E0E4-4EBE-B9F0-A3C9A715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7387" y="99457"/>
          <a:ext cx="993493" cy="761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104774</xdr:colOff>
      <xdr:row>0</xdr:row>
      <xdr:rowOff>182217</xdr:rowOff>
    </xdr:from>
    <xdr:to>
      <xdr:col>1</xdr:col>
      <xdr:colOff>2514599</xdr:colOff>
      <xdr:row>3</xdr:row>
      <xdr:rowOff>272142</xdr:rowOff>
    </xdr:to>
    <xdr:sp macro="" textlink="">
      <xdr:nvSpPr>
        <xdr:cNvPr id="2" name="TextBox 1">
          <a:extLst>
            <a:ext uri="{FF2B5EF4-FFF2-40B4-BE49-F238E27FC236}">
              <a16:creationId xmlns:a16="http://schemas.microsoft.com/office/drawing/2014/main" id="{D86124C3-740D-44B6-BAB9-D395BAFF44CA}"/>
            </a:ext>
          </a:extLst>
        </xdr:cNvPr>
        <xdr:cNvSpPr txBox="1"/>
      </xdr:nvSpPr>
      <xdr:spPr>
        <a:xfrm>
          <a:off x="104774" y="182217"/>
          <a:ext cx="3030311" cy="6342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4078941</xdr:colOff>
      <xdr:row>0</xdr:row>
      <xdr:rowOff>168089</xdr:rowOff>
    </xdr:from>
    <xdr:to>
      <xdr:col>5</xdr:col>
      <xdr:colOff>1293913</xdr:colOff>
      <xdr:row>3</xdr:row>
      <xdr:rowOff>403413</xdr:rowOff>
    </xdr:to>
    <xdr:sp macro="" textlink="">
      <xdr:nvSpPr>
        <xdr:cNvPr id="3" name="TextBox 2">
          <a:extLst>
            <a:ext uri="{FF2B5EF4-FFF2-40B4-BE49-F238E27FC236}">
              <a16:creationId xmlns:a16="http://schemas.microsoft.com/office/drawing/2014/main" id="{00DEAD8C-2DDF-4804-9FAB-FEC9D49044F8}"/>
            </a:ext>
          </a:extLst>
        </xdr:cNvPr>
        <xdr:cNvSpPr txBox="1"/>
      </xdr:nvSpPr>
      <xdr:spPr>
        <a:xfrm>
          <a:off x="4703781" y="168089"/>
          <a:ext cx="5170252" cy="768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b="1">
              <a:effectLst/>
            </a:rPr>
            <a:t>Nahel</a:t>
          </a:r>
        </a:p>
      </xdr:txBody>
    </xdr:sp>
    <xdr:clientData/>
  </xdr:twoCellAnchor>
  <xdr:twoCellAnchor editAs="oneCell">
    <xdr:from>
      <xdr:col>1</xdr:col>
      <xdr:colOff>2454729</xdr:colOff>
      <xdr:row>0</xdr:row>
      <xdr:rowOff>0</xdr:rowOff>
    </xdr:from>
    <xdr:to>
      <xdr:col>1</xdr:col>
      <xdr:colOff>3653791</xdr:colOff>
      <xdr:row>3</xdr:row>
      <xdr:rowOff>345781</xdr:rowOff>
    </xdr:to>
    <xdr:pic>
      <xdr:nvPicPr>
        <xdr:cNvPr id="4" name="Picture 3">
          <a:extLst>
            <a:ext uri="{FF2B5EF4-FFF2-40B4-BE49-F238E27FC236}">
              <a16:creationId xmlns:a16="http://schemas.microsoft.com/office/drawing/2014/main" id="{8715E2E2-B68D-4FB8-85B7-826BF2AB9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5215" y="0"/>
          <a:ext cx="1199062" cy="89006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57148</xdr:colOff>
      <xdr:row>0</xdr:row>
      <xdr:rowOff>133350</xdr:rowOff>
    </xdr:from>
    <xdr:to>
      <xdr:col>1</xdr:col>
      <xdr:colOff>2339787</xdr:colOff>
      <xdr:row>2</xdr:row>
      <xdr:rowOff>571500</xdr:rowOff>
    </xdr:to>
    <xdr:sp macro="" textlink="">
      <xdr:nvSpPr>
        <xdr:cNvPr id="2" name="Text Box 21">
          <a:extLst>
            <a:ext uri="{FF2B5EF4-FFF2-40B4-BE49-F238E27FC236}">
              <a16:creationId xmlns:a16="http://schemas.microsoft.com/office/drawing/2014/main" id="{70A931A5-74A0-49A5-AB4E-136A7F5112D8}"/>
            </a:ext>
          </a:extLst>
        </xdr:cNvPr>
        <xdr:cNvSpPr txBox="1">
          <a:spLocks noChangeArrowheads="1"/>
        </xdr:cNvSpPr>
      </xdr:nvSpPr>
      <xdr:spPr bwMode="auto">
        <a:xfrm>
          <a:off x="57148" y="133350"/>
          <a:ext cx="3474945" cy="940174"/>
        </a:xfrm>
        <a:prstGeom prst="rect">
          <a:avLst/>
        </a:prstGeom>
        <a:solidFill>
          <a:srgbClr val="FFFFFF"/>
        </a:solidFill>
        <a:ln w="9525">
          <a:noFill/>
          <a:miter lim="800000"/>
          <a:headEnd/>
          <a:tailEnd/>
        </a:ln>
      </xdr:spPr>
      <xdr:txBody>
        <a:bodyPr vertOverflow="clip" wrap="square" lIns="91440" tIns="45720" rIns="91440" bIns="45720" anchor="t" upright="1"/>
        <a:lstStyle/>
        <a:p>
          <a:pPr rtl="0" eaLnBrk="1" fontAlgn="auto" latinLnBrk="0" hangingPunct="1"/>
          <a:r>
            <a:rPr lang="en-US" sz="1400" b="1" i="0" baseline="0">
              <a:effectLst/>
              <a:latin typeface="+mn-lt"/>
              <a:ea typeface="+mn-ea"/>
              <a:cs typeface="+mn-cs"/>
            </a:rPr>
            <a:t>ABU DHABI DISTRIBUTION COMPANY  PJSC</a:t>
          </a:r>
          <a:endParaRPr lang="en-US" sz="1600">
            <a:effectLst/>
          </a:endParaRPr>
        </a:p>
        <a:p>
          <a:pPr rtl="0" eaLnBrk="1" fontAlgn="auto" latinLnBrk="0" hangingPunct="1"/>
          <a:r>
            <a:rPr lang="en-US" sz="1400" b="1" i="0" baseline="0">
              <a:effectLst/>
              <a:latin typeface="+mn-lt"/>
              <a:ea typeface="+mn-ea"/>
              <a:cs typeface="+mn-cs"/>
            </a:rPr>
            <a:t> (TAQA Distribution )</a:t>
          </a:r>
          <a:endParaRPr lang="en-US" sz="1600">
            <a:effectLst/>
          </a:endParaRPr>
        </a:p>
        <a:p>
          <a:pPr algn="l" rtl="0">
            <a:lnSpc>
              <a:spcPts val="900"/>
            </a:lnSpc>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5633357</xdr:colOff>
      <xdr:row>0</xdr:row>
      <xdr:rowOff>95250</xdr:rowOff>
    </xdr:from>
    <xdr:to>
      <xdr:col>2</xdr:col>
      <xdr:colOff>5932714</xdr:colOff>
      <xdr:row>2</xdr:row>
      <xdr:rowOff>1338493</xdr:rowOff>
    </xdr:to>
    <xdr:sp macro="" textlink="">
      <xdr:nvSpPr>
        <xdr:cNvPr id="3" name="Rectangle 18">
          <a:extLst>
            <a:ext uri="{FF2B5EF4-FFF2-40B4-BE49-F238E27FC236}">
              <a16:creationId xmlns:a16="http://schemas.microsoft.com/office/drawing/2014/main" id="{2D1D6EB1-315F-4EEC-BBFA-E3413449DE1C}"/>
            </a:ext>
          </a:extLst>
        </xdr:cNvPr>
        <xdr:cNvSpPr>
          <a:spLocks noChangeArrowheads="1"/>
        </xdr:cNvSpPr>
      </xdr:nvSpPr>
      <xdr:spPr bwMode="auto">
        <a:xfrm>
          <a:off x="6822077" y="95250"/>
          <a:ext cx="7233557" cy="1746163"/>
        </a:xfrm>
        <a:prstGeom prst="rect">
          <a:avLst/>
        </a:prstGeom>
        <a:solidFill>
          <a:srgbClr val="FFFFFF"/>
        </a:solidFill>
        <a:ln w="9525">
          <a:solidFill>
            <a:srgbClr val="FFFFFF"/>
          </a:solidFill>
          <a:miter lim="800000"/>
          <a:headEnd/>
          <a:tailEnd/>
        </a:ln>
      </xdr:spPr>
      <xdr:txBody>
        <a:bodyPr vertOverflow="clip" wrap="square" lIns="91440" tIns="45720" rIns="91440" bIns="45720" anchor="t" upright="1"/>
        <a:lstStyle/>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Title : Improvement of Exisiting Tanker Filling Station at Al Ain Area</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No. A-</a:t>
          </a:r>
          <a:r>
            <a:rPr lang="qaa-Latn-001" sz="1600" b="1" i="0" u="none" strike="noStrike" baseline="0">
              <a:solidFill>
                <a:srgbClr val="000000"/>
              </a:solidFill>
              <a:latin typeface="Times New Roman" panose="02020603050405020304" pitchFamily="18" charset="0"/>
              <a:cs typeface="Times New Roman" panose="02020603050405020304" pitchFamily="18" charset="0"/>
            </a:rPr>
            <a:t>2</a:t>
          </a:r>
          <a:r>
            <a:rPr lang="en-US" sz="1600" b="1" i="0" u="none" strike="noStrike" baseline="0">
              <a:solidFill>
                <a:srgbClr val="000000"/>
              </a:solidFill>
              <a:latin typeface="Times New Roman" panose="02020603050405020304" pitchFamily="18" charset="0"/>
              <a:cs typeface="Times New Roman" panose="02020603050405020304" pitchFamily="18" charset="0"/>
            </a:rPr>
            <a:t>0669</a:t>
          </a: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Bidder Name: </a:t>
          </a: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r>
            <a:rPr lang="en-US" sz="1800" b="1" i="0" u="none" strike="noStrike" baseline="0">
              <a:solidFill>
                <a:srgbClr val="000000"/>
              </a:solidFill>
              <a:latin typeface="Times New Roman" panose="02020603050405020304" pitchFamily="18" charset="0"/>
              <a:cs typeface="Times New Roman" panose="02020603050405020304" pitchFamily="18" charset="0"/>
            </a:rPr>
            <a:t>Date: </a:t>
          </a: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2500313</xdr:colOff>
      <xdr:row>0</xdr:row>
      <xdr:rowOff>119063</xdr:rowOff>
    </xdr:from>
    <xdr:to>
      <xdr:col>1</xdr:col>
      <xdr:colOff>4149350</xdr:colOff>
      <xdr:row>2</xdr:row>
      <xdr:rowOff>876008</xdr:rowOff>
    </xdr:to>
    <xdr:pic>
      <xdr:nvPicPr>
        <xdr:cNvPr id="4" name="Picture 3">
          <a:extLst>
            <a:ext uri="{FF2B5EF4-FFF2-40B4-BE49-F238E27FC236}">
              <a16:creationId xmlns:a16="http://schemas.microsoft.com/office/drawing/2014/main" id="{DC38FA52-62E1-457F-8D6C-F1F5AA069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9033" y="119063"/>
          <a:ext cx="1649037" cy="12598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104775</xdr:colOff>
      <xdr:row>0</xdr:row>
      <xdr:rowOff>182217</xdr:rowOff>
    </xdr:from>
    <xdr:to>
      <xdr:col>1</xdr:col>
      <xdr:colOff>2303929</xdr:colOff>
      <xdr:row>3</xdr:row>
      <xdr:rowOff>268940</xdr:rowOff>
    </xdr:to>
    <xdr:sp macro="" textlink="">
      <xdr:nvSpPr>
        <xdr:cNvPr id="2" name="TextBox 1">
          <a:extLst>
            <a:ext uri="{FF2B5EF4-FFF2-40B4-BE49-F238E27FC236}">
              <a16:creationId xmlns:a16="http://schemas.microsoft.com/office/drawing/2014/main" id="{6C1A437D-3098-4F77-98A0-CBE07B49C3BB}"/>
            </a:ext>
          </a:extLst>
        </xdr:cNvPr>
        <xdr:cNvSpPr txBox="1"/>
      </xdr:nvSpPr>
      <xdr:spPr>
        <a:xfrm>
          <a:off x="104775" y="182217"/>
          <a:ext cx="2808754" cy="615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3619499</xdr:colOff>
      <xdr:row>0</xdr:row>
      <xdr:rowOff>56029</xdr:rowOff>
    </xdr:from>
    <xdr:to>
      <xdr:col>5</xdr:col>
      <xdr:colOff>1170648</xdr:colOff>
      <xdr:row>3</xdr:row>
      <xdr:rowOff>403412</xdr:rowOff>
    </xdr:to>
    <xdr:sp macro="" textlink="">
      <xdr:nvSpPr>
        <xdr:cNvPr id="3" name="TextBox 2">
          <a:extLst>
            <a:ext uri="{FF2B5EF4-FFF2-40B4-BE49-F238E27FC236}">
              <a16:creationId xmlns:a16="http://schemas.microsoft.com/office/drawing/2014/main" id="{9F5D3993-AD02-44AE-A244-90C51034E2CD}"/>
            </a:ext>
          </a:extLst>
        </xdr:cNvPr>
        <xdr:cNvSpPr txBox="1"/>
      </xdr:nvSpPr>
      <xdr:spPr>
        <a:xfrm>
          <a:off x="4229099" y="56029"/>
          <a:ext cx="5049229" cy="88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Al Saad</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2167057</xdr:colOff>
      <xdr:row>0</xdr:row>
      <xdr:rowOff>91249</xdr:rowOff>
    </xdr:from>
    <xdr:to>
      <xdr:col>1</xdr:col>
      <xdr:colOff>3204738</xdr:colOff>
      <xdr:row>3</xdr:row>
      <xdr:rowOff>333142</xdr:rowOff>
    </xdr:to>
    <xdr:pic>
      <xdr:nvPicPr>
        <xdr:cNvPr id="4" name="Picture 3">
          <a:extLst>
            <a:ext uri="{FF2B5EF4-FFF2-40B4-BE49-F238E27FC236}">
              <a16:creationId xmlns:a16="http://schemas.microsoft.com/office/drawing/2014/main" id="{376CCD05-BE68-470F-85DA-16FFB0000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76657" y="91249"/>
          <a:ext cx="1037681" cy="77081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104774</xdr:colOff>
      <xdr:row>0</xdr:row>
      <xdr:rowOff>182217</xdr:rowOff>
    </xdr:from>
    <xdr:to>
      <xdr:col>1</xdr:col>
      <xdr:colOff>2223246</xdr:colOff>
      <xdr:row>3</xdr:row>
      <xdr:rowOff>268940</xdr:rowOff>
    </xdr:to>
    <xdr:sp macro="" textlink="">
      <xdr:nvSpPr>
        <xdr:cNvPr id="2" name="TextBox 1">
          <a:extLst>
            <a:ext uri="{FF2B5EF4-FFF2-40B4-BE49-F238E27FC236}">
              <a16:creationId xmlns:a16="http://schemas.microsoft.com/office/drawing/2014/main" id="{FCC9071E-E738-4E7E-BB11-F64559EEF861}"/>
            </a:ext>
          </a:extLst>
        </xdr:cNvPr>
        <xdr:cNvSpPr txBox="1"/>
      </xdr:nvSpPr>
      <xdr:spPr>
        <a:xfrm>
          <a:off x="104774" y="182217"/>
          <a:ext cx="2746001" cy="615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4078942</xdr:colOff>
      <xdr:row>0</xdr:row>
      <xdr:rowOff>33617</xdr:rowOff>
    </xdr:from>
    <xdr:to>
      <xdr:col>5</xdr:col>
      <xdr:colOff>1293914</xdr:colOff>
      <xdr:row>3</xdr:row>
      <xdr:rowOff>381000</xdr:rowOff>
    </xdr:to>
    <xdr:sp macro="" textlink="">
      <xdr:nvSpPr>
        <xdr:cNvPr id="3" name="TextBox 2">
          <a:extLst>
            <a:ext uri="{FF2B5EF4-FFF2-40B4-BE49-F238E27FC236}">
              <a16:creationId xmlns:a16="http://schemas.microsoft.com/office/drawing/2014/main" id="{18329946-7B1D-408B-AEE3-8F9C3E3B5F6B}"/>
            </a:ext>
          </a:extLst>
        </xdr:cNvPr>
        <xdr:cNvSpPr txBox="1"/>
      </xdr:nvSpPr>
      <xdr:spPr>
        <a:xfrm>
          <a:off x="4703782" y="33617"/>
          <a:ext cx="5101672" cy="88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Area-Al Saad</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Al Saad</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b="1" i="0" baseline="0">
            <a:solidFill>
              <a:schemeClr val="dk1"/>
            </a:solidFill>
            <a:effectLst/>
            <a:latin typeface="+mn-lt"/>
            <a:ea typeface="+mn-ea"/>
            <a:cs typeface="+mn-cs"/>
          </a:endParaRP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2258945</xdr:colOff>
      <xdr:row>0</xdr:row>
      <xdr:rowOff>46104</xdr:rowOff>
    </xdr:from>
    <xdr:to>
      <xdr:col>1</xdr:col>
      <xdr:colOff>3335543</xdr:colOff>
      <xdr:row>3</xdr:row>
      <xdr:rowOff>314786</xdr:rowOff>
    </xdr:to>
    <xdr:pic>
      <xdr:nvPicPr>
        <xdr:cNvPr id="4" name="Picture 3">
          <a:extLst>
            <a:ext uri="{FF2B5EF4-FFF2-40B4-BE49-F238E27FC236}">
              <a16:creationId xmlns:a16="http://schemas.microsoft.com/office/drawing/2014/main" id="{458295B6-80D3-4840-B6BE-52D580292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6474" y="46104"/>
          <a:ext cx="1076598" cy="797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104774</xdr:colOff>
      <xdr:row>0</xdr:row>
      <xdr:rowOff>182217</xdr:rowOff>
    </xdr:from>
    <xdr:to>
      <xdr:col>1</xdr:col>
      <xdr:colOff>2525232</xdr:colOff>
      <xdr:row>3</xdr:row>
      <xdr:rowOff>274674</xdr:rowOff>
    </xdr:to>
    <xdr:sp macro="" textlink="">
      <xdr:nvSpPr>
        <xdr:cNvPr id="2" name="TextBox 1">
          <a:extLst>
            <a:ext uri="{FF2B5EF4-FFF2-40B4-BE49-F238E27FC236}">
              <a16:creationId xmlns:a16="http://schemas.microsoft.com/office/drawing/2014/main" id="{1052EF3A-1B8A-470F-BB7D-FBAF1D151DD5}"/>
            </a:ext>
          </a:extLst>
        </xdr:cNvPr>
        <xdr:cNvSpPr txBox="1"/>
      </xdr:nvSpPr>
      <xdr:spPr>
        <a:xfrm>
          <a:off x="104774" y="182217"/>
          <a:ext cx="3049551" cy="632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4090146</xdr:colOff>
      <xdr:row>0</xdr:row>
      <xdr:rowOff>67236</xdr:rowOff>
    </xdr:from>
    <xdr:to>
      <xdr:col>6</xdr:col>
      <xdr:colOff>0</xdr:colOff>
      <xdr:row>3</xdr:row>
      <xdr:rowOff>324972</xdr:rowOff>
    </xdr:to>
    <xdr:sp macro="" textlink="">
      <xdr:nvSpPr>
        <xdr:cNvPr id="3" name="TextBox 2">
          <a:extLst>
            <a:ext uri="{FF2B5EF4-FFF2-40B4-BE49-F238E27FC236}">
              <a16:creationId xmlns:a16="http://schemas.microsoft.com/office/drawing/2014/main" id="{1EE2F791-1646-4475-B377-E77333FD46F7}"/>
            </a:ext>
          </a:extLst>
        </xdr:cNvPr>
        <xdr:cNvSpPr txBox="1"/>
      </xdr:nvSpPr>
      <xdr:spPr>
        <a:xfrm>
          <a:off x="4714986" y="67236"/>
          <a:ext cx="5099574" cy="791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Al Saad</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2436314</xdr:colOff>
      <xdr:row>0</xdr:row>
      <xdr:rowOff>116453</xdr:rowOff>
    </xdr:from>
    <xdr:to>
      <xdr:col>1</xdr:col>
      <xdr:colOff>3330576</xdr:colOff>
      <xdr:row>3</xdr:row>
      <xdr:rowOff>257027</xdr:rowOff>
    </xdr:to>
    <xdr:pic>
      <xdr:nvPicPr>
        <xdr:cNvPr id="4" name="Picture 3">
          <a:extLst>
            <a:ext uri="{FF2B5EF4-FFF2-40B4-BE49-F238E27FC236}">
              <a16:creationId xmlns:a16="http://schemas.microsoft.com/office/drawing/2014/main" id="{CD269C47-0BCA-4C94-969B-2BE85523C7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5407" y="116453"/>
          <a:ext cx="894262" cy="6810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104775</xdr:colOff>
      <xdr:row>0</xdr:row>
      <xdr:rowOff>182218</xdr:rowOff>
    </xdr:from>
    <xdr:to>
      <xdr:col>1</xdr:col>
      <xdr:colOff>2383971</xdr:colOff>
      <xdr:row>3</xdr:row>
      <xdr:rowOff>293914</xdr:rowOff>
    </xdr:to>
    <xdr:sp macro="" textlink="">
      <xdr:nvSpPr>
        <xdr:cNvPr id="2" name="TextBox 1">
          <a:extLst>
            <a:ext uri="{FF2B5EF4-FFF2-40B4-BE49-F238E27FC236}">
              <a16:creationId xmlns:a16="http://schemas.microsoft.com/office/drawing/2014/main" id="{3E1373FC-547A-4AFE-A5EE-939B8A6179F0}"/>
            </a:ext>
          </a:extLst>
        </xdr:cNvPr>
        <xdr:cNvSpPr txBox="1"/>
      </xdr:nvSpPr>
      <xdr:spPr>
        <a:xfrm>
          <a:off x="104775" y="182218"/>
          <a:ext cx="2899682" cy="655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4245429</xdr:colOff>
      <xdr:row>1</xdr:row>
      <xdr:rowOff>27215</xdr:rowOff>
    </xdr:from>
    <xdr:to>
      <xdr:col>5</xdr:col>
      <xdr:colOff>1265465</xdr:colOff>
      <xdr:row>3</xdr:row>
      <xdr:rowOff>353785</xdr:rowOff>
    </xdr:to>
    <xdr:sp macro="" textlink="">
      <xdr:nvSpPr>
        <xdr:cNvPr id="3" name="TextBox 2">
          <a:extLst>
            <a:ext uri="{FF2B5EF4-FFF2-40B4-BE49-F238E27FC236}">
              <a16:creationId xmlns:a16="http://schemas.microsoft.com/office/drawing/2014/main" id="{8C765CF3-4891-4621-A180-5A176FE4227D}"/>
            </a:ext>
          </a:extLst>
        </xdr:cNvPr>
        <xdr:cNvSpPr txBox="1"/>
      </xdr:nvSpPr>
      <xdr:spPr>
        <a:xfrm>
          <a:off x="4870269" y="217715"/>
          <a:ext cx="4868636" cy="669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Al Saad</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2400300</xdr:colOff>
      <xdr:row>0</xdr:row>
      <xdr:rowOff>95250</xdr:rowOff>
    </xdr:from>
    <xdr:to>
      <xdr:col>1</xdr:col>
      <xdr:colOff>3433146</xdr:colOff>
      <xdr:row>3</xdr:row>
      <xdr:rowOff>338273</xdr:rowOff>
    </xdr:to>
    <xdr:pic>
      <xdr:nvPicPr>
        <xdr:cNvPr id="4" name="Picture 3">
          <a:extLst>
            <a:ext uri="{FF2B5EF4-FFF2-40B4-BE49-F238E27FC236}">
              <a16:creationId xmlns:a16="http://schemas.microsoft.com/office/drawing/2014/main" id="{17F79FA0-308C-4CDB-B4D2-F0C0BAB3E0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0786" y="95250"/>
          <a:ext cx="1034751" cy="78730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104775</xdr:colOff>
      <xdr:row>0</xdr:row>
      <xdr:rowOff>182217</xdr:rowOff>
    </xdr:from>
    <xdr:to>
      <xdr:col>1</xdr:col>
      <xdr:colOff>2324100</xdr:colOff>
      <xdr:row>3</xdr:row>
      <xdr:rowOff>295274</xdr:rowOff>
    </xdr:to>
    <xdr:sp macro="" textlink="">
      <xdr:nvSpPr>
        <xdr:cNvPr id="2" name="TextBox 1">
          <a:extLst>
            <a:ext uri="{FF2B5EF4-FFF2-40B4-BE49-F238E27FC236}">
              <a16:creationId xmlns:a16="http://schemas.microsoft.com/office/drawing/2014/main" id="{9ABA433C-3818-46B2-9945-FFCC5CA4669C}"/>
            </a:ext>
          </a:extLst>
        </xdr:cNvPr>
        <xdr:cNvSpPr txBox="1"/>
      </xdr:nvSpPr>
      <xdr:spPr>
        <a:xfrm>
          <a:off x="104775" y="182217"/>
          <a:ext cx="2847975" cy="646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4078941</xdr:colOff>
      <xdr:row>0</xdr:row>
      <xdr:rowOff>168089</xdr:rowOff>
    </xdr:from>
    <xdr:to>
      <xdr:col>5</xdr:col>
      <xdr:colOff>1293913</xdr:colOff>
      <xdr:row>3</xdr:row>
      <xdr:rowOff>403413</xdr:rowOff>
    </xdr:to>
    <xdr:sp macro="" textlink="">
      <xdr:nvSpPr>
        <xdr:cNvPr id="3" name="TextBox 2">
          <a:extLst>
            <a:ext uri="{FF2B5EF4-FFF2-40B4-BE49-F238E27FC236}">
              <a16:creationId xmlns:a16="http://schemas.microsoft.com/office/drawing/2014/main" id="{99E3622F-C54E-4558-A6A1-E23ACAFB63EA}"/>
            </a:ext>
          </a:extLst>
        </xdr:cNvPr>
        <xdr:cNvSpPr txBox="1"/>
      </xdr:nvSpPr>
      <xdr:spPr>
        <a:xfrm>
          <a:off x="4703781" y="168089"/>
          <a:ext cx="5170252" cy="768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 -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Al Saad</a:t>
          </a:r>
          <a:endParaRPr lang="en-US">
            <a:effectLst/>
          </a:endParaRPr>
        </a:p>
        <a:p>
          <a:endParaRPr lang="en-US" sz="1100" b="1" i="0" baseline="0">
            <a:solidFill>
              <a:schemeClr val="dk1"/>
            </a:solidFill>
            <a:effectLst/>
            <a:latin typeface="+mn-lt"/>
            <a:ea typeface="+mn-ea"/>
            <a:cs typeface="+mn-cs"/>
          </a:endParaRP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2235654</xdr:colOff>
      <xdr:row>0</xdr:row>
      <xdr:rowOff>0</xdr:rowOff>
    </xdr:from>
    <xdr:to>
      <xdr:col>1</xdr:col>
      <xdr:colOff>3432176</xdr:colOff>
      <xdr:row>3</xdr:row>
      <xdr:rowOff>346053</xdr:rowOff>
    </xdr:to>
    <xdr:pic>
      <xdr:nvPicPr>
        <xdr:cNvPr id="4" name="Picture 3">
          <a:extLst>
            <a:ext uri="{FF2B5EF4-FFF2-40B4-BE49-F238E27FC236}">
              <a16:creationId xmlns:a16="http://schemas.microsoft.com/office/drawing/2014/main" id="{6E15FD46-A585-4BDB-BCF6-80C27C9938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64304" y="0"/>
          <a:ext cx="1199062" cy="88326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57148</xdr:colOff>
      <xdr:row>0</xdr:row>
      <xdr:rowOff>133350</xdr:rowOff>
    </xdr:from>
    <xdr:to>
      <xdr:col>1</xdr:col>
      <xdr:colOff>2392680</xdr:colOff>
      <xdr:row>2</xdr:row>
      <xdr:rowOff>289560</xdr:rowOff>
    </xdr:to>
    <xdr:sp macro="" textlink="">
      <xdr:nvSpPr>
        <xdr:cNvPr id="2" name="Text Box 21">
          <a:extLst>
            <a:ext uri="{FF2B5EF4-FFF2-40B4-BE49-F238E27FC236}">
              <a16:creationId xmlns:a16="http://schemas.microsoft.com/office/drawing/2014/main" id="{9F724C24-C566-49BC-83DE-D560AF5B6A70}"/>
            </a:ext>
          </a:extLst>
        </xdr:cNvPr>
        <xdr:cNvSpPr txBox="1">
          <a:spLocks noChangeArrowheads="1"/>
        </xdr:cNvSpPr>
      </xdr:nvSpPr>
      <xdr:spPr bwMode="auto">
        <a:xfrm>
          <a:off x="57148" y="133350"/>
          <a:ext cx="3524252" cy="659130"/>
        </a:xfrm>
        <a:prstGeom prst="rect">
          <a:avLst/>
        </a:prstGeom>
        <a:solidFill>
          <a:srgbClr val="FFFFFF"/>
        </a:solidFill>
        <a:ln w="9525">
          <a:noFill/>
          <a:miter lim="800000"/>
          <a:headEnd/>
          <a:tailEnd/>
        </a:ln>
      </xdr:spPr>
      <xdr:txBody>
        <a:bodyPr vertOverflow="clip" wrap="square" lIns="91440" tIns="45720" rIns="91440" bIns="45720" anchor="t" upright="1"/>
        <a:lstStyle/>
        <a:p>
          <a:pPr rtl="0" eaLnBrk="1" fontAlgn="auto" latinLnBrk="0" hangingPunct="1"/>
          <a:r>
            <a:rPr lang="en-US" sz="1400" b="1" i="0" baseline="0">
              <a:effectLst/>
              <a:latin typeface="+mn-lt"/>
              <a:ea typeface="+mn-ea"/>
              <a:cs typeface="+mn-cs"/>
            </a:rPr>
            <a:t>ABU DHABI DISTRIBUTION COMPANY  PJSC</a:t>
          </a:r>
          <a:endParaRPr lang="en-US" sz="1400">
            <a:effectLst/>
          </a:endParaRPr>
        </a:p>
        <a:p>
          <a:pPr rtl="0" eaLnBrk="1" fontAlgn="auto" latinLnBrk="0" hangingPunct="1"/>
          <a:r>
            <a:rPr lang="en-US" sz="1400" b="1" i="0" baseline="0">
              <a:effectLst/>
              <a:latin typeface="+mn-lt"/>
              <a:ea typeface="+mn-ea"/>
              <a:cs typeface="+mn-cs"/>
            </a:rPr>
            <a:t> (TAQA Distribution )</a:t>
          </a:r>
          <a:endParaRPr lang="en-US" sz="1400">
            <a:effectLst/>
          </a:endParaRPr>
        </a:p>
        <a:p>
          <a:pPr algn="l" rtl="0">
            <a:lnSpc>
              <a:spcPts val="900"/>
            </a:lnSpc>
            <a:defRPr sz="1000"/>
          </a:pPr>
          <a:endParaRPr lang="en-US" sz="14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5633357</xdr:colOff>
      <xdr:row>0</xdr:row>
      <xdr:rowOff>95250</xdr:rowOff>
    </xdr:from>
    <xdr:to>
      <xdr:col>2</xdr:col>
      <xdr:colOff>5932714</xdr:colOff>
      <xdr:row>2</xdr:row>
      <xdr:rowOff>1338493</xdr:rowOff>
    </xdr:to>
    <xdr:sp macro="" textlink="">
      <xdr:nvSpPr>
        <xdr:cNvPr id="3" name="Rectangle 18">
          <a:extLst>
            <a:ext uri="{FF2B5EF4-FFF2-40B4-BE49-F238E27FC236}">
              <a16:creationId xmlns:a16="http://schemas.microsoft.com/office/drawing/2014/main" id="{0F0D48CF-2208-465F-B16D-927292872C1C}"/>
            </a:ext>
          </a:extLst>
        </xdr:cNvPr>
        <xdr:cNvSpPr>
          <a:spLocks noChangeArrowheads="1"/>
        </xdr:cNvSpPr>
      </xdr:nvSpPr>
      <xdr:spPr bwMode="auto">
        <a:xfrm>
          <a:off x="6822077" y="95250"/>
          <a:ext cx="7233557" cy="1746163"/>
        </a:xfrm>
        <a:prstGeom prst="rect">
          <a:avLst/>
        </a:prstGeom>
        <a:solidFill>
          <a:srgbClr val="FFFFFF"/>
        </a:solidFill>
        <a:ln w="9525">
          <a:solidFill>
            <a:srgbClr val="FFFFFF"/>
          </a:solidFill>
          <a:miter lim="800000"/>
          <a:headEnd/>
          <a:tailEnd/>
        </a:ln>
      </xdr:spPr>
      <xdr:txBody>
        <a:bodyPr vertOverflow="clip" wrap="square" lIns="91440" tIns="45720" rIns="91440" bIns="45720" anchor="t" upright="1"/>
        <a:lstStyle/>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Title : Improvement of Exisiting Tanker Filling Station at Al Ain Area</a:t>
          </a: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endParaRPr lang="en-US" sz="16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800"/>
            </a:lnSpc>
            <a:defRPr sz="1000"/>
          </a:pPr>
          <a:r>
            <a:rPr lang="en-US" sz="1600" b="1" i="0" u="none" strike="noStrike" baseline="0">
              <a:solidFill>
                <a:srgbClr val="000000"/>
              </a:solidFill>
              <a:latin typeface="Times New Roman" panose="02020603050405020304" pitchFamily="18" charset="0"/>
              <a:cs typeface="Times New Roman" panose="02020603050405020304" pitchFamily="18" charset="0"/>
            </a:rPr>
            <a:t>Tender No. A-</a:t>
          </a:r>
          <a:r>
            <a:rPr lang="qaa-Latn-001" sz="1600" b="1" i="0" u="none" strike="noStrike" baseline="0">
              <a:solidFill>
                <a:srgbClr val="000000"/>
              </a:solidFill>
              <a:latin typeface="Times New Roman" panose="02020603050405020304" pitchFamily="18" charset="0"/>
              <a:cs typeface="Times New Roman" panose="02020603050405020304" pitchFamily="18" charset="0"/>
            </a:rPr>
            <a:t>2</a:t>
          </a:r>
          <a:r>
            <a:rPr lang="en-US" sz="1600" b="1" i="0" u="none" strike="noStrike" baseline="0">
              <a:solidFill>
                <a:srgbClr val="000000"/>
              </a:solidFill>
              <a:latin typeface="Times New Roman" panose="02020603050405020304" pitchFamily="18" charset="0"/>
              <a:cs typeface="Times New Roman" panose="02020603050405020304" pitchFamily="18" charset="0"/>
            </a:rPr>
            <a:t>0669</a:t>
          </a: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a:p>
          <a:pPr algn="l" rtl="0">
            <a:lnSpc>
              <a:spcPts val="700"/>
            </a:lnSpc>
            <a:defRPr sz="1000"/>
          </a:pPr>
          <a:endParaRPr lang="en-US" sz="18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2737658</xdr:colOff>
      <xdr:row>0</xdr:row>
      <xdr:rowOff>0</xdr:rowOff>
    </xdr:from>
    <xdr:to>
      <xdr:col>1</xdr:col>
      <xdr:colOff>4388600</xdr:colOff>
      <xdr:row>2</xdr:row>
      <xdr:rowOff>755906</xdr:rowOff>
    </xdr:to>
    <xdr:pic>
      <xdr:nvPicPr>
        <xdr:cNvPr id="4" name="Picture 3">
          <a:extLst>
            <a:ext uri="{FF2B5EF4-FFF2-40B4-BE49-F238E27FC236}">
              <a16:creationId xmlns:a16="http://schemas.microsoft.com/office/drawing/2014/main" id="{045E7675-0279-4B92-B1E3-39750BF26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26378" y="0"/>
          <a:ext cx="1650942" cy="125882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95811</xdr:colOff>
      <xdr:row>0</xdr:row>
      <xdr:rowOff>56711</xdr:rowOff>
    </xdr:from>
    <xdr:to>
      <xdr:col>1</xdr:col>
      <xdr:colOff>2232212</xdr:colOff>
      <xdr:row>3</xdr:row>
      <xdr:rowOff>197223</xdr:rowOff>
    </xdr:to>
    <xdr:sp macro="" textlink="">
      <xdr:nvSpPr>
        <xdr:cNvPr id="2" name="TextBox 1">
          <a:extLst>
            <a:ext uri="{FF2B5EF4-FFF2-40B4-BE49-F238E27FC236}">
              <a16:creationId xmlns:a16="http://schemas.microsoft.com/office/drawing/2014/main" id="{6D034A42-CDEB-4518-8C42-50DD618750EE}"/>
            </a:ext>
          </a:extLst>
        </xdr:cNvPr>
        <xdr:cNvSpPr txBox="1"/>
      </xdr:nvSpPr>
      <xdr:spPr>
        <a:xfrm>
          <a:off x="95811" y="56711"/>
          <a:ext cx="2746001" cy="6694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3619499</xdr:colOff>
      <xdr:row>0</xdr:row>
      <xdr:rowOff>56029</xdr:rowOff>
    </xdr:from>
    <xdr:to>
      <xdr:col>5</xdr:col>
      <xdr:colOff>1170648</xdr:colOff>
      <xdr:row>3</xdr:row>
      <xdr:rowOff>403412</xdr:rowOff>
    </xdr:to>
    <xdr:sp macro="" textlink="">
      <xdr:nvSpPr>
        <xdr:cNvPr id="3" name="TextBox 2">
          <a:extLst>
            <a:ext uri="{FF2B5EF4-FFF2-40B4-BE49-F238E27FC236}">
              <a16:creationId xmlns:a16="http://schemas.microsoft.com/office/drawing/2014/main" id="{5DB02A55-08DB-4AD8-B397-2FCABC4EE464}"/>
            </a:ext>
          </a:extLst>
        </xdr:cNvPr>
        <xdr:cNvSpPr txBox="1"/>
      </xdr:nvSpPr>
      <xdr:spPr>
        <a:xfrm>
          <a:off x="4229099" y="56029"/>
          <a:ext cx="5049229" cy="88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SWEIHAN</a:t>
          </a:r>
        </a:p>
        <a:p>
          <a:endParaRPr lang="en-US">
            <a:effectLst/>
          </a:endParaRPr>
        </a:p>
      </xdr:txBody>
    </xdr:sp>
    <xdr:clientData/>
  </xdr:twoCellAnchor>
  <xdr:twoCellAnchor editAs="oneCell">
    <xdr:from>
      <xdr:col>1</xdr:col>
      <xdr:colOff>2167538</xdr:colOff>
      <xdr:row>0</xdr:row>
      <xdr:rowOff>131429</xdr:rowOff>
    </xdr:from>
    <xdr:to>
      <xdr:col>1</xdr:col>
      <xdr:colOff>3047920</xdr:colOff>
      <xdr:row>3</xdr:row>
      <xdr:rowOff>266844</xdr:rowOff>
    </xdr:to>
    <xdr:pic>
      <xdr:nvPicPr>
        <xdr:cNvPr id="4" name="Picture 3">
          <a:extLst>
            <a:ext uri="{FF2B5EF4-FFF2-40B4-BE49-F238E27FC236}">
              <a16:creationId xmlns:a16="http://schemas.microsoft.com/office/drawing/2014/main" id="{766B598D-CAAA-4607-877D-C2845B00D2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77138" y="131429"/>
          <a:ext cx="880382" cy="66433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104774</xdr:colOff>
      <xdr:row>0</xdr:row>
      <xdr:rowOff>182218</xdr:rowOff>
    </xdr:from>
    <xdr:to>
      <xdr:col>1</xdr:col>
      <xdr:colOff>2321858</xdr:colOff>
      <xdr:row>3</xdr:row>
      <xdr:rowOff>286870</xdr:rowOff>
    </xdr:to>
    <xdr:sp macro="" textlink="">
      <xdr:nvSpPr>
        <xdr:cNvPr id="2" name="TextBox 1">
          <a:extLst>
            <a:ext uri="{FF2B5EF4-FFF2-40B4-BE49-F238E27FC236}">
              <a16:creationId xmlns:a16="http://schemas.microsoft.com/office/drawing/2014/main" id="{5B7E246E-4EFD-4A4D-8EB5-10E62C530AC9}"/>
            </a:ext>
          </a:extLst>
        </xdr:cNvPr>
        <xdr:cNvSpPr txBox="1"/>
      </xdr:nvSpPr>
      <xdr:spPr>
        <a:xfrm>
          <a:off x="104774" y="182218"/>
          <a:ext cx="2844613" cy="6335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4078942</xdr:colOff>
      <xdr:row>0</xdr:row>
      <xdr:rowOff>33617</xdr:rowOff>
    </xdr:from>
    <xdr:to>
      <xdr:col>5</xdr:col>
      <xdr:colOff>1293914</xdr:colOff>
      <xdr:row>3</xdr:row>
      <xdr:rowOff>381000</xdr:rowOff>
    </xdr:to>
    <xdr:sp macro="" textlink="">
      <xdr:nvSpPr>
        <xdr:cNvPr id="3" name="TextBox 2">
          <a:extLst>
            <a:ext uri="{FF2B5EF4-FFF2-40B4-BE49-F238E27FC236}">
              <a16:creationId xmlns:a16="http://schemas.microsoft.com/office/drawing/2014/main" id="{CF09518F-AF8C-4F93-A8CE-06297A71958C}"/>
            </a:ext>
          </a:extLst>
        </xdr:cNvPr>
        <xdr:cNvSpPr txBox="1"/>
      </xdr:nvSpPr>
      <xdr:spPr>
        <a:xfrm>
          <a:off x="4703782" y="33617"/>
          <a:ext cx="5101672" cy="88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SWEIHAN</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2137604</xdr:colOff>
      <xdr:row>0</xdr:row>
      <xdr:rowOff>77000</xdr:rowOff>
    </xdr:from>
    <xdr:to>
      <xdr:col>1</xdr:col>
      <xdr:colOff>3192974</xdr:colOff>
      <xdr:row>3</xdr:row>
      <xdr:rowOff>339292</xdr:rowOff>
    </xdr:to>
    <xdr:pic>
      <xdr:nvPicPr>
        <xdr:cNvPr id="4" name="Picture 3">
          <a:extLst>
            <a:ext uri="{FF2B5EF4-FFF2-40B4-BE49-F238E27FC236}">
              <a16:creationId xmlns:a16="http://schemas.microsoft.com/office/drawing/2014/main" id="{D1DF16FF-9FA3-4A0A-8CE1-48F5F52645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5133" y="77000"/>
          <a:ext cx="1055370" cy="79121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104775</xdr:colOff>
      <xdr:row>0</xdr:row>
      <xdr:rowOff>182218</xdr:rowOff>
    </xdr:from>
    <xdr:to>
      <xdr:col>1</xdr:col>
      <xdr:colOff>2318657</xdr:colOff>
      <xdr:row>3</xdr:row>
      <xdr:rowOff>157370</xdr:rowOff>
    </xdr:to>
    <xdr:sp macro="" textlink="">
      <xdr:nvSpPr>
        <xdr:cNvPr id="2" name="TextBox 1">
          <a:extLst>
            <a:ext uri="{FF2B5EF4-FFF2-40B4-BE49-F238E27FC236}">
              <a16:creationId xmlns:a16="http://schemas.microsoft.com/office/drawing/2014/main" id="{BEEEA6E1-74EB-4D99-95FD-839DAC1BE51A}"/>
            </a:ext>
          </a:extLst>
        </xdr:cNvPr>
        <xdr:cNvSpPr txBox="1"/>
      </xdr:nvSpPr>
      <xdr:spPr>
        <a:xfrm>
          <a:off x="104775" y="182218"/>
          <a:ext cx="2834368" cy="519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xdr:txBody>
    </xdr:sp>
    <xdr:clientData/>
  </xdr:twoCellAnchor>
  <xdr:twoCellAnchor>
    <xdr:from>
      <xdr:col>1</xdr:col>
      <xdr:colOff>4090146</xdr:colOff>
      <xdr:row>0</xdr:row>
      <xdr:rowOff>67236</xdr:rowOff>
    </xdr:from>
    <xdr:to>
      <xdr:col>6</xdr:col>
      <xdr:colOff>0</xdr:colOff>
      <xdr:row>3</xdr:row>
      <xdr:rowOff>324972</xdr:rowOff>
    </xdr:to>
    <xdr:sp macro="" textlink="">
      <xdr:nvSpPr>
        <xdr:cNvPr id="3" name="TextBox 2">
          <a:extLst>
            <a:ext uri="{FF2B5EF4-FFF2-40B4-BE49-F238E27FC236}">
              <a16:creationId xmlns:a16="http://schemas.microsoft.com/office/drawing/2014/main" id="{B0C47FE0-ECC9-4611-9AD9-AB05FC8DDD5C}"/>
            </a:ext>
          </a:extLst>
        </xdr:cNvPr>
        <xdr:cNvSpPr txBox="1"/>
      </xdr:nvSpPr>
      <xdr:spPr>
        <a:xfrm>
          <a:off x="4714986" y="67236"/>
          <a:ext cx="5312934" cy="791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SWEIHAN</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2152650</xdr:colOff>
      <xdr:row>0</xdr:row>
      <xdr:rowOff>73480</xdr:rowOff>
    </xdr:from>
    <xdr:to>
      <xdr:col>1</xdr:col>
      <xdr:colOff>3123416</xdr:colOff>
      <xdr:row>3</xdr:row>
      <xdr:rowOff>279492</xdr:rowOff>
    </xdr:to>
    <xdr:pic>
      <xdr:nvPicPr>
        <xdr:cNvPr id="4" name="Picture 3">
          <a:extLst>
            <a:ext uri="{FF2B5EF4-FFF2-40B4-BE49-F238E27FC236}">
              <a16:creationId xmlns:a16="http://schemas.microsoft.com/office/drawing/2014/main" id="{42CA10B5-96A4-47C2-B2E3-530231FF0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73136" y="73480"/>
          <a:ext cx="970766" cy="75029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104774</xdr:colOff>
      <xdr:row>0</xdr:row>
      <xdr:rowOff>182217</xdr:rowOff>
    </xdr:from>
    <xdr:to>
      <xdr:col>1</xdr:col>
      <xdr:colOff>2297544</xdr:colOff>
      <xdr:row>3</xdr:row>
      <xdr:rowOff>242454</xdr:rowOff>
    </xdr:to>
    <xdr:sp macro="" textlink="">
      <xdr:nvSpPr>
        <xdr:cNvPr id="2" name="TextBox 1">
          <a:extLst>
            <a:ext uri="{FF2B5EF4-FFF2-40B4-BE49-F238E27FC236}">
              <a16:creationId xmlns:a16="http://schemas.microsoft.com/office/drawing/2014/main" id="{8F395BFD-0F5B-481E-AE9E-29D7CD9CC689}"/>
            </a:ext>
          </a:extLst>
        </xdr:cNvPr>
        <xdr:cNvSpPr txBox="1"/>
      </xdr:nvSpPr>
      <xdr:spPr>
        <a:xfrm>
          <a:off x="104774" y="182217"/>
          <a:ext cx="2816225" cy="602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chemeClr val="dk1"/>
              </a:solidFill>
              <a:effectLst/>
              <a:latin typeface="+mn-lt"/>
              <a:ea typeface="+mn-ea"/>
              <a:cs typeface="+mn-cs"/>
            </a:rPr>
            <a:t>ABU DHABI DISTRIBUTION COMPANY  PJSC (TAQA Distribution )</a:t>
          </a:r>
          <a:endParaRPr lang="en-US">
            <a:effectLst/>
          </a:endParaRPr>
        </a:p>
      </xdr:txBody>
    </xdr:sp>
    <xdr:clientData/>
  </xdr:twoCellAnchor>
  <xdr:twoCellAnchor>
    <xdr:from>
      <xdr:col>1</xdr:col>
      <xdr:colOff>4245429</xdr:colOff>
      <xdr:row>1</xdr:row>
      <xdr:rowOff>27215</xdr:rowOff>
    </xdr:from>
    <xdr:to>
      <xdr:col>5</xdr:col>
      <xdr:colOff>1265465</xdr:colOff>
      <xdr:row>3</xdr:row>
      <xdr:rowOff>353785</xdr:rowOff>
    </xdr:to>
    <xdr:sp macro="" textlink="">
      <xdr:nvSpPr>
        <xdr:cNvPr id="3" name="TextBox 2">
          <a:extLst>
            <a:ext uri="{FF2B5EF4-FFF2-40B4-BE49-F238E27FC236}">
              <a16:creationId xmlns:a16="http://schemas.microsoft.com/office/drawing/2014/main" id="{D88850BC-943A-44E1-A653-911A0BFC77DD}"/>
            </a:ext>
          </a:extLst>
        </xdr:cNvPr>
        <xdr:cNvSpPr txBox="1"/>
      </xdr:nvSpPr>
      <xdr:spPr>
        <a:xfrm>
          <a:off x="4870269" y="217715"/>
          <a:ext cx="4868636" cy="669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SWEIHAN</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2487028</xdr:colOff>
      <xdr:row>0</xdr:row>
      <xdr:rowOff>100852</xdr:rowOff>
    </xdr:from>
    <xdr:to>
      <xdr:col>1</xdr:col>
      <xdr:colOff>3491747</xdr:colOff>
      <xdr:row>3</xdr:row>
      <xdr:rowOff>315113</xdr:rowOff>
    </xdr:to>
    <xdr:pic>
      <xdr:nvPicPr>
        <xdr:cNvPr id="4" name="Picture 3">
          <a:extLst>
            <a:ext uri="{FF2B5EF4-FFF2-40B4-BE49-F238E27FC236}">
              <a16:creationId xmlns:a16="http://schemas.microsoft.com/office/drawing/2014/main" id="{23D44A2C-F21E-4222-B94C-42EA50ED5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10483" y="100852"/>
          <a:ext cx="1004719" cy="75689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104774</xdr:colOff>
      <xdr:row>0</xdr:row>
      <xdr:rowOff>56711</xdr:rowOff>
    </xdr:from>
    <xdr:to>
      <xdr:col>1</xdr:col>
      <xdr:colOff>2465294</xdr:colOff>
      <xdr:row>3</xdr:row>
      <xdr:rowOff>322728</xdr:rowOff>
    </xdr:to>
    <xdr:sp macro="" textlink="">
      <xdr:nvSpPr>
        <xdr:cNvPr id="2" name="TextBox 1">
          <a:extLst>
            <a:ext uri="{FF2B5EF4-FFF2-40B4-BE49-F238E27FC236}">
              <a16:creationId xmlns:a16="http://schemas.microsoft.com/office/drawing/2014/main" id="{BCE84B2F-A074-4A4C-A7B9-0AB77665BC60}"/>
            </a:ext>
          </a:extLst>
        </xdr:cNvPr>
        <xdr:cNvSpPr txBox="1"/>
      </xdr:nvSpPr>
      <xdr:spPr>
        <a:xfrm>
          <a:off x="104774" y="56711"/>
          <a:ext cx="2988049" cy="794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ABU DHABI DISTRIBUTION COMPANY  PJSC</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4078941</xdr:colOff>
      <xdr:row>0</xdr:row>
      <xdr:rowOff>168089</xdr:rowOff>
    </xdr:from>
    <xdr:to>
      <xdr:col>5</xdr:col>
      <xdr:colOff>1293913</xdr:colOff>
      <xdr:row>3</xdr:row>
      <xdr:rowOff>403413</xdr:rowOff>
    </xdr:to>
    <xdr:sp macro="" textlink="">
      <xdr:nvSpPr>
        <xdr:cNvPr id="3" name="TextBox 2">
          <a:extLst>
            <a:ext uri="{FF2B5EF4-FFF2-40B4-BE49-F238E27FC236}">
              <a16:creationId xmlns:a16="http://schemas.microsoft.com/office/drawing/2014/main" id="{25E1D518-47AF-4DFC-A3F8-779A758F10EF}"/>
            </a:ext>
          </a:extLst>
        </xdr:cNvPr>
        <xdr:cNvSpPr txBox="1"/>
      </xdr:nvSpPr>
      <xdr:spPr>
        <a:xfrm>
          <a:off x="4703781" y="168089"/>
          <a:ext cx="5170252" cy="768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r>
            <a:rPr lang="en-US" sz="1100" b="1" i="0" baseline="0">
              <a:solidFill>
                <a:schemeClr val="dk1"/>
              </a:solidFill>
              <a:effectLst/>
              <a:latin typeface="+mn-lt"/>
              <a:ea typeface="+mn-ea"/>
              <a:cs typeface="+mn-cs"/>
            </a:rPr>
            <a:t>SWEIHAN</a:t>
          </a: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2351635</xdr:colOff>
      <xdr:row>0</xdr:row>
      <xdr:rowOff>0</xdr:rowOff>
    </xdr:from>
    <xdr:to>
      <xdr:col>1</xdr:col>
      <xdr:colOff>3546887</xdr:colOff>
      <xdr:row>3</xdr:row>
      <xdr:rowOff>346464</xdr:rowOff>
    </xdr:to>
    <xdr:pic>
      <xdr:nvPicPr>
        <xdr:cNvPr id="4" name="Picture 3">
          <a:extLst>
            <a:ext uri="{FF2B5EF4-FFF2-40B4-BE49-F238E27FC236}">
              <a16:creationId xmlns:a16="http://schemas.microsoft.com/office/drawing/2014/main" id="{AE3BDAC8-38C5-4D3E-89BC-3C85D6BE33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9164" y="0"/>
          <a:ext cx="1199062" cy="88046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104775</xdr:colOff>
      <xdr:row>0</xdr:row>
      <xdr:rowOff>99060</xdr:rowOff>
    </xdr:from>
    <xdr:to>
      <xdr:col>1</xdr:col>
      <xdr:colOff>2506980</xdr:colOff>
      <xdr:row>3</xdr:row>
      <xdr:rowOff>243840</xdr:rowOff>
    </xdr:to>
    <xdr:sp macro="" textlink="">
      <xdr:nvSpPr>
        <xdr:cNvPr id="2" name="TextBox 1">
          <a:extLst>
            <a:ext uri="{FF2B5EF4-FFF2-40B4-BE49-F238E27FC236}">
              <a16:creationId xmlns:a16="http://schemas.microsoft.com/office/drawing/2014/main" id="{71882AC1-B875-404A-A52F-91F1DFBDFB70}"/>
            </a:ext>
          </a:extLst>
        </xdr:cNvPr>
        <xdr:cNvSpPr txBox="1"/>
      </xdr:nvSpPr>
      <xdr:spPr>
        <a:xfrm>
          <a:off x="104775" y="99060"/>
          <a:ext cx="3027045" cy="678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US" sz="1100" b="1" i="0" baseline="0">
              <a:solidFill>
                <a:schemeClr val="dk1"/>
              </a:solidFill>
              <a:effectLst/>
              <a:latin typeface="+mn-lt"/>
              <a:ea typeface="+mn-ea"/>
              <a:cs typeface="+mn-cs"/>
            </a:rPr>
            <a:t>ABU DHABI DISTRIBUTION COMPANY  PJSC</a:t>
          </a:r>
          <a:endParaRPr lang="en-US">
            <a:effectLst/>
          </a:endParaRPr>
        </a:p>
        <a:p>
          <a:pPr rtl="0" eaLnBrk="1" fontAlgn="auto" latinLnBrk="0" hangingPunct="1"/>
          <a:r>
            <a:rPr lang="en-US" sz="1100" b="1" i="0" baseline="0">
              <a:solidFill>
                <a:schemeClr val="dk1"/>
              </a:solidFill>
              <a:effectLst/>
              <a:latin typeface="+mn-lt"/>
              <a:ea typeface="+mn-ea"/>
              <a:cs typeface="+mn-cs"/>
            </a:rPr>
            <a:t> (TAQA Distribution )</a:t>
          </a:r>
          <a:endParaRPr lang="en-US">
            <a:effectLst/>
          </a:endParaRPr>
        </a:p>
        <a:p>
          <a:pPr rtl="0"/>
          <a:endParaRPr lang="en-US">
            <a:effectLst/>
          </a:endParaRPr>
        </a:p>
      </xdr:txBody>
    </xdr:sp>
    <xdr:clientData/>
  </xdr:twoCellAnchor>
  <xdr:twoCellAnchor>
    <xdr:from>
      <xdr:col>1</xdr:col>
      <xdr:colOff>4068536</xdr:colOff>
      <xdr:row>0</xdr:row>
      <xdr:rowOff>27216</xdr:rowOff>
    </xdr:from>
    <xdr:to>
      <xdr:col>5</xdr:col>
      <xdr:colOff>1283508</xdr:colOff>
      <xdr:row>3</xdr:row>
      <xdr:rowOff>190501</xdr:rowOff>
    </xdr:to>
    <xdr:sp macro="" textlink="">
      <xdr:nvSpPr>
        <xdr:cNvPr id="3" name="TextBox 2">
          <a:extLst>
            <a:ext uri="{FF2B5EF4-FFF2-40B4-BE49-F238E27FC236}">
              <a16:creationId xmlns:a16="http://schemas.microsoft.com/office/drawing/2014/main" id="{660303B5-D740-46AC-91C6-1A086E1F85B3}"/>
            </a:ext>
          </a:extLst>
        </xdr:cNvPr>
        <xdr:cNvSpPr txBox="1"/>
      </xdr:nvSpPr>
      <xdr:spPr>
        <a:xfrm>
          <a:off x="4693376" y="27216"/>
          <a:ext cx="5063572" cy="696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effectLst/>
            </a:rPr>
            <a:t>Tender A-</a:t>
          </a:r>
          <a:r>
            <a:rPr lang="qaa-Latn-001" b="1">
              <a:effectLst/>
            </a:rPr>
            <a:t>20</a:t>
          </a:r>
          <a:r>
            <a:rPr lang="en-US" b="1">
              <a:effectLst/>
            </a:rPr>
            <a:t>669</a:t>
          </a:r>
        </a:p>
        <a:p>
          <a:r>
            <a:rPr lang="en-US" sz="1100" b="1" i="0" baseline="0">
              <a:solidFill>
                <a:schemeClr val="dk1"/>
              </a:solidFill>
              <a:effectLst/>
              <a:latin typeface="+mn-lt"/>
              <a:ea typeface="+mn-ea"/>
              <a:cs typeface="+mn-cs"/>
            </a:rPr>
            <a:t>Tender Title</a:t>
          </a:r>
          <a:r>
            <a:rPr lang="qaa-Latn-001" sz="1100" b="1" i="0" baseline="0">
              <a:solidFill>
                <a:schemeClr val="dk1"/>
              </a:solidFill>
              <a:effectLst/>
              <a:latin typeface="+mn-lt"/>
              <a:ea typeface="+mn-ea"/>
              <a:cs typeface="+mn-cs"/>
            </a:rPr>
            <a:t>: </a:t>
          </a:r>
          <a:r>
            <a:rPr lang="en-US" sz="1100" b="1" i="0" baseline="0">
              <a:solidFill>
                <a:schemeClr val="dk1"/>
              </a:solidFill>
              <a:effectLst/>
              <a:latin typeface="+mn-lt"/>
              <a:ea typeface="+mn-ea"/>
              <a:cs typeface="+mn-cs"/>
            </a:rPr>
            <a:t> Improvement of Exisiting Tanker Filling Station at Al Ain Area-</a:t>
          </a:r>
        </a:p>
        <a:p>
          <a:endParaRPr lang="en-US" sz="1100" b="1" i="0" baseline="0">
            <a:solidFill>
              <a:schemeClr val="dk1"/>
            </a:solidFill>
            <a:effectLst/>
            <a:latin typeface="+mn-lt"/>
            <a:ea typeface="+mn-ea"/>
            <a:cs typeface="+mn-cs"/>
          </a:endParaRPr>
        </a:p>
        <a:p>
          <a:endParaRPr lang="en-US" sz="1100" b="1" i="0" baseline="0">
            <a:solidFill>
              <a:schemeClr val="dk1"/>
            </a:solidFill>
            <a:effectLst/>
            <a:latin typeface="+mn-lt"/>
            <a:ea typeface="+mn-ea"/>
            <a:cs typeface="+mn-cs"/>
          </a:endParaRPr>
        </a:p>
        <a:p>
          <a:endParaRPr lang="en-US">
            <a:effectLst/>
          </a:endParaRPr>
        </a:p>
      </xdr:txBody>
    </xdr:sp>
    <xdr:clientData/>
  </xdr:twoCellAnchor>
  <xdr:twoCellAnchor editAs="oneCell">
    <xdr:from>
      <xdr:col>1</xdr:col>
      <xdr:colOff>2456907</xdr:colOff>
      <xdr:row>0</xdr:row>
      <xdr:rowOff>38100</xdr:rowOff>
    </xdr:from>
    <xdr:to>
      <xdr:col>1</xdr:col>
      <xdr:colOff>3638395</xdr:colOff>
      <xdr:row>3</xdr:row>
      <xdr:rowOff>396240</xdr:rowOff>
    </xdr:to>
    <xdr:pic>
      <xdr:nvPicPr>
        <xdr:cNvPr id="4" name="Picture 3">
          <a:extLst>
            <a:ext uri="{FF2B5EF4-FFF2-40B4-BE49-F238E27FC236}">
              <a16:creationId xmlns:a16="http://schemas.microsoft.com/office/drawing/2014/main" id="{9F881C91-0527-4585-9AA5-A8D6AF2EA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81747" y="38100"/>
          <a:ext cx="1181488" cy="89154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3DDB-A22A-4122-AB51-A622A925F49D}">
  <sheetPr codeName="Sheet1"/>
  <dimension ref="A1:E23"/>
  <sheetViews>
    <sheetView view="pageBreakPreview" zoomScale="70" zoomScaleNormal="100" zoomScaleSheetLayoutView="70" workbookViewId="0">
      <selection activeCell="I10" sqref="A10:I15"/>
    </sheetView>
  </sheetViews>
  <sheetFormatPr defaultRowHeight="15.75" x14ac:dyDescent="0.25"/>
  <cols>
    <col min="1" max="1" width="15.140625" style="4" customWidth="1"/>
    <col min="2" max="2" width="101.140625" style="14" customWidth="1"/>
    <col min="3" max="3" width="101.85546875" style="15" customWidth="1"/>
    <col min="4" max="236" width="9.140625" style="10"/>
    <col min="237" max="237" width="11.7109375" style="10" customWidth="1"/>
    <col min="238" max="238" width="87" style="10" customWidth="1"/>
    <col min="239" max="239" width="70.5703125" style="10" customWidth="1"/>
    <col min="240" max="240" width="70.7109375" style="10" customWidth="1"/>
    <col min="241" max="492" width="9.140625" style="10"/>
    <col min="493" max="493" width="11.7109375" style="10" customWidth="1"/>
    <col min="494" max="494" width="87" style="10" customWidth="1"/>
    <col min="495" max="495" width="70.5703125" style="10" customWidth="1"/>
    <col min="496" max="496" width="70.7109375" style="10" customWidth="1"/>
    <col min="497" max="748" width="9.140625" style="10"/>
    <col min="749" max="749" width="11.7109375" style="10" customWidth="1"/>
    <col min="750" max="750" width="87" style="10" customWidth="1"/>
    <col min="751" max="751" width="70.5703125" style="10" customWidth="1"/>
    <col min="752" max="752" width="70.7109375" style="10" customWidth="1"/>
    <col min="753" max="1004" width="9.140625" style="10"/>
    <col min="1005" max="1005" width="11.7109375" style="10" customWidth="1"/>
    <col min="1006" max="1006" width="87" style="10" customWidth="1"/>
    <col min="1007" max="1007" width="70.5703125" style="10" customWidth="1"/>
    <col min="1008" max="1008" width="70.7109375" style="10" customWidth="1"/>
    <col min="1009" max="1260" width="9.140625" style="10"/>
    <col min="1261" max="1261" width="11.7109375" style="10" customWidth="1"/>
    <col min="1262" max="1262" width="87" style="10" customWidth="1"/>
    <col min="1263" max="1263" width="70.5703125" style="10" customWidth="1"/>
    <col min="1264" max="1264" width="70.7109375" style="10" customWidth="1"/>
    <col min="1265" max="1516" width="9.140625" style="10"/>
    <col min="1517" max="1517" width="11.7109375" style="10" customWidth="1"/>
    <col min="1518" max="1518" width="87" style="10" customWidth="1"/>
    <col min="1519" max="1519" width="70.5703125" style="10" customWidth="1"/>
    <col min="1520" max="1520" width="70.7109375" style="10" customWidth="1"/>
    <col min="1521" max="1772" width="9.140625" style="10"/>
    <col min="1773" max="1773" width="11.7109375" style="10" customWidth="1"/>
    <col min="1774" max="1774" width="87" style="10" customWidth="1"/>
    <col min="1775" max="1775" width="70.5703125" style="10" customWidth="1"/>
    <col min="1776" max="1776" width="70.7109375" style="10" customWidth="1"/>
    <col min="1777" max="2028" width="9.140625" style="10"/>
    <col min="2029" max="2029" width="11.7109375" style="10" customWidth="1"/>
    <col min="2030" max="2030" width="87" style="10" customWidth="1"/>
    <col min="2031" max="2031" width="70.5703125" style="10" customWidth="1"/>
    <col min="2032" max="2032" width="70.7109375" style="10" customWidth="1"/>
    <col min="2033" max="2284" width="9.140625" style="10"/>
    <col min="2285" max="2285" width="11.7109375" style="10" customWidth="1"/>
    <col min="2286" max="2286" width="87" style="10" customWidth="1"/>
    <col min="2287" max="2287" width="70.5703125" style="10" customWidth="1"/>
    <col min="2288" max="2288" width="70.7109375" style="10" customWidth="1"/>
    <col min="2289" max="2540" width="9.140625" style="10"/>
    <col min="2541" max="2541" width="11.7109375" style="10" customWidth="1"/>
    <col min="2542" max="2542" width="87" style="10" customWidth="1"/>
    <col min="2543" max="2543" width="70.5703125" style="10" customWidth="1"/>
    <col min="2544" max="2544" width="70.7109375" style="10" customWidth="1"/>
    <col min="2545" max="2796" width="9.140625" style="10"/>
    <col min="2797" max="2797" width="11.7109375" style="10" customWidth="1"/>
    <col min="2798" max="2798" width="87" style="10" customWidth="1"/>
    <col min="2799" max="2799" width="70.5703125" style="10" customWidth="1"/>
    <col min="2800" max="2800" width="70.7109375" style="10" customWidth="1"/>
    <col min="2801" max="3052" width="9.140625" style="10"/>
    <col min="3053" max="3053" width="11.7109375" style="10" customWidth="1"/>
    <col min="3054" max="3054" width="87" style="10" customWidth="1"/>
    <col min="3055" max="3055" width="70.5703125" style="10" customWidth="1"/>
    <col min="3056" max="3056" width="70.7109375" style="10" customWidth="1"/>
    <col min="3057" max="3308" width="9.140625" style="10"/>
    <col min="3309" max="3309" width="11.7109375" style="10" customWidth="1"/>
    <col min="3310" max="3310" width="87" style="10" customWidth="1"/>
    <col min="3311" max="3311" width="70.5703125" style="10" customWidth="1"/>
    <col min="3312" max="3312" width="70.7109375" style="10" customWidth="1"/>
    <col min="3313" max="3564" width="9.140625" style="10"/>
    <col min="3565" max="3565" width="11.7109375" style="10" customWidth="1"/>
    <col min="3566" max="3566" width="87" style="10" customWidth="1"/>
    <col min="3567" max="3567" width="70.5703125" style="10" customWidth="1"/>
    <col min="3568" max="3568" width="70.7109375" style="10" customWidth="1"/>
    <col min="3569" max="3820" width="9.140625" style="10"/>
    <col min="3821" max="3821" width="11.7109375" style="10" customWidth="1"/>
    <col min="3822" max="3822" width="87" style="10" customWidth="1"/>
    <col min="3823" max="3823" width="70.5703125" style="10" customWidth="1"/>
    <col min="3824" max="3824" width="70.7109375" style="10" customWidth="1"/>
    <col min="3825" max="4076" width="9.140625" style="10"/>
    <col min="4077" max="4077" width="11.7109375" style="10" customWidth="1"/>
    <col min="4078" max="4078" width="87" style="10" customWidth="1"/>
    <col min="4079" max="4079" width="70.5703125" style="10" customWidth="1"/>
    <col min="4080" max="4080" width="70.7109375" style="10" customWidth="1"/>
    <col min="4081" max="4332" width="9.140625" style="10"/>
    <col min="4333" max="4333" width="11.7109375" style="10" customWidth="1"/>
    <col min="4334" max="4334" width="87" style="10" customWidth="1"/>
    <col min="4335" max="4335" width="70.5703125" style="10" customWidth="1"/>
    <col min="4336" max="4336" width="70.7109375" style="10" customWidth="1"/>
    <col min="4337" max="4588" width="9.140625" style="10"/>
    <col min="4589" max="4589" width="11.7109375" style="10" customWidth="1"/>
    <col min="4590" max="4590" width="87" style="10" customWidth="1"/>
    <col min="4591" max="4591" width="70.5703125" style="10" customWidth="1"/>
    <col min="4592" max="4592" width="70.7109375" style="10" customWidth="1"/>
    <col min="4593" max="4844" width="9.140625" style="10"/>
    <col min="4845" max="4845" width="11.7109375" style="10" customWidth="1"/>
    <col min="4846" max="4846" width="87" style="10" customWidth="1"/>
    <col min="4847" max="4847" width="70.5703125" style="10" customWidth="1"/>
    <col min="4848" max="4848" width="70.7109375" style="10" customWidth="1"/>
    <col min="4849" max="5100" width="9.140625" style="10"/>
    <col min="5101" max="5101" width="11.7109375" style="10" customWidth="1"/>
    <col min="5102" max="5102" width="87" style="10" customWidth="1"/>
    <col min="5103" max="5103" width="70.5703125" style="10" customWidth="1"/>
    <col min="5104" max="5104" width="70.7109375" style="10" customWidth="1"/>
    <col min="5105" max="5356" width="9.140625" style="10"/>
    <col min="5357" max="5357" width="11.7109375" style="10" customWidth="1"/>
    <col min="5358" max="5358" width="87" style="10" customWidth="1"/>
    <col min="5359" max="5359" width="70.5703125" style="10" customWidth="1"/>
    <col min="5360" max="5360" width="70.7109375" style="10" customWidth="1"/>
    <col min="5361" max="5612" width="9.140625" style="10"/>
    <col min="5613" max="5613" width="11.7109375" style="10" customWidth="1"/>
    <col min="5614" max="5614" width="87" style="10" customWidth="1"/>
    <col min="5615" max="5615" width="70.5703125" style="10" customWidth="1"/>
    <col min="5616" max="5616" width="70.7109375" style="10" customWidth="1"/>
    <col min="5617" max="5868" width="9.140625" style="10"/>
    <col min="5869" max="5869" width="11.7109375" style="10" customWidth="1"/>
    <col min="5870" max="5870" width="87" style="10" customWidth="1"/>
    <col min="5871" max="5871" width="70.5703125" style="10" customWidth="1"/>
    <col min="5872" max="5872" width="70.7109375" style="10" customWidth="1"/>
    <col min="5873" max="6124" width="9.140625" style="10"/>
    <col min="6125" max="6125" width="11.7109375" style="10" customWidth="1"/>
    <col min="6126" max="6126" width="87" style="10" customWidth="1"/>
    <col min="6127" max="6127" width="70.5703125" style="10" customWidth="1"/>
    <col min="6128" max="6128" width="70.7109375" style="10" customWidth="1"/>
    <col min="6129" max="6380" width="9.140625" style="10"/>
    <col min="6381" max="6381" width="11.7109375" style="10" customWidth="1"/>
    <col min="6382" max="6382" width="87" style="10" customWidth="1"/>
    <col min="6383" max="6383" width="70.5703125" style="10" customWidth="1"/>
    <col min="6384" max="6384" width="70.7109375" style="10" customWidth="1"/>
    <col min="6385" max="6636" width="9.140625" style="10"/>
    <col min="6637" max="6637" width="11.7109375" style="10" customWidth="1"/>
    <col min="6638" max="6638" width="87" style="10" customWidth="1"/>
    <col min="6639" max="6639" width="70.5703125" style="10" customWidth="1"/>
    <col min="6640" max="6640" width="70.7109375" style="10" customWidth="1"/>
    <col min="6641" max="6892" width="9.140625" style="10"/>
    <col min="6893" max="6893" width="11.7109375" style="10" customWidth="1"/>
    <col min="6894" max="6894" width="87" style="10" customWidth="1"/>
    <col min="6895" max="6895" width="70.5703125" style="10" customWidth="1"/>
    <col min="6896" max="6896" width="70.7109375" style="10" customWidth="1"/>
    <col min="6897" max="7148" width="9.140625" style="10"/>
    <col min="7149" max="7149" width="11.7109375" style="10" customWidth="1"/>
    <col min="7150" max="7150" width="87" style="10" customWidth="1"/>
    <col min="7151" max="7151" width="70.5703125" style="10" customWidth="1"/>
    <col min="7152" max="7152" width="70.7109375" style="10" customWidth="1"/>
    <col min="7153" max="7404" width="9.140625" style="10"/>
    <col min="7405" max="7405" width="11.7109375" style="10" customWidth="1"/>
    <col min="7406" max="7406" width="87" style="10" customWidth="1"/>
    <col min="7407" max="7407" width="70.5703125" style="10" customWidth="1"/>
    <col min="7408" max="7408" width="70.7109375" style="10" customWidth="1"/>
    <col min="7409" max="7660" width="9.140625" style="10"/>
    <col min="7661" max="7661" width="11.7109375" style="10" customWidth="1"/>
    <col min="7662" max="7662" width="87" style="10" customWidth="1"/>
    <col min="7663" max="7663" width="70.5703125" style="10" customWidth="1"/>
    <col min="7664" max="7664" width="70.7109375" style="10" customWidth="1"/>
    <col min="7665" max="7916" width="9.140625" style="10"/>
    <col min="7917" max="7917" width="11.7109375" style="10" customWidth="1"/>
    <col min="7918" max="7918" width="87" style="10" customWidth="1"/>
    <col min="7919" max="7919" width="70.5703125" style="10" customWidth="1"/>
    <col min="7920" max="7920" width="70.7109375" style="10" customWidth="1"/>
    <col min="7921" max="8172" width="9.140625" style="10"/>
    <col min="8173" max="8173" width="11.7109375" style="10" customWidth="1"/>
    <col min="8174" max="8174" width="87" style="10" customWidth="1"/>
    <col min="8175" max="8175" width="70.5703125" style="10" customWidth="1"/>
    <col min="8176" max="8176" width="70.7109375" style="10" customWidth="1"/>
    <col min="8177" max="8428" width="9.140625" style="10"/>
    <col min="8429" max="8429" width="11.7109375" style="10" customWidth="1"/>
    <col min="8430" max="8430" width="87" style="10" customWidth="1"/>
    <col min="8431" max="8431" width="70.5703125" style="10" customWidth="1"/>
    <col min="8432" max="8432" width="70.7109375" style="10" customWidth="1"/>
    <col min="8433" max="8684" width="9.140625" style="10"/>
    <col min="8685" max="8685" width="11.7109375" style="10" customWidth="1"/>
    <col min="8686" max="8686" width="87" style="10" customWidth="1"/>
    <col min="8687" max="8687" width="70.5703125" style="10" customWidth="1"/>
    <col min="8688" max="8688" width="70.7109375" style="10" customWidth="1"/>
    <col min="8689" max="8940" width="9.140625" style="10"/>
    <col min="8941" max="8941" width="11.7109375" style="10" customWidth="1"/>
    <col min="8942" max="8942" width="87" style="10" customWidth="1"/>
    <col min="8943" max="8943" width="70.5703125" style="10" customWidth="1"/>
    <col min="8944" max="8944" width="70.7109375" style="10" customWidth="1"/>
    <col min="8945" max="9196" width="9.140625" style="10"/>
    <col min="9197" max="9197" width="11.7109375" style="10" customWidth="1"/>
    <col min="9198" max="9198" width="87" style="10" customWidth="1"/>
    <col min="9199" max="9199" width="70.5703125" style="10" customWidth="1"/>
    <col min="9200" max="9200" width="70.7109375" style="10" customWidth="1"/>
    <col min="9201" max="9452" width="9.140625" style="10"/>
    <col min="9453" max="9453" width="11.7109375" style="10" customWidth="1"/>
    <col min="9454" max="9454" width="87" style="10" customWidth="1"/>
    <col min="9455" max="9455" width="70.5703125" style="10" customWidth="1"/>
    <col min="9456" max="9456" width="70.7109375" style="10" customWidth="1"/>
    <col min="9457" max="9708" width="9.140625" style="10"/>
    <col min="9709" max="9709" width="11.7109375" style="10" customWidth="1"/>
    <col min="9710" max="9710" width="87" style="10" customWidth="1"/>
    <col min="9711" max="9711" width="70.5703125" style="10" customWidth="1"/>
    <col min="9712" max="9712" width="70.7109375" style="10" customWidth="1"/>
    <col min="9713" max="9964" width="9.140625" style="10"/>
    <col min="9965" max="9965" width="11.7109375" style="10" customWidth="1"/>
    <col min="9966" max="9966" width="87" style="10" customWidth="1"/>
    <col min="9967" max="9967" width="70.5703125" style="10" customWidth="1"/>
    <col min="9968" max="9968" width="70.7109375" style="10" customWidth="1"/>
    <col min="9969" max="10220" width="9.140625" style="10"/>
    <col min="10221" max="10221" width="11.7109375" style="10" customWidth="1"/>
    <col min="10222" max="10222" width="87" style="10" customWidth="1"/>
    <col min="10223" max="10223" width="70.5703125" style="10" customWidth="1"/>
    <col min="10224" max="10224" width="70.7109375" style="10" customWidth="1"/>
    <col min="10225" max="10476" width="9.140625" style="10"/>
    <col min="10477" max="10477" width="11.7109375" style="10" customWidth="1"/>
    <col min="10478" max="10478" width="87" style="10" customWidth="1"/>
    <col min="10479" max="10479" width="70.5703125" style="10" customWidth="1"/>
    <col min="10480" max="10480" width="70.7109375" style="10" customWidth="1"/>
    <col min="10481" max="10732" width="9.140625" style="10"/>
    <col min="10733" max="10733" width="11.7109375" style="10" customWidth="1"/>
    <col min="10734" max="10734" width="87" style="10" customWidth="1"/>
    <col min="10735" max="10735" width="70.5703125" style="10" customWidth="1"/>
    <col min="10736" max="10736" width="70.7109375" style="10" customWidth="1"/>
    <col min="10737" max="10988" width="9.140625" style="10"/>
    <col min="10989" max="10989" width="11.7109375" style="10" customWidth="1"/>
    <col min="10990" max="10990" width="87" style="10" customWidth="1"/>
    <col min="10991" max="10991" width="70.5703125" style="10" customWidth="1"/>
    <col min="10992" max="10992" width="70.7109375" style="10" customWidth="1"/>
    <col min="10993" max="11244" width="9.140625" style="10"/>
    <col min="11245" max="11245" width="11.7109375" style="10" customWidth="1"/>
    <col min="11246" max="11246" width="87" style="10" customWidth="1"/>
    <col min="11247" max="11247" width="70.5703125" style="10" customWidth="1"/>
    <col min="11248" max="11248" width="70.7109375" style="10" customWidth="1"/>
    <col min="11249" max="11500" width="9.140625" style="10"/>
    <col min="11501" max="11501" width="11.7109375" style="10" customWidth="1"/>
    <col min="11502" max="11502" width="87" style="10" customWidth="1"/>
    <col min="11503" max="11503" width="70.5703125" style="10" customWidth="1"/>
    <col min="11504" max="11504" width="70.7109375" style="10" customWidth="1"/>
    <col min="11505" max="11756" width="9.140625" style="10"/>
    <col min="11757" max="11757" width="11.7109375" style="10" customWidth="1"/>
    <col min="11758" max="11758" width="87" style="10" customWidth="1"/>
    <col min="11759" max="11759" width="70.5703125" style="10" customWidth="1"/>
    <col min="11760" max="11760" width="70.7109375" style="10" customWidth="1"/>
    <col min="11761" max="12012" width="9.140625" style="10"/>
    <col min="12013" max="12013" width="11.7109375" style="10" customWidth="1"/>
    <col min="12014" max="12014" width="87" style="10" customWidth="1"/>
    <col min="12015" max="12015" width="70.5703125" style="10" customWidth="1"/>
    <col min="12016" max="12016" width="70.7109375" style="10" customWidth="1"/>
    <col min="12017" max="12268" width="9.140625" style="10"/>
    <col min="12269" max="12269" width="11.7109375" style="10" customWidth="1"/>
    <col min="12270" max="12270" width="87" style="10" customWidth="1"/>
    <col min="12271" max="12271" width="70.5703125" style="10" customWidth="1"/>
    <col min="12272" max="12272" width="70.7109375" style="10" customWidth="1"/>
    <col min="12273" max="12524" width="9.140625" style="10"/>
    <col min="12525" max="12525" width="11.7109375" style="10" customWidth="1"/>
    <col min="12526" max="12526" width="87" style="10" customWidth="1"/>
    <col min="12527" max="12527" width="70.5703125" style="10" customWidth="1"/>
    <col min="12528" max="12528" width="70.7109375" style="10" customWidth="1"/>
    <col min="12529" max="12780" width="9.140625" style="10"/>
    <col min="12781" max="12781" width="11.7109375" style="10" customWidth="1"/>
    <col min="12782" max="12782" width="87" style="10" customWidth="1"/>
    <col min="12783" max="12783" width="70.5703125" style="10" customWidth="1"/>
    <col min="12784" max="12784" width="70.7109375" style="10" customWidth="1"/>
    <col min="12785" max="13036" width="9.140625" style="10"/>
    <col min="13037" max="13037" width="11.7109375" style="10" customWidth="1"/>
    <col min="13038" max="13038" width="87" style="10" customWidth="1"/>
    <col min="13039" max="13039" width="70.5703125" style="10" customWidth="1"/>
    <col min="13040" max="13040" width="70.7109375" style="10" customWidth="1"/>
    <col min="13041" max="13292" width="9.140625" style="10"/>
    <col min="13293" max="13293" width="11.7109375" style="10" customWidth="1"/>
    <col min="13294" max="13294" width="87" style="10" customWidth="1"/>
    <col min="13295" max="13295" width="70.5703125" style="10" customWidth="1"/>
    <col min="13296" max="13296" width="70.7109375" style="10" customWidth="1"/>
    <col min="13297" max="13548" width="9.140625" style="10"/>
    <col min="13549" max="13549" width="11.7109375" style="10" customWidth="1"/>
    <col min="13550" max="13550" width="87" style="10" customWidth="1"/>
    <col min="13551" max="13551" width="70.5703125" style="10" customWidth="1"/>
    <col min="13552" max="13552" width="70.7109375" style="10" customWidth="1"/>
    <col min="13553" max="13804" width="9.140625" style="10"/>
    <col min="13805" max="13805" width="11.7109375" style="10" customWidth="1"/>
    <col min="13806" max="13806" width="87" style="10" customWidth="1"/>
    <col min="13807" max="13807" width="70.5703125" style="10" customWidth="1"/>
    <col min="13808" max="13808" width="70.7109375" style="10" customWidth="1"/>
    <col min="13809" max="14060" width="9.140625" style="10"/>
    <col min="14061" max="14061" width="11.7109375" style="10" customWidth="1"/>
    <col min="14062" max="14062" width="87" style="10" customWidth="1"/>
    <col min="14063" max="14063" width="70.5703125" style="10" customWidth="1"/>
    <col min="14064" max="14064" width="70.7109375" style="10" customWidth="1"/>
    <col min="14065" max="14316" width="9.140625" style="10"/>
    <col min="14317" max="14317" width="11.7109375" style="10" customWidth="1"/>
    <col min="14318" max="14318" width="87" style="10" customWidth="1"/>
    <col min="14319" max="14319" width="70.5703125" style="10" customWidth="1"/>
    <col min="14320" max="14320" width="70.7109375" style="10" customWidth="1"/>
    <col min="14321" max="14572" width="9.140625" style="10"/>
    <col min="14573" max="14573" width="11.7109375" style="10" customWidth="1"/>
    <col min="14574" max="14574" width="87" style="10" customWidth="1"/>
    <col min="14575" max="14575" width="70.5703125" style="10" customWidth="1"/>
    <col min="14576" max="14576" width="70.7109375" style="10" customWidth="1"/>
    <col min="14577" max="14828" width="9.140625" style="10"/>
    <col min="14829" max="14829" width="11.7109375" style="10" customWidth="1"/>
    <col min="14830" max="14830" width="87" style="10" customWidth="1"/>
    <col min="14831" max="14831" width="70.5703125" style="10" customWidth="1"/>
    <col min="14832" max="14832" width="70.7109375" style="10" customWidth="1"/>
    <col min="14833" max="15084" width="9.140625" style="10"/>
    <col min="15085" max="15085" width="11.7109375" style="10" customWidth="1"/>
    <col min="15086" max="15086" width="87" style="10" customWidth="1"/>
    <col min="15087" max="15087" width="70.5703125" style="10" customWidth="1"/>
    <col min="15088" max="15088" width="70.7109375" style="10" customWidth="1"/>
    <col min="15089" max="15340" width="9.140625" style="10"/>
    <col min="15341" max="15341" width="11.7109375" style="10" customWidth="1"/>
    <col min="15342" max="15342" width="87" style="10" customWidth="1"/>
    <col min="15343" max="15343" width="70.5703125" style="10" customWidth="1"/>
    <col min="15344" max="15344" width="70.7109375" style="10" customWidth="1"/>
    <col min="15345" max="15596" width="9.140625" style="10"/>
    <col min="15597" max="15597" width="11.7109375" style="10" customWidth="1"/>
    <col min="15598" max="15598" width="87" style="10" customWidth="1"/>
    <col min="15599" max="15599" width="70.5703125" style="10" customWidth="1"/>
    <col min="15600" max="15600" width="70.7109375" style="10" customWidth="1"/>
    <col min="15601" max="15852" width="9.140625" style="10"/>
    <col min="15853" max="15853" width="11.7109375" style="10" customWidth="1"/>
    <col min="15854" max="15854" width="87" style="10" customWidth="1"/>
    <col min="15855" max="15855" width="70.5703125" style="10" customWidth="1"/>
    <col min="15856" max="15856" width="70.7109375" style="10" customWidth="1"/>
    <col min="15857" max="16108" width="9.140625" style="10"/>
    <col min="16109" max="16109" width="11.7109375" style="10" customWidth="1"/>
    <col min="16110" max="16110" width="87" style="10" customWidth="1"/>
    <col min="16111" max="16111" width="70.5703125" style="10" customWidth="1"/>
    <col min="16112" max="16112" width="70.7109375" style="10" customWidth="1"/>
    <col min="16113" max="16384" width="9.140625" style="10"/>
  </cols>
  <sheetData>
    <row r="1" spans="1:5" s="4" customFormat="1" ht="20.100000000000001" customHeight="1" x14ac:dyDescent="0.2">
      <c r="A1" s="1"/>
      <c r="B1" s="2"/>
      <c r="C1" s="3"/>
    </row>
    <row r="2" spans="1:5" s="4" customFormat="1" ht="20.100000000000001" customHeight="1" x14ac:dyDescent="0.2">
      <c r="A2" s="1"/>
      <c r="B2" s="2"/>
      <c r="C2" s="3"/>
    </row>
    <row r="3" spans="1:5" s="7" customFormat="1" ht="108.75" customHeight="1" thickBot="1" x14ac:dyDescent="0.3">
      <c r="A3" s="5"/>
      <c r="B3" s="5"/>
      <c r="C3" s="6"/>
      <c r="D3" s="10"/>
      <c r="E3" s="10"/>
    </row>
    <row r="4" spans="1:5" ht="14.25" customHeight="1" x14ac:dyDescent="0.25">
      <c r="A4" s="8"/>
      <c r="B4" s="8"/>
      <c r="C4" s="9"/>
    </row>
    <row r="5" spans="1:5" s="18" customFormat="1" ht="32.25" customHeight="1" x14ac:dyDescent="0.45">
      <c r="A5" s="19"/>
      <c r="B5" s="16" t="s">
        <v>366</v>
      </c>
      <c r="C5" s="17" t="s">
        <v>366</v>
      </c>
    </row>
    <row r="6" spans="1:5" s="21" customFormat="1" ht="42.75" customHeight="1" x14ac:dyDescent="0.4">
      <c r="A6" s="20" t="s">
        <v>6</v>
      </c>
      <c r="B6" s="20" t="s">
        <v>0</v>
      </c>
      <c r="C6" s="32" t="s">
        <v>1</v>
      </c>
    </row>
    <row r="7" spans="1:5" s="21" customFormat="1" ht="27.75" x14ac:dyDescent="0.4">
      <c r="A7" s="22">
        <v>1</v>
      </c>
      <c r="B7" s="23" t="s">
        <v>9</v>
      </c>
      <c r="C7" s="36">
        <f>'GENERAL ITEMS'!F29</f>
        <v>6055000</v>
      </c>
    </row>
    <row r="8" spans="1:5" s="21" customFormat="1" ht="27.75" x14ac:dyDescent="0.4">
      <c r="A8" s="34">
        <v>2</v>
      </c>
      <c r="B8" s="31" t="s">
        <v>10</v>
      </c>
      <c r="C8" s="37">
        <f>'ALDhaher-Summary '!C13</f>
        <v>12197350.757594567</v>
      </c>
    </row>
    <row r="9" spans="1:5" s="21" customFormat="1" ht="27.75" x14ac:dyDescent="0.4">
      <c r="A9" s="22">
        <v>3</v>
      </c>
      <c r="B9" s="31" t="s">
        <v>452</v>
      </c>
      <c r="C9" s="37">
        <f>'Nahel-Summary '!C13</f>
        <v>14475731.141295474</v>
      </c>
    </row>
    <row r="10" spans="1:5" s="21" customFormat="1" ht="27.75" x14ac:dyDescent="0.4">
      <c r="A10" s="34">
        <v>4</v>
      </c>
      <c r="B10" s="31" t="s">
        <v>11</v>
      </c>
      <c r="C10" s="37">
        <f>'AL SAAD-Summary '!C13</f>
        <v>15821229.883033747</v>
      </c>
    </row>
    <row r="11" spans="1:5" s="21" customFormat="1" ht="27.75" x14ac:dyDescent="0.4">
      <c r="A11" s="22">
        <v>5</v>
      </c>
      <c r="B11" s="31" t="s">
        <v>453</v>
      </c>
      <c r="C11" s="37">
        <f>'SWEIHAN-Summary '!C13</f>
        <v>12532256.7228895</v>
      </c>
    </row>
    <row r="12" spans="1:5" s="21" customFormat="1" ht="27.75" x14ac:dyDescent="0.4">
      <c r="A12" s="22">
        <v>6</v>
      </c>
      <c r="B12" s="31" t="s">
        <v>12</v>
      </c>
      <c r="C12" s="37">
        <f>'DAYWORKS-Bill 06'!F92</f>
        <v>166171.5</v>
      </c>
    </row>
    <row r="13" spans="1:5" s="21" customFormat="1" ht="28.5" customHeight="1" x14ac:dyDescent="0.4">
      <c r="A13" s="261"/>
      <c r="B13" s="259"/>
      <c r="C13" s="260"/>
    </row>
    <row r="14" spans="1:5" s="21" customFormat="1" ht="27.75" x14ac:dyDescent="0.4">
      <c r="A14" s="262"/>
      <c r="B14" s="263" t="s">
        <v>2</v>
      </c>
      <c r="C14" s="258">
        <f>SUM(C7:C12)</f>
        <v>61247740.004813284</v>
      </c>
    </row>
    <row r="15" spans="1:5" s="21" customFormat="1" ht="27.75" x14ac:dyDescent="0.4">
      <c r="A15" s="24"/>
      <c r="B15" s="264" t="s">
        <v>3</v>
      </c>
      <c r="C15" s="37">
        <f>C14*0.05</f>
        <v>3062387.0002406645</v>
      </c>
    </row>
    <row r="16" spans="1:5" s="21" customFormat="1" ht="27.75" x14ac:dyDescent="0.4">
      <c r="A16" s="24"/>
      <c r="B16" s="265" t="s">
        <v>4</v>
      </c>
      <c r="C16" s="38">
        <f>SUM(C14:C15)</f>
        <v>64310127.005053945</v>
      </c>
    </row>
    <row r="17" spans="1:3" s="21" customFormat="1" ht="12" customHeight="1" x14ac:dyDescent="0.4">
      <c r="A17" s="24"/>
      <c r="B17" s="26"/>
      <c r="C17" s="33"/>
    </row>
    <row r="18" spans="1:3" s="21" customFormat="1" ht="12" customHeight="1" x14ac:dyDescent="0.4">
      <c r="A18" s="24"/>
      <c r="B18" s="26"/>
      <c r="C18" s="33"/>
    </row>
    <row r="19" spans="1:3" s="21" customFormat="1" ht="37.5" customHeight="1" x14ac:dyDescent="0.4">
      <c r="A19" s="29"/>
      <c r="B19" s="30" t="s">
        <v>7</v>
      </c>
      <c r="C19" s="257" t="s">
        <v>727</v>
      </c>
    </row>
    <row r="20" spans="1:3" s="21" customFormat="1" ht="37.5" customHeight="1" x14ac:dyDescent="0.4">
      <c r="A20" s="29"/>
      <c r="B20" s="30" t="s">
        <v>8</v>
      </c>
      <c r="C20" s="257" t="s">
        <v>728</v>
      </c>
    </row>
    <row r="21" spans="1:3" s="21" customFormat="1" ht="37.5" customHeight="1" x14ac:dyDescent="0.4">
      <c r="A21" s="29"/>
      <c r="B21" s="30" t="s">
        <v>5</v>
      </c>
      <c r="C21" s="268" t="s">
        <v>729</v>
      </c>
    </row>
    <row r="22" spans="1:3" ht="23.25" x14ac:dyDescent="0.35">
      <c r="A22" s="11"/>
      <c r="B22" s="12"/>
      <c r="C22" s="13"/>
    </row>
    <row r="23" spans="1:3" ht="23.25" x14ac:dyDescent="0.35">
      <c r="A23" s="11"/>
      <c r="B23" s="12"/>
      <c r="C23" s="13"/>
    </row>
  </sheetData>
  <sheetProtection formatCells="0" formatColumns="0" formatRows="0" insertColumns="0" insertRows="0" insertHyperlinks="0" deleteColumns="0" deleteRows="0" sort="0" autoFilter="0" pivotTables="0"/>
  <pageMargins left="0.47244094488188981" right="0.47244094488188981" top="0.74803149606299213" bottom="0.74803149606299213" header="0.31496062992125984" footer="0.31496062992125984"/>
  <pageSetup paperSize="9" scale="64" fitToHeight="0" orientation="landscape" r:id="rId1"/>
  <headerFooter>
    <oddFooter>&amp;C&amp;"Arial,Bold"&amp;16&amp;P/&amp;N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A40A-57AA-4167-A8B7-4B2770191B7F}">
  <dimension ref="A1:DA30"/>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41"/>
    <col min="2" max="2" width="75.28515625" style="39" customWidth="1"/>
    <col min="3" max="3" width="11" style="41" bestFit="1" customWidth="1"/>
    <col min="4" max="4" width="14.28515625" style="41" customWidth="1"/>
    <col min="5" max="5" width="16.5703125" style="58" customWidth="1"/>
    <col min="6" max="6" width="19.5703125" style="58" customWidth="1"/>
    <col min="7" max="7" width="11.85546875" style="42" bestFit="1" customWidth="1"/>
    <col min="8" max="8" width="9.140625" style="42"/>
    <col min="9" max="9" width="17.140625" style="42" customWidth="1"/>
    <col min="10" max="16384" width="9.140625" style="42"/>
  </cols>
  <sheetData>
    <row r="1" spans="1:105" x14ac:dyDescent="0.2">
      <c r="A1" s="39"/>
      <c r="B1" s="40"/>
      <c r="E1" s="42"/>
      <c r="F1" s="42"/>
    </row>
    <row r="2" spans="1:105" x14ac:dyDescent="0.2">
      <c r="A2" s="39"/>
      <c r="B2" s="40"/>
      <c r="E2" s="42"/>
      <c r="F2" s="42"/>
    </row>
    <row r="3" spans="1:105" ht="12" customHeight="1" thickBot="1" x14ac:dyDescent="0.25">
      <c r="A3" s="39"/>
      <c r="B3" s="271"/>
      <c r="C3" s="272"/>
      <c r="E3" s="42"/>
      <c r="F3" s="42"/>
    </row>
    <row r="4" spans="1:105" ht="33.950000000000003" customHeight="1" x14ac:dyDescent="0.2">
      <c r="A4" s="39"/>
      <c r="B4" s="40"/>
      <c r="E4" s="42"/>
      <c r="F4" s="42"/>
    </row>
    <row r="5" spans="1:105" s="46" customFormat="1" ht="15.75" x14ac:dyDescent="0.2">
      <c r="A5" s="43"/>
      <c r="B5" s="44" t="s">
        <v>13</v>
      </c>
      <c r="C5" s="45"/>
      <c r="D5" s="45"/>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row>
    <row r="6" spans="1:105" s="50" customFormat="1" ht="43.5" x14ac:dyDescent="0.2">
      <c r="A6" s="47" t="s">
        <v>14</v>
      </c>
      <c r="B6" s="48" t="s">
        <v>0</v>
      </c>
      <c r="C6" s="47" t="s">
        <v>15</v>
      </c>
      <c r="D6" s="49" t="s">
        <v>16</v>
      </c>
      <c r="E6" s="49" t="s">
        <v>17</v>
      </c>
      <c r="F6" s="49" t="s">
        <v>18</v>
      </c>
    </row>
    <row r="7" spans="1:105" s="53" customFormat="1" ht="15.75" x14ac:dyDescent="0.25">
      <c r="A7" s="47">
        <v>1.01</v>
      </c>
      <c r="B7" s="51" t="s">
        <v>19</v>
      </c>
      <c r="C7" s="47"/>
      <c r="D7" s="47"/>
      <c r="E7" s="47"/>
      <c r="F7" s="52"/>
    </row>
    <row r="8" spans="1:105" ht="75" x14ac:dyDescent="0.2">
      <c r="A8" s="45"/>
      <c r="B8" s="54" t="s">
        <v>20</v>
      </c>
      <c r="C8" s="45" t="s">
        <v>649</v>
      </c>
      <c r="D8" s="55">
        <v>1</v>
      </c>
      <c r="E8" s="121">
        <v>50000</v>
      </c>
      <c r="F8" s="121">
        <f>$D8*E8</f>
        <v>50000</v>
      </c>
    </row>
    <row r="9" spans="1:105" s="53" customFormat="1" ht="15.75" x14ac:dyDescent="0.25">
      <c r="A9" s="47">
        <v>1.02</v>
      </c>
      <c r="B9" s="51" t="s">
        <v>21</v>
      </c>
      <c r="C9" s="47"/>
      <c r="D9" s="52"/>
      <c r="E9" s="122"/>
      <c r="F9" s="122"/>
    </row>
    <row r="10" spans="1:105" ht="45" x14ac:dyDescent="0.2">
      <c r="A10" s="45"/>
      <c r="B10" s="54" t="s">
        <v>22</v>
      </c>
      <c r="C10" s="45" t="s">
        <v>649</v>
      </c>
      <c r="D10" s="55">
        <v>1</v>
      </c>
      <c r="E10" s="121">
        <v>15000</v>
      </c>
      <c r="F10" s="121">
        <f>$D10*E10</f>
        <v>15000</v>
      </c>
    </row>
    <row r="11" spans="1:105" s="53" customFormat="1" ht="15.75" x14ac:dyDescent="0.25">
      <c r="A11" s="47">
        <v>1.03</v>
      </c>
      <c r="B11" s="51" t="s">
        <v>23</v>
      </c>
      <c r="C11" s="47"/>
      <c r="D11" s="52"/>
      <c r="E11" s="122"/>
      <c r="F11" s="122"/>
    </row>
    <row r="12" spans="1:105" ht="75" x14ac:dyDescent="0.2">
      <c r="A12" s="45" t="s">
        <v>24</v>
      </c>
      <c r="B12" s="54" t="s">
        <v>703</v>
      </c>
      <c r="C12" s="45" t="s">
        <v>649</v>
      </c>
      <c r="D12" s="55">
        <v>1</v>
      </c>
      <c r="E12" s="121">
        <v>350000</v>
      </c>
      <c r="F12" s="121">
        <f>$D12*E12</f>
        <v>350000</v>
      </c>
    </row>
    <row r="13" spans="1:105" s="53" customFormat="1" ht="15.75" x14ac:dyDescent="0.25">
      <c r="A13" s="47">
        <v>1.04</v>
      </c>
      <c r="B13" s="51" t="s">
        <v>25</v>
      </c>
      <c r="C13" s="47"/>
      <c r="D13" s="52"/>
      <c r="E13" s="122"/>
      <c r="F13" s="122"/>
    </row>
    <row r="14" spans="1:105" s="53" customFormat="1" ht="90" x14ac:dyDescent="0.25">
      <c r="A14" s="45"/>
      <c r="B14" s="54" t="s">
        <v>704</v>
      </c>
      <c r="C14" s="45"/>
      <c r="D14" s="55"/>
      <c r="E14" s="121"/>
      <c r="F14" s="121"/>
    </row>
    <row r="15" spans="1:105" ht="45" x14ac:dyDescent="0.2">
      <c r="A15" s="45" t="s">
        <v>26</v>
      </c>
      <c r="B15" s="54" t="s">
        <v>723</v>
      </c>
      <c r="C15" s="45" t="s">
        <v>649</v>
      </c>
      <c r="D15" s="55">
        <v>1</v>
      </c>
      <c r="E15" s="121">
        <v>25000</v>
      </c>
      <c r="F15" s="121">
        <f>$D15*E15</f>
        <v>25000</v>
      </c>
    </row>
    <row r="16" spans="1:105" ht="60" x14ac:dyDescent="0.2">
      <c r="A16" s="45" t="s">
        <v>27</v>
      </c>
      <c r="B16" s="54" t="s">
        <v>28</v>
      </c>
      <c r="C16" s="45" t="s">
        <v>649</v>
      </c>
      <c r="D16" s="55">
        <v>1</v>
      </c>
      <c r="E16" s="121">
        <v>25000</v>
      </c>
      <c r="F16" s="121">
        <f>$D16*E16</f>
        <v>25000</v>
      </c>
    </row>
    <row r="17" spans="1:105" ht="60" x14ac:dyDescent="0.2">
      <c r="A17" s="45" t="s">
        <v>29</v>
      </c>
      <c r="B17" s="54" t="s">
        <v>30</v>
      </c>
      <c r="C17" s="45" t="s">
        <v>649</v>
      </c>
      <c r="D17" s="55">
        <v>1</v>
      </c>
      <c r="E17" s="121">
        <v>25000</v>
      </c>
      <c r="F17" s="121">
        <f>$D17*E17</f>
        <v>25000</v>
      </c>
    </row>
    <row r="18" spans="1:105" s="53" customFormat="1" ht="15.75" x14ac:dyDescent="0.25">
      <c r="A18" s="47">
        <v>1.05</v>
      </c>
      <c r="B18" s="51" t="s">
        <v>31</v>
      </c>
      <c r="C18" s="47"/>
      <c r="D18" s="52"/>
      <c r="E18" s="122"/>
      <c r="F18" s="122"/>
    </row>
    <row r="19" spans="1:105" s="53" customFormat="1" ht="75" x14ac:dyDescent="0.25">
      <c r="A19" s="45" t="s">
        <v>32</v>
      </c>
      <c r="B19" s="54" t="s">
        <v>33</v>
      </c>
      <c r="C19" s="45" t="s">
        <v>649</v>
      </c>
      <c r="D19" s="55">
        <v>1</v>
      </c>
      <c r="E19" s="121">
        <v>25000</v>
      </c>
      <c r="F19" s="121">
        <f>$D19*E19</f>
        <v>25000</v>
      </c>
    </row>
    <row r="20" spans="1:105" s="53" customFormat="1" ht="15.75" x14ac:dyDescent="0.25">
      <c r="A20" s="47">
        <v>1.06</v>
      </c>
      <c r="B20" s="51" t="s">
        <v>707</v>
      </c>
      <c r="C20" s="47"/>
      <c r="D20" s="52"/>
      <c r="E20" s="122"/>
      <c r="F20" s="122"/>
    </row>
    <row r="21" spans="1:105" s="53" customFormat="1" ht="45" x14ac:dyDescent="0.25">
      <c r="A21" s="45" t="s">
        <v>34</v>
      </c>
      <c r="B21" s="54" t="s">
        <v>705</v>
      </c>
      <c r="C21" s="45" t="s">
        <v>649</v>
      </c>
      <c r="D21" s="55">
        <v>1</v>
      </c>
      <c r="E21" s="121">
        <v>3200000</v>
      </c>
      <c r="F21" s="121">
        <f t="shared" ref="F21:F22" si="0">$D21*E21</f>
        <v>3200000</v>
      </c>
    </row>
    <row r="22" spans="1:105" ht="30" x14ac:dyDescent="0.2">
      <c r="A22" s="45" t="s">
        <v>35</v>
      </c>
      <c r="B22" s="54" t="s">
        <v>706</v>
      </c>
      <c r="C22" s="45" t="s">
        <v>649</v>
      </c>
      <c r="D22" s="55">
        <v>1</v>
      </c>
      <c r="E22" s="121">
        <v>180000</v>
      </c>
      <c r="F22" s="121">
        <f t="shared" si="0"/>
        <v>180000</v>
      </c>
    </row>
    <row r="23" spans="1:105" s="53" customFormat="1" ht="15.75" x14ac:dyDescent="0.25">
      <c r="A23" s="47">
        <v>1.07</v>
      </c>
      <c r="B23" s="51" t="s">
        <v>36</v>
      </c>
      <c r="C23" s="47"/>
      <c r="D23" s="52"/>
      <c r="E23" s="122"/>
      <c r="F23" s="122"/>
    </row>
    <row r="24" spans="1:105" s="53" customFormat="1" ht="83.45" customHeight="1" x14ac:dyDescent="0.25">
      <c r="A24" s="45" t="s">
        <v>37</v>
      </c>
      <c r="B24" s="54" t="s">
        <v>38</v>
      </c>
      <c r="C24" s="45" t="s">
        <v>649</v>
      </c>
      <c r="D24" s="55">
        <v>1</v>
      </c>
      <c r="E24" s="121">
        <v>2000000</v>
      </c>
      <c r="F24" s="121">
        <f>$D24*E24</f>
        <v>2000000</v>
      </c>
    </row>
    <row r="25" spans="1:105" s="53" customFormat="1" ht="15.75" x14ac:dyDescent="0.25">
      <c r="A25" s="47">
        <v>1.08</v>
      </c>
      <c r="B25" s="51" t="s">
        <v>39</v>
      </c>
      <c r="C25" s="47"/>
      <c r="D25" s="52"/>
      <c r="E25" s="122"/>
      <c r="F25" s="122"/>
    </row>
    <row r="26" spans="1:105" s="53" customFormat="1" ht="65.45" customHeight="1" x14ac:dyDescent="0.25">
      <c r="A26" s="45" t="s">
        <v>40</v>
      </c>
      <c r="B26" s="54" t="s">
        <v>41</v>
      </c>
      <c r="C26" s="45" t="s">
        <v>649</v>
      </c>
      <c r="D26" s="55">
        <v>1</v>
      </c>
      <c r="E26" s="121">
        <v>120000</v>
      </c>
      <c r="F26" s="121">
        <f>$D26*E26</f>
        <v>120000</v>
      </c>
    </row>
    <row r="27" spans="1:105" s="53" customFormat="1" ht="15.75" x14ac:dyDescent="0.25">
      <c r="A27" s="47">
        <v>1.0900000000000001</v>
      </c>
      <c r="B27" s="51" t="s">
        <v>42</v>
      </c>
      <c r="C27" s="47"/>
      <c r="D27" s="52"/>
      <c r="E27" s="122"/>
      <c r="F27" s="122"/>
    </row>
    <row r="28" spans="1:105" s="53" customFormat="1" ht="88.9" customHeight="1" x14ac:dyDescent="0.25">
      <c r="A28" s="45" t="s">
        <v>43</v>
      </c>
      <c r="B28" s="54" t="s">
        <v>698</v>
      </c>
      <c r="C28" s="45" t="s">
        <v>649</v>
      </c>
      <c r="D28" s="55">
        <v>1</v>
      </c>
      <c r="E28" s="121">
        <v>40000</v>
      </c>
      <c r="F28" s="121">
        <f>$D28*E28</f>
        <v>40000</v>
      </c>
    </row>
    <row r="29" spans="1:105" s="46" customFormat="1" ht="15.75" x14ac:dyDescent="0.25">
      <c r="B29" s="49" t="s">
        <v>44</v>
      </c>
      <c r="C29" s="43"/>
      <c r="D29" s="56"/>
      <c r="E29" s="55"/>
      <c r="F29" s="52">
        <f>SUM(F8:F28)</f>
        <v>6055000</v>
      </c>
      <c r="G29" s="57"/>
      <c r="H29" s="42"/>
      <c r="I29" s="53"/>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row>
    <row r="30" spans="1:105" x14ac:dyDescent="0.2">
      <c r="D30" s="249"/>
      <c r="E30" s="249"/>
    </row>
  </sheetData>
  <sheetProtection formatCells="0" formatColumns="0" formatRows="0" insertColumns="0" insertRows="0" insertHyperlinks="0" deleteColumns="0" deleteRows="0" sort="0" autoFilter="0" pivotTables="0"/>
  <protectedRanges>
    <protectedRange sqref="E29:F29" name="Range1"/>
    <protectedRange sqref="E14" name="Range1_2_1"/>
    <protectedRange sqref="E18" name="Range1_7_1"/>
    <protectedRange sqref="E25" name="Range1_9_1"/>
    <protectedRange sqref="E9 E11" name="Range1_2_1_1"/>
    <protectedRange sqref="E8" name="Range1_1_1_1_1_1_1_1"/>
    <protectedRange sqref="E10" name="Range1_2_1_1_1_1_1"/>
    <protectedRange sqref="E12" name="Range1_3_1_1_1_1_2"/>
    <protectedRange sqref="E15:E17" name="Range1_3_1_1_1_1_1_1"/>
    <protectedRange sqref="E21" name="Range1_2_1_2"/>
    <protectedRange sqref="E20" name="Range1_7_1_1_1"/>
    <protectedRange sqref="E22:E23" name="Range1_8_1_1"/>
    <protectedRange sqref="E19" name="Range1_5_1_3_1_1_1_1"/>
    <protectedRange sqref="E24" name="Range1_9_1_1_1_1_1"/>
    <protectedRange sqref="E27" name="Range1_10_1_1_1"/>
    <protectedRange sqref="E26" name="Range1_10_1_1_1_1_1"/>
    <protectedRange sqref="E28" name="Range1_11_1_1_1_1_1"/>
  </protectedRanges>
  <autoFilter ref="A6:F29" xr:uid="{4710B2D5-0190-4FB1-8A31-5DC07DF3B655}"/>
  <pageMargins left="0.47244094488188981" right="0.47244094488188981" top="0.74803149606299213" bottom="0.74803149606299213" header="0.31496062992125984" footer="0.31496062992125984"/>
  <pageSetup paperSize="9" scale="95" fitToHeight="0" orientation="landscape" r:id="rId1"/>
  <headerFooter>
    <oddFooter>&amp;C&amp;"Arial,Bold"&amp;16&amp;P/&amp;N</oddFooter>
  </headerFooter>
  <rowBreaks count="3" manualBreakCount="3">
    <brk id="12" max="5" man="1"/>
    <brk id="17" max="5" man="1"/>
    <brk id="24"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2670-78F3-47FC-8411-C5D25A9934EB}">
  <dimension ref="A1:X22"/>
  <sheetViews>
    <sheetView view="pageBreakPreview" topLeftCell="B1" zoomScale="55" zoomScaleNormal="100" zoomScaleSheetLayoutView="55" workbookViewId="0">
      <selection activeCell="C19" sqref="C19:C20"/>
    </sheetView>
  </sheetViews>
  <sheetFormatPr defaultRowHeight="15.75" x14ac:dyDescent="0.25"/>
  <cols>
    <col min="1" max="1" width="17.28515625" style="62" customWidth="1"/>
    <col min="2" max="2" width="101.140625" style="84" customWidth="1"/>
    <col min="3" max="3" width="106.5703125" style="85" customWidth="1"/>
    <col min="4" max="6" width="8.85546875" style="65"/>
    <col min="7" max="7" width="48.140625" style="65" customWidth="1"/>
    <col min="8" max="8" width="49.42578125" style="65" customWidth="1"/>
    <col min="9" max="255" width="8.85546875" style="65"/>
    <col min="256" max="256" width="11.7109375" style="65" customWidth="1"/>
    <col min="257" max="257" width="87" style="65" customWidth="1"/>
    <col min="258" max="258" width="70.5703125" style="65" customWidth="1"/>
    <col min="259" max="259" width="70.7109375" style="65" customWidth="1"/>
    <col min="260" max="511" width="8.85546875" style="65"/>
    <col min="512" max="512" width="11.7109375" style="65" customWidth="1"/>
    <col min="513" max="513" width="87" style="65" customWidth="1"/>
    <col min="514" max="514" width="70.5703125" style="65" customWidth="1"/>
    <col min="515" max="515" width="70.7109375" style="65" customWidth="1"/>
    <col min="516" max="767" width="8.85546875" style="65"/>
    <col min="768" max="768" width="11.7109375" style="65" customWidth="1"/>
    <col min="769" max="769" width="87" style="65" customWidth="1"/>
    <col min="770" max="770" width="70.5703125" style="65" customWidth="1"/>
    <col min="771" max="771" width="70.7109375" style="65" customWidth="1"/>
    <col min="772" max="1023" width="8.85546875" style="65"/>
    <col min="1024" max="1024" width="11.7109375" style="65" customWidth="1"/>
    <col min="1025" max="1025" width="87" style="65" customWidth="1"/>
    <col min="1026" max="1026" width="70.5703125" style="65" customWidth="1"/>
    <col min="1027" max="1027" width="70.7109375" style="65" customWidth="1"/>
    <col min="1028" max="1279" width="8.85546875" style="65"/>
    <col min="1280" max="1280" width="11.7109375" style="65" customWidth="1"/>
    <col min="1281" max="1281" width="87" style="65" customWidth="1"/>
    <col min="1282" max="1282" width="70.5703125" style="65" customWidth="1"/>
    <col min="1283" max="1283" width="70.7109375" style="65" customWidth="1"/>
    <col min="1284" max="1535" width="8.85546875" style="65"/>
    <col min="1536" max="1536" width="11.7109375" style="65" customWidth="1"/>
    <col min="1537" max="1537" width="87" style="65" customWidth="1"/>
    <col min="1538" max="1538" width="70.5703125" style="65" customWidth="1"/>
    <col min="1539" max="1539" width="70.7109375" style="65" customWidth="1"/>
    <col min="1540" max="1791" width="8.85546875" style="65"/>
    <col min="1792" max="1792" width="11.7109375" style="65" customWidth="1"/>
    <col min="1793" max="1793" width="87" style="65" customWidth="1"/>
    <col min="1794" max="1794" width="70.5703125" style="65" customWidth="1"/>
    <col min="1795" max="1795" width="70.7109375" style="65" customWidth="1"/>
    <col min="1796" max="2047" width="8.85546875" style="65"/>
    <col min="2048" max="2048" width="11.7109375" style="65" customWidth="1"/>
    <col min="2049" max="2049" width="87" style="65" customWidth="1"/>
    <col min="2050" max="2050" width="70.5703125" style="65" customWidth="1"/>
    <col min="2051" max="2051" width="70.7109375" style="65" customWidth="1"/>
    <col min="2052" max="2303" width="8.85546875" style="65"/>
    <col min="2304" max="2304" width="11.7109375" style="65" customWidth="1"/>
    <col min="2305" max="2305" width="87" style="65" customWidth="1"/>
    <col min="2306" max="2306" width="70.5703125" style="65" customWidth="1"/>
    <col min="2307" max="2307" width="70.7109375" style="65" customWidth="1"/>
    <col min="2308" max="2559" width="8.85546875" style="65"/>
    <col min="2560" max="2560" width="11.7109375" style="65" customWidth="1"/>
    <col min="2561" max="2561" width="87" style="65" customWidth="1"/>
    <col min="2562" max="2562" width="70.5703125" style="65" customWidth="1"/>
    <col min="2563" max="2563" width="70.7109375" style="65" customWidth="1"/>
    <col min="2564" max="2815" width="8.85546875" style="65"/>
    <col min="2816" max="2816" width="11.7109375" style="65" customWidth="1"/>
    <col min="2817" max="2817" width="87" style="65" customWidth="1"/>
    <col min="2818" max="2818" width="70.5703125" style="65" customWidth="1"/>
    <col min="2819" max="2819" width="70.7109375" style="65" customWidth="1"/>
    <col min="2820" max="3071" width="8.85546875" style="65"/>
    <col min="3072" max="3072" width="11.7109375" style="65" customWidth="1"/>
    <col min="3073" max="3073" width="87" style="65" customWidth="1"/>
    <col min="3074" max="3074" width="70.5703125" style="65" customWidth="1"/>
    <col min="3075" max="3075" width="70.7109375" style="65" customWidth="1"/>
    <col min="3076" max="3327" width="8.85546875" style="65"/>
    <col min="3328" max="3328" width="11.7109375" style="65" customWidth="1"/>
    <col min="3329" max="3329" width="87" style="65" customWidth="1"/>
    <col min="3330" max="3330" width="70.5703125" style="65" customWidth="1"/>
    <col min="3331" max="3331" width="70.7109375" style="65" customWidth="1"/>
    <col min="3332" max="3583" width="8.85546875" style="65"/>
    <col min="3584" max="3584" width="11.7109375" style="65" customWidth="1"/>
    <col min="3585" max="3585" width="87" style="65" customWidth="1"/>
    <col min="3586" max="3586" width="70.5703125" style="65" customWidth="1"/>
    <col min="3587" max="3587" width="70.7109375" style="65" customWidth="1"/>
    <col min="3588" max="3839" width="8.85546875" style="65"/>
    <col min="3840" max="3840" width="11.7109375" style="65" customWidth="1"/>
    <col min="3841" max="3841" width="87" style="65" customWidth="1"/>
    <col min="3842" max="3842" width="70.5703125" style="65" customWidth="1"/>
    <col min="3843" max="3843" width="70.7109375" style="65" customWidth="1"/>
    <col min="3844" max="4095" width="8.85546875" style="65"/>
    <col min="4096" max="4096" width="11.7109375" style="65" customWidth="1"/>
    <col min="4097" max="4097" width="87" style="65" customWidth="1"/>
    <col min="4098" max="4098" width="70.5703125" style="65" customWidth="1"/>
    <col min="4099" max="4099" width="70.7109375" style="65" customWidth="1"/>
    <col min="4100" max="4351" width="8.85546875" style="65"/>
    <col min="4352" max="4352" width="11.7109375" style="65" customWidth="1"/>
    <col min="4353" max="4353" width="87" style="65" customWidth="1"/>
    <col min="4354" max="4354" width="70.5703125" style="65" customWidth="1"/>
    <col min="4355" max="4355" width="70.7109375" style="65" customWidth="1"/>
    <col min="4356" max="4607" width="8.85546875" style="65"/>
    <col min="4608" max="4608" width="11.7109375" style="65" customWidth="1"/>
    <col min="4609" max="4609" width="87" style="65" customWidth="1"/>
    <col min="4610" max="4610" width="70.5703125" style="65" customWidth="1"/>
    <col min="4611" max="4611" width="70.7109375" style="65" customWidth="1"/>
    <col min="4612" max="4863" width="8.85546875" style="65"/>
    <col min="4864" max="4864" width="11.7109375" style="65" customWidth="1"/>
    <col min="4865" max="4865" width="87" style="65" customWidth="1"/>
    <col min="4866" max="4866" width="70.5703125" style="65" customWidth="1"/>
    <col min="4867" max="4867" width="70.7109375" style="65" customWidth="1"/>
    <col min="4868" max="5119" width="8.85546875" style="65"/>
    <col min="5120" max="5120" width="11.7109375" style="65" customWidth="1"/>
    <col min="5121" max="5121" width="87" style="65" customWidth="1"/>
    <col min="5122" max="5122" width="70.5703125" style="65" customWidth="1"/>
    <col min="5123" max="5123" width="70.7109375" style="65" customWidth="1"/>
    <col min="5124" max="5375" width="8.85546875" style="65"/>
    <col min="5376" max="5376" width="11.7109375" style="65" customWidth="1"/>
    <col min="5377" max="5377" width="87" style="65" customWidth="1"/>
    <col min="5378" max="5378" width="70.5703125" style="65" customWidth="1"/>
    <col min="5379" max="5379" width="70.7109375" style="65" customWidth="1"/>
    <col min="5380" max="5631" width="8.85546875" style="65"/>
    <col min="5632" max="5632" width="11.7109375" style="65" customWidth="1"/>
    <col min="5633" max="5633" width="87" style="65" customWidth="1"/>
    <col min="5634" max="5634" width="70.5703125" style="65" customWidth="1"/>
    <col min="5635" max="5635" width="70.7109375" style="65" customWidth="1"/>
    <col min="5636" max="5887" width="8.85546875" style="65"/>
    <col min="5888" max="5888" width="11.7109375" style="65" customWidth="1"/>
    <col min="5889" max="5889" width="87" style="65" customWidth="1"/>
    <col min="5890" max="5890" width="70.5703125" style="65" customWidth="1"/>
    <col min="5891" max="5891" width="70.7109375" style="65" customWidth="1"/>
    <col min="5892" max="6143" width="8.85546875" style="65"/>
    <col min="6144" max="6144" width="11.7109375" style="65" customWidth="1"/>
    <col min="6145" max="6145" width="87" style="65" customWidth="1"/>
    <col min="6146" max="6146" width="70.5703125" style="65" customWidth="1"/>
    <col min="6147" max="6147" width="70.7109375" style="65" customWidth="1"/>
    <col min="6148" max="6399" width="8.85546875" style="65"/>
    <col min="6400" max="6400" width="11.7109375" style="65" customWidth="1"/>
    <col min="6401" max="6401" width="87" style="65" customWidth="1"/>
    <col min="6402" max="6402" width="70.5703125" style="65" customWidth="1"/>
    <col min="6403" max="6403" width="70.7109375" style="65" customWidth="1"/>
    <col min="6404" max="6655" width="8.85546875" style="65"/>
    <col min="6656" max="6656" width="11.7109375" style="65" customWidth="1"/>
    <col min="6657" max="6657" width="87" style="65" customWidth="1"/>
    <col min="6658" max="6658" width="70.5703125" style="65" customWidth="1"/>
    <col min="6659" max="6659" width="70.7109375" style="65" customWidth="1"/>
    <col min="6660" max="6911" width="8.85546875" style="65"/>
    <col min="6912" max="6912" width="11.7109375" style="65" customWidth="1"/>
    <col min="6913" max="6913" width="87" style="65" customWidth="1"/>
    <col min="6914" max="6914" width="70.5703125" style="65" customWidth="1"/>
    <col min="6915" max="6915" width="70.7109375" style="65" customWidth="1"/>
    <col min="6916" max="7167" width="8.85546875" style="65"/>
    <col min="7168" max="7168" width="11.7109375" style="65" customWidth="1"/>
    <col min="7169" max="7169" width="87" style="65" customWidth="1"/>
    <col min="7170" max="7170" width="70.5703125" style="65" customWidth="1"/>
    <col min="7171" max="7171" width="70.7109375" style="65" customWidth="1"/>
    <col min="7172" max="7423" width="8.85546875" style="65"/>
    <col min="7424" max="7424" width="11.7109375" style="65" customWidth="1"/>
    <col min="7425" max="7425" width="87" style="65" customWidth="1"/>
    <col min="7426" max="7426" width="70.5703125" style="65" customWidth="1"/>
    <col min="7427" max="7427" width="70.7109375" style="65" customWidth="1"/>
    <col min="7428" max="7679" width="8.85546875" style="65"/>
    <col min="7680" max="7680" width="11.7109375" style="65" customWidth="1"/>
    <col min="7681" max="7681" width="87" style="65" customWidth="1"/>
    <col min="7682" max="7682" width="70.5703125" style="65" customWidth="1"/>
    <col min="7683" max="7683" width="70.7109375" style="65" customWidth="1"/>
    <col min="7684" max="7935" width="8.85546875" style="65"/>
    <col min="7936" max="7936" width="11.7109375" style="65" customWidth="1"/>
    <col min="7937" max="7937" width="87" style="65" customWidth="1"/>
    <col min="7938" max="7938" width="70.5703125" style="65" customWidth="1"/>
    <col min="7939" max="7939" width="70.7109375" style="65" customWidth="1"/>
    <col min="7940" max="8191" width="8.85546875" style="65"/>
    <col min="8192" max="8192" width="11.7109375" style="65" customWidth="1"/>
    <col min="8193" max="8193" width="87" style="65" customWidth="1"/>
    <col min="8194" max="8194" width="70.5703125" style="65" customWidth="1"/>
    <col min="8195" max="8195" width="70.7109375" style="65" customWidth="1"/>
    <col min="8196" max="8447" width="8.85546875" style="65"/>
    <col min="8448" max="8448" width="11.7109375" style="65" customWidth="1"/>
    <col min="8449" max="8449" width="87" style="65" customWidth="1"/>
    <col min="8450" max="8450" width="70.5703125" style="65" customWidth="1"/>
    <col min="8451" max="8451" width="70.7109375" style="65" customWidth="1"/>
    <col min="8452" max="8703" width="8.85546875" style="65"/>
    <col min="8704" max="8704" width="11.7109375" style="65" customWidth="1"/>
    <col min="8705" max="8705" width="87" style="65" customWidth="1"/>
    <col min="8706" max="8706" width="70.5703125" style="65" customWidth="1"/>
    <col min="8707" max="8707" width="70.7109375" style="65" customWidth="1"/>
    <col min="8708" max="8959" width="8.85546875" style="65"/>
    <col min="8960" max="8960" width="11.7109375" style="65" customWidth="1"/>
    <col min="8961" max="8961" width="87" style="65" customWidth="1"/>
    <col min="8962" max="8962" width="70.5703125" style="65" customWidth="1"/>
    <col min="8963" max="8963" width="70.7109375" style="65" customWidth="1"/>
    <col min="8964" max="9215" width="8.85546875" style="65"/>
    <col min="9216" max="9216" width="11.7109375" style="65" customWidth="1"/>
    <col min="9217" max="9217" width="87" style="65" customWidth="1"/>
    <col min="9218" max="9218" width="70.5703125" style="65" customWidth="1"/>
    <col min="9219" max="9219" width="70.7109375" style="65" customWidth="1"/>
    <col min="9220" max="9471" width="8.85546875" style="65"/>
    <col min="9472" max="9472" width="11.7109375" style="65" customWidth="1"/>
    <col min="9473" max="9473" width="87" style="65" customWidth="1"/>
    <col min="9474" max="9474" width="70.5703125" style="65" customWidth="1"/>
    <col min="9475" max="9475" width="70.7109375" style="65" customWidth="1"/>
    <col min="9476" max="9727" width="8.85546875" style="65"/>
    <col min="9728" max="9728" width="11.7109375" style="65" customWidth="1"/>
    <col min="9729" max="9729" width="87" style="65" customWidth="1"/>
    <col min="9730" max="9730" width="70.5703125" style="65" customWidth="1"/>
    <col min="9731" max="9731" width="70.7109375" style="65" customWidth="1"/>
    <col min="9732" max="9983" width="8.85546875" style="65"/>
    <col min="9984" max="9984" width="11.7109375" style="65" customWidth="1"/>
    <col min="9985" max="9985" width="87" style="65" customWidth="1"/>
    <col min="9986" max="9986" width="70.5703125" style="65" customWidth="1"/>
    <col min="9987" max="9987" width="70.7109375" style="65" customWidth="1"/>
    <col min="9988" max="10239" width="8.85546875" style="65"/>
    <col min="10240" max="10240" width="11.7109375" style="65" customWidth="1"/>
    <col min="10241" max="10241" width="87" style="65" customWidth="1"/>
    <col min="10242" max="10242" width="70.5703125" style="65" customWidth="1"/>
    <col min="10243" max="10243" width="70.7109375" style="65" customWidth="1"/>
    <col min="10244" max="10495" width="8.85546875" style="65"/>
    <col min="10496" max="10496" width="11.7109375" style="65" customWidth="1"/>
    <col min="10497" max="10497" width="87" style="65" customWidth="1"/>
    <col min="10498" max="10498" width="70.5703125" style="65" customWidth="1"/>
    <col min="10499" max="10499" width="70.7109375" style="65" customWidth="1"/>
    <col min="10500" max="10751" width="8.85546875" style="65"/>
    <col min="10752" max="10752" width="11.7109375" style="65" customWidth="1"/>
    <col min="10753" max="10753" width="87" style="65" customWidth="1"/>
    <col min="10754" max="10754" width="70.5703125" style="65" customWidth="1"/>
    <col min="10755" max="10755" width="70.7109375" style="65" customWidth="1"/>
    <col min="10756" max="11007" width="8.85546875" style="65"/>
    <col min="11008" max="11008" width="11.7109375" style="65" customWidth="1"/>
    <col min="11009" max="11009" width="87" style="65" customWidth="1"/>
    <col min="11010" max="11010" width="70.5703125" style="65" customWidth="1"/>
    <col min="11011" max="11011" width="70.7109375" style="65" customWidth="1"/>
    <col min="11012" max="11263" width="8.85546875" style="65"/>
    <col min="11264" max="11264" width="11.7109375" style="65" customWidth="1"/>
    <col min="11265" max="11265" width="87" style="65" customWidth="1"/>
    <col min="11266" max="11266" width="70.5703125" style="65" customWidth="1"/>
    <col min="11267" max="11267" width="70.7109375" style="65" customWidth="1"/>
    <col min="11268" max="11519" width="8.85546875" style="65"/>
    <col min="11520" max="11520" width="11.7109375" style="65" customWidth="1"/>
    <col min="11521" max="11521" width="87" style="65" customWidth="1"/>
    <col min="11522" max="11522" width="70.5703125" style="65" customWidth="1"/>
    <col min="11523" max="11523" width="70.7109375" style="65" customWidth="1"/>
    <col min="11524" max="11775" width="8.85546875" style="65"/>
    <col min="11776" max="11776" width="11.7109375" style="65" customWidth="1"/>
    <col min="11777" max="11777" width="87" style="65" customWidth="1"/>
    <col min="11778" max="11778" width="70.5703125" style="65" customWidth="1"/>
    <col min="11779" max="11779" width="70.7109375" style="65" customWidth="1"/>
    <col min="11780" max="12031" width="8.85546875" style="65"/>
    <col min="12032" max="12032" width="11.7109375" style="65" customWidth="1"/>
    <col min="12033" max="12033" width="87" style="65" customWidth="1"/>
    <col min="12034" max="12034" width="70.5703125" style="65" customWidth="1"/>
    <col min="12035" max="12035" width="70.7109375" style="65" customWidth="1"/>
    <col min="12036" max="12287" width="8.85546875" style="65"/>
    <col min="12288" max="12288" width="11.7109375" style="65" customWidth="1"/>
    <col min="12289" max="12289" width="87" style="65" customWidth="1"/>
    <col min="12290" max="12290" width="70.5703125" style="65" customWidth="1"/>
    <col min="12291" max="12291" width="70.7109375" style="65" customWidth="1"/>
    <col min="12292" max="12543" width="8.85546875" style="65"/>
    <col min="12544" max="12544" width="11.7109375" style="65" customWidth="1"/>
    <col min="12545" max="12545" width="87" style="65" customWidth="1"/>
    <col min="12546" max="12546" width="70.5703125" style="65" customWidth="1"/>
    <col min="12547" max="12547" width="70.7109375" style="65" customWidth="1"/>
    <col min="12548" max="12799" width="8.85546875" style="65"/>
    <col min="12800" max="12800" width="11.7109375" style="65" customWidth="1"/>
    <col min="12801" max="12801" width="87" style="65" customWidth="1"/>
    <col min="12802" max="12802" width="70.5703125" style="65" customWidth="1"/>
    <col min="12803" max="12803" width="70.7109375" style="65" customWidth="1"/>
    <col min="12804" max="13055" width="8.85546875" style="65"/>
    <col min="13056" max="13056" width="11.7109375" style="65" customWidth="1"/>
    <col min="13057" max="13057" width="87" style="65" customWidth="1"/>
    <col min="13058" max="13058" width="70.5703125" style="65" customWidth="1"/>
    <col min="13059" max="13059" width="70.7109375" style="65" customWidth="1"/>
    <col min="13060" max="13311" width="8.85546875" style="65"/>
    <col min="13312" max="13312" width="11.7109375" style="65" customWidth="1"/>
    <col min="13313" max="13313" width="87" style="65" customWidth="1"/>
    <col min="13314" max="13314" width="70.5703125" style="65" customWidth="1"/>
    <col min="13315" max="13315" width="70.7109375" style="65" customWidth="1"/>
    <col min="13316" max="13567" width="8.85546875" style="65"/>
    <col min="13568" max="13568" width="11.7109375" style="65" customWidth="1"/>
    <col min="13569" max="13569" width="87" style="65" customWidth="1"/>
    <col min="13570" max="13570" width="70.5703125" style="65" customWidth="1"/>
    <col min="13571" max="13571" width="70.7109375" style="65" customWidth="1"/>
    <col min="13572" max="13823" width="8.85546875" style="65"/>
    <col min="13824" max="13824" width="11.7109375" style="65" customWidth="1"/>
    <col min="13825" max="13825" width="87" style="65" customWidth="1"/>
    <col min="13826" max="13826" width="70.5703125" style="65" customWidth="1"/>
    <col min="13827" max="13827" width="70.7109375" style="65" customWidth="1"/>
    <col min="13828" max="14079" width="8.85546875" style="65"/>
    <col min="14080" max="14080" width="11.7109375" style="65" customWidth="1"/>
    <col min="14081" max="14081" width="87" style="65" customWidth="1"/>
    <col min="14082" max="14082" width="70.5703125" style="65" customWidth="1"/>
    <col min="14083" max="14083" width="70.7109375" style="65" customWidth="1"/>
    <col min="14084" max="14335" width="8.85546875" style="65"/>
    <col min="14336" max="14336" width="11.7109375" style="65" customWidth="1"/>
    <col min="14337" max="14337" width="87" style="65" customWidth="1"/>
    <col min="14338" max="14338" width="70.5703125" style="65" customWidth="1"/>
    <col min="14339" max="14339" width="70.7109375" style="65" customWidth="1"/>
    <col min="14340" max="14591" width="8.85546875" style="65"/>
    <col min="14592" max="14592" width="11.7109375" style="65" customWidth="1"/>
    <col min="14593" max="14593" width="87" style="65" customWidth="1"/>
    <col min="14594" max="14594" width="70.5703125" style="65" customWidth="1"/>
    <col min="14595" max="14595" width="70.7109375" style="65" customWidth="1"/>
    <col min="14596" max="14847" width="8.85546875" style="65"/>
    <col min="14848" max="14848" width="11.7109375" style="65" customWidth="1"/>
    <col min="14849" max="14849" width="87" style="65" customWidth="1"/>
    <col min="14850" max="14850" width="70.5703125" style="65" customWidth="1"/>
    <col min="14851" max="14851" width="70.7109375" style="65" customWidth="1"/>
    <col min="14852" max="15103" width="8.85546875" style="65"/>
    <col min="15104" max="15104" width="11.7109375" style="65" customWidth="1"/>
    <col min="15105" max="15105" width="87" style="65" customWidth="1"/>
    <col min="15106" max="15106" width="70.5703125" style="65" customWidth="1"/>
    <col min="15107" max="15107" width="70.7109375" style="65" customWidth="1"/>
    <col min="15108" max="15359" width="8.85546875" style="65"/>
    <col min="15360" max="15360" width="11.7109375" style="65" customWidth="1"/>
    <col min="15361" max="15361" width="87" style="65" customWidth="1"/>
    <col min="15362" max="15362" width="70.5703125" style="65" customWidth="1"/>
    <col min="15363" max="15363" width="70.7109375" style="65" customWidth="1"/>
    <col min="15364" max="15615" width="8.85546875" style="65"/>
    <col min="15616" max="15616" width="11.7109375" style="65" customWidth="1"/>
    <col min="15617" max="15617" width="87" style="65" customWidth="1"/>
    <col min="15618" max="15618" width="70.5703125" style="65" customWidth="1"/>
    <col min="15619" max="15619" width="70.7109375" style="65" customWidth="1"/>
    <col min="15620" max="15871" width="8.85546875" style="65"/>
    <col min="15872" max="15872" width="11.7109375" style="65" customWidth="1"/>
    <col min="15873" max="15873" width="87" style="65" customWidth="1"/>
    <col min="15874" max="15874" width="70.5703125" style="65" customWidth="1"/>
    <col min="15875" max="15875" width="70.7109375" style="65" customWidth="1"/>
    <col min="15876" max="16127" width="8.85546875" style="65"/>
    <col min="16128" max="16128" width="11.7109375" style="65" customWidth="1"/>
    <col min="16129" max="16129" width="87" style="65" customWidth="1"/>
    <col min="16130" max="16130" width="70.5703125" style="65" customWidth="1"/>
    <col min="16131" max="16131" width="70.7109375" style="65" customWidth="1"/>
    <col min="16132" max="16384" width="8.85546875" style="65"/>
  </cols>
  <sheetData>
    <row r="1" spans="1:24" s="62" customFormat="1" ht="20.100000000000001" customHeight="1" x14ac:dyDescent="0.2">
      <c r="A1" s="59"/>
      <c r="B1" s="60"/>
      <c r="C1" s="61"/>
    </row>
    <row r="2" spans="1:24" s="62" customFormat="1" ht="20.100000000000001" customHeight="1" x14ac:dyDescent="0.2">
      <c r="A2" s="59"/>
      <c r="B2" s="60"/>
      <c r="C2" s="61"/>
    </row>
    <row r="3" spans="1:24" s="66" customFormat="1" ht="108.75" customHeight="1" thickBot="1" x14ac:dyDescent="0.3">
      <c r="A3" s="63"/>
      <c r="B3" s="63"/>
      <c r="C3" s="64"/>
      <c r="D3" s="65"/>
      <c r="E3" s="65"/>
      <c r="F3" s="65"/>
      <c r="G3" s="65"/>
      <c r="H3" s="65"/>
      <c r="I3" s="65"/>
      <c r="J3" s="65"/>
      <c r="K3" s="65"/>
      <c r="L3" s="65"/>
      <c r="M3" s="65"/>
      <c r="N3" s="65"/>
      <c r="O3" s="65"/>
      <c r="P3" s="65"/>
      <c r="Q3" s="65"/>
      <c r="R3" s="65"/>
      <c r="S3" s="65"/>
      <c r="T3" s="65"/>
      <c r="U3" s="65"/>
      <c r="V3" s="65"/>
      <c r="W3" s="65"/>
      <c r="X3" s="65"/>
    </row>
    <row r="4" spans="1:24" ht="14.25" customHeight="1" x14ac:dyDescent="0.25">
      <c r="A4" s="67"/>
      <c r="B4" s="67"/>
      <c r="C4" s="68"/>
    </row>
    <row r="5" spans="1:24" s="72" customFormat="1" ht="32.25" customHeight="1" x14ac:dyDescent="0.45">
      <c r="A5" s="69"/>
      <c r="B5" s="70" t="s">
        <v>45</v>
      </c>
      <c r="C5" s="71"/>
    </row>
    <row r="6" spans="1:24" s="73" customFormat="1" ht="42.75" customHeight="1" x14ac:dyDescent="0.4">
      <c r="A6" s="20" t="s">
        <v>6</v>
      </c>
      <c r="B6" s="20" t="s">
        <v>0</v>
      </c>
      <c r="C6" s="32" t="s">
        <v>1</v>
      </c>
    </row>
    <row r="7" spans="1:24" s="73" customFormat="1" ht="27.75" x14ac:dyDescent="0.4">
      <c r="A7" s="74">
        <v>1</v>
      </c>
      <c r="B7" s="31" t="s">
        <v>46</v>
      </c>
      <c r="C7" s="110">
        <f>'AL Dhaher Bill 01'!F47</f>
        <v>673272.09048037196</v>
      </c>
      <c r="G7" s="75"/>
    </row>
    <row r="8" spans="1:24" s="73" customFormat="1" ht="27.75" x14ac:dyDescent="0.4">
      <c r="A8" s="34">
        <v>2</v>
      </c>
      <c r="B8" s="31" t="s">
        <v>47</v>
      </c>
      <c r="C8" s="110">
        <f>'AL Dhaher-Bill 02'!F121</f>
        <v>3543338.7589698597</v>
      </c>
      <c r="E8" s="73" t="s">
        <v>48</v>
      </c>
      <c r="G8" s="75"/>
    </row>
    <row r="9" spans="1:24" s="73" customFormat="1" ht="27.75" x14ac:dyDescent="0.4">
      <c r="A9" s="74">
        <v>3</v>
      </c>
      <c r="B9" s="31" t="s">
        <v>49</v>
      </c>
      <c r="C9" s="110">
        <f>'AL Dhaher-Bill 03'!F82</f>
        <v>2504427.0782171553</v>
      </c>
      <c r="G9" s="75"/>
    </row>
    <row r="10" spans="1:24" s="73" customFormat="1" ht="27.75" x14ac:dyDescent="0.4">
      <c r="A10" s="34">
        <v>4</v>
      </c>
      <c r="B10" s="31" t="s">
        <v>50</v>
      </c>
      <c r="C10" s="110">
        <f>'AL Dhaher-Bill 04'!F48</f>
        <v>380969.59462285752</v>
      </c>
    </row>
    <row r="11" spans="1:24" s="73" customFormat="1" ht="27.75" x14ac:dyDescent="0.4">
      <c r="A11" s="74">
        <v>5</v>
      </c>
      <c r="B11" s="31" t="s">
        <v>51</v>
      </c>
      <c r="C11" s="110">
        <f>'AL Dhaher-Bill 05'!F41</f>
        <v>5095343.2353043221</v>
      </c>
      <c r="G11" s="75"/>
    </row>
    <row r="12" spans="1:24" s="73" customFormat="1" ht="28.5" customHeight="1" x14ac:dyDescent="0.4">
      <c r="A12" s="76"/>
      <c r="B12" s="77"/>
      <c r="C12" s="111"/>
    </row>
    <row r="13" spans="1:24" s="73" customFormat="1" ht="27.75" x14ac:dyDescent="0.4">
      <c r="A13" s="76"/>
      <c r="B13" s="25" t="s">
        <v>2</v>
      </c>
      <c r="C13" s="111">
        <f>SUM(C7:C11)</f>
        <v>12197350.757594567</v>
      </c>
      <c r="D13" s="26"/>
      <c r="E13" s="26"/>
      <c r="F13" s="26"/>
      <c r="G13" s="78"/>
      <c r="H13" s="79"/>
    </row>
    <row r="14" spans="1:24" s="73" customFormat="1" ht="27.75" x14ac:dyDescent="0.4">
      <c r="A14" s="76"/>
      <c r="B14" s="27" t="s">
        <v>3</v>
      </c>
      <c r="C14" s="110">
        <f>C13*0.05</f>
        <v>609867.53787972836</v>
      </c>
      <c r="D14" s="26"/>
      <c r="E14" s="26"/>
      <c r="F14" s="26"/>
      <c r="G14" s="78"/>
    </row>
    <row r="15" spans="1:24" s="73" customFormat="1" ht="27.75" x14ac:dyDescent="0.4">
      <c r="A15" s="76"/>
      <c r="B15" s="28" t="s">
        <v>4</v>
      </c>
      <c r="C15" s="113">
        <f>SUM(C13:C14)</f>
        <v>12807218.295474295</v>
      </c>
      <c r="D15" s="26"/>
      <c r="E15" s="26"/>
      <c r="F15" s="26"/>
      <c r="G15" s="78"/>
    </row>
    <row r="16" spans="1:24" s="73" customFormat="1" ht="12" customHeight="1" x14ac:dyDescent="0.4">
      <c r="A16" s="76"/>
      <c r="B16" s="26"/>
      <c r="C16" s="26"/>
      <c r="D16" s="26"/>
      <c r="E16" s="26"/>
      <c r="F16" s="26"/>
      <c r="G16" s="26"/>
    </row>
    <row r="17" spans="1:8" s="73" customFormat="1" ht="12" customHeight="1" x14ac:dyDescent="0.4">
      <c r="A17" s="76"/>
      <c r="B17" s="26"/>
      <c r="C17" s="26"/>
      <c r="D17" s="26"/>
      <c r="E17" s="26"/>
      <c r="F17" s="26"/>
      <c r="G17" s="26"/>
    </row>
    <row r="18" spans="1:8" s="73" customFormat="1" ht="37.5" customHeight="1" x14ac:dyDescent="0.4">
      <c r="A18" s="80"/>
      <c r="B18" s="30" t="s">
        <v>7</v>
      </c>
      <c r="C18" s="269" t="s">
        <v>730</v>
      </c>
      <c r="D18" s="26"/>
      <c r="E18" s="26"/>
      <c r="F18" s="26"/>
      <c r="G18" s="26"/>
      <c r="H18" s="75"/>
    </row>
    <row r="19" spans="1:8" s="73" customFormat="1" ht="37.5" customHeight="1" x14ac:dyDescent="0.4">
      <c r="A19" s="80"/>
      <c r="B19" s="30" t="s">
        <v>8</v>
      </c>
      <c r="C19" s="266" t="s">
        <v>731</v>
      </c>
      <c r="D19" s="26"/>
      <c r="E19" s="26"/>
      <c r="F19" s="26"/>
      <c r="G19" s="26"/>
    </row>
    <row r="20" spans="1:8" s="73" customFormat="1" ht="37.5" customHeight="1" x14ac:dyDescent="0.4">
      <c r="A20" s="80"/>
      <c r="B20" s="30" t="s">
        <v>5</v>
      </c>
      <c r="C20" s="266" t="s">
        <v>732</v>
      </c>
      <c r="D20" s="26"/>
      <c r="E20" s="26"/>
      <c r="F20" s="26"/>
      <c r="G20" s="26"/>
    </row>
    <row r="21" spans="1:8" ht="23.25" x14ac:dyDescent="0.35">
      <c r="A21" s="81"/>
      <c r="B21" s="82"/>
      <c r="C21" s="83"/>
    </row>
    <row r="22" spans="1:8" ht="23.25" x14ac:dyDescent="0.35">
      <c r="A22" s="81"/>
      <c r="B22" s="82"/>
      <c r="C22" s="83"/>
    </row>
  </sheetData>
  <sheetProtection formatCells="0" formatColumns="0" formatRows="0" insertColumns="0" insertRows="0" insertHyperlinks="0" deleteColumns="0" deleteRows="0" sort="0" autoFilter="0" pivotTables="0"/>
  <pageMargins left="0.47244094488188981" right="0.47244094488188981" top="0.74803149606299213" bottom="0.74803149606299213" header="0.31496062992125984" footer="0.31496062992125984"/>
  <pageSetup paperSize="9" scale="62" fitToHeight="0" orientation="landscape" r:id="rId1"/>
  <headerFooter>
    <oddFooter>&amp;C&amp;"Arial,Bold"&amp;16&amp;P/&amp;N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5C31-E5ED-4608-A2E7-A26D541074E0}">
  <dimension ref="A1:CI196"/>
  <sheetViews>
    <sheetView view="pageBreakPreview" topLeftCell="E1" zoomScale="40" zoomScaleNormal="100" zoomScaleSheetLayoutView="40" workbookViewId="0">
      <selection activeCell="M10" sqref="A10:M10"/>
    </sheetView>
  </sheetViews>
  <sheetFormatPr defaultColWidth="9.140625" defaultRowHeight="15" x14ac:dyDescent="0.2"/>
  <cols>
    <col min="1" max="1" width="8.85546875" style="88" bestFit="1" customWidth="1"/>
    <col min="2" max="2" width="71" style="86" customWidth="1"/>
    <col min="3" max="3" width="13.42578125" style="88" customWidth="1"/>
    <col min="4" max="4" width="14.28515625" style="88" customWidth="1"/>
    <col min="5" max="5" width="15.5703125" style="109" customWidth="1"/>
    <col min="6" max="6" width="18.5703125" style="109" customWidth="1"/>
    <col min="7" max="16384" width="9.140625" style="90"/>
  </cols>
  <sheetData>
    <row r="1" spans="1:87" x14ac:dyDescent="0.2">
      <c r="A1" s="86"/>
      <c r="B1" s="87"/>
      <c r="E1" s="89"/>
      <c r="F1" s="89"/>
    </row>
    <row r="2" spans="1:87" x14ac:dyDescent="0.2">
      <c r="A2" s="86"/>
      <c r="B2" s="87"/>
      <c r="E2" s="89"/>
      <c r="F2" s="89"/>
    </row>
    <row r="3" spans="1:87" ht="12" customHeight="1" thickBot="1" x14ac:dyDescent="0.25">
      <c r="A3" s="86"/>
      <c r="B3" s="273"/>
      <c r="C3" s="274"/>
      <c r="E3" s="89"/>
      <c r="F3" s="89"/>
    </row>
    <row r="4" spans="1:87" ht="25.9" customHeight="1" x14ac:dyDescent="0.2">
      <c r="A4" s="86"/>
      <c r="B4" s="87"/>
      <c r="E4" s="89"/>
      <c r="F4" s="89"/>
    </row>
    <row r="5" spans="1:87" s="95" customFormat="1" ht="15.75" x14ac:dyDescent="0.2">
      <c r="A5" s="91"/>
      <c r="B5" s="92" t="s">
        <v>52</v>
      </c>
      <c r="C5" s="93"/>
      <c r="D5" s="93"/>
      <c r="E5" s="94"/>
      <c r="F5" s="94"/>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row>
    <row r="6" spans="1:87" s="100" customFormat="1" ht="63" x14ac:dyDescent="0.2">
      <c r="A6" s="96" t="s">
        <v>14</v>
      </c>
      <c r="B6" s="97" t="s">
        <v>0</v>
      </c>
      <c r="C6" s="96" t="s">
        <v>15</v>
      </c>
      <c r="D6" s="98" t="s">
        <v>16</v>
      </c>
      <c r="E6" s="99" t="s">
        <v>17</v>
      </c>
      <c r="F6" s="99" t="s">
        <v>53</v>
      </c>
      <c r="G6" s="90"/>
      <c r="H6" s="90"/>
      <c r="I6" s="90"/>
      <c r="J6" s="90"/>
      <c r="K6" s="90"/>
      <c r="L6" s="90"/>
      <c r="M6" s="90"/>
      <c r="N6" s="90"/>
      <c r="O6" s="90"/>
      <c r="P6" s="90"/>
      <c r="Q6" s="90"/>
      <c r="R6" s="90"/>
      <c r="S6" s="90"/>
      <c r="T6" s="90"/>
      <c r="U6" s="90"/>
      <c r="V6" s="90"/>
      <c r="W6" s="90"/>
      <c r="X6" s="90"/>
    </row>
    <row r="7" spans="1:87" s="100" customFormat="1" ht="15.75" x14ac:dyDescent="0.2">
      <c r="A7" s="169"/>
      <c r="B7" s="170" t="s">
        <v>54</v>
      </c>
      <c r="C7" s="169"/>
      <c r="D7" s="171"/>
      <c r="E7" s="99"/>
      <c r="F7" s="99"/>
      <c r="G7" s="90"/>
      <c r="H7" s="90"/>
      <c r="I7" s="90"/>
      <c r="J7" s="90"/>
      <c r="K7" s="90"/>
      <c r="L7" s="90"/>
      <c r="M7" s="90"/>
      <c r="N7" s="90"/>
      <c r="O7" s="90"/>
      <c r="P7" s="90"/>
      <c r="Q7" s="90"/>
      <c r="R7" s="90"/>
      <c r="S7" s="90"/>
      <c r="T7" s="90"/>
      <c r="U7" s="90"/>
      <c r="V7" s="90"/>
      <c r="W7" s="90"/>
      <c r="X7" s="90"/>
    </row>
    <row r="8" spans="1:87" s="100" customFormat="1" ht="30" x14ac:dyDescent="0.2">
      <c r="A8" s="172">
        <v>1.0009999999999999</v>
      </c>
      <c r="B8" s="173" t="s">
        <v>699</v>
      </c>
      <c r="C8" s="172" t="s">
        <v>659</v>
      </c>
      <c r="D8" s="174">
        <v>1</v>
      </c>
      <c r="E8" s="224">
        <v>4147.3460751590028</v>
      </c>
      <c r="F8" s="224">
        <f>$D8*E8</f>
        <v>4147.3460751590028</v>
      </c>
      <c r="G8" s="90"/>
      <c r="H8" s="90"/>
      <c r="I8" s="90"/>
      <c r="J8" s="90"/>
      <c r="K8" s="90"/>
      <c r="L8" s="90"/>
      <c r="M8" s="90"/>
      <c r="N8" s="90"/>
      <c r="O8" s="90"/>
      <c r="P8" s="90"/>
      <c r="Q8" s="90"/>
      <c r="R8" s="90"/>
      <c r="S8" s="90"/>
      <c r="T8" s="90"/>
      <c r="U8" s="90"/>
      <c r="V8" s="90"/>
      <c r="W8" s="90"/>
      <c r="X8" s="90"/>
    </row>
    <row r="9" spans="1:87" s="100" customFormat="1" ht="15.75" x14ac:dyDescent="0.2">
      <c r="A9" s="172"/>
      <c r="B9" s="170" t="s">
        <v>56</v>
      </c>
      <c r="C9" s="172"/>
      <c r="D9" s="174"/>
      <c r="E9" s="224"/>
      <c r="F9" s="224"/>
      <c r="G9" s="90"/>
      <c r="H9" s="90"/>
      <c r="I9" s="90"/>
      <c r="J9" s="90"/>
      <c r="K9" s="90"/>
      <c r="L9" s="90"/>
      <c r="M9" s="90"/>
      <c r="N9" s="90"/>
      <c r="O9" s="90"/>
      <c r="P9" s="90"/>
      <c r="Q9" s="90"/>
      <c r="R9" s="90"/>
      <c r="S9" s="90"/>
      <c r="T9" s="90"/>
      <c r="U9" s="90"/>
      <c r="V9" s="90"/>
      <c r="W9" s="90"/>
      <c r="X9" s="90"/>
    </row>
    <row r="10" spans="1:87" s="100" customFormat="1" ht="30" x14ac:dyDescent="0.2">
      <c r="A10" s="172">
        <v>1.0019999999999998</v>
      </c>
      <c r="B10" s="173" t="s">
        <v>699</v>
      </c>
      <c r="C10" s="172" t="s">
        <v>659</v>
      </c>
      <c r="D10" s="174">
        <v>1</v>
      </c>
      <c r="E10" s="224">
        <v>2862.4256289968243</v>
      </c>
      <c r="F10" s="224">
        <f>$D10*E10</f>
        <v>2862.4256289968243</v>
      </c>
      <c r="G10" s="90"/>
      <c r="H10" s="90"/>
      <c r="I10" s="90"/>
      <c r="J10" s="90"/>
      <c r="K10" s="90"/>
      <c r="L10" s="90"/>
      <c r="M10" s="90"/>
      <c r="N10" s="90"/>
      <c r="O10" s="90"/>
      <c r="P10" s="90"/>
      <c r="Q10" s="90"/>
      <c r="R10" s="90"/>
      <c r="S10" s="90"/>
      <c r="T10" s="90"/>
      <c r="U10" s="90"/>
      <c r="V10" s="90"/>
      <c r="W10" s="90"/>
      <c r="X10" s="90"/>
    </row>
    <row r="11" spans="1:87" s="100" customFormat="1" ht="15.75" x14ac:dyDescent="0.2">
      <c r="A11" s="172"/>
      <c r="B11" s="170" t="s">
        <v>57</v>
      </c>
      <c r="C11" s="172"/>
      <c r="D11" s="174"/>
      <c r="E11" s="224"/>
      <c r="F11" s="224"/>
    </row>
    <row r="12" spans="1:87" s="100" customFormat="1" ht="30" x14ac:dyDescent="0.2">
      <c r="A12" s="172">
        <v>1.0029999999999997</v>
      </c>
      <c r="B12" s="173" t="s">
        <v>700</v>
      </c>
      <c r="C12" s="172" t="s">
        <v>659</v>
      </c>
      <c r="D12" s="174">
        <v>1</v>
      </c>
      <c r="E12" s="224">
        <v>225.86714555665955</v>
      </c>
      <c r="F12" s="224">
        <f>$D12*E12</f>
        <v>225.86714555665955</v>
      </c>
    </row>
    <row r="13" spans="1:87" s="100" customFormat="1" ht="15.75" x14ac:dyDescent="0.2">
      <c r="A13" s="169"/>
      <c r="B13" s="170" t="s">
        <v>59</v>
      </c>
      <c r="C13" s="169"/>
      <c r="D13" s="171"/>
      <c r="E13" s="226"/>
      <c r="F13" s="226"/>
    </row>
    <row r="14" spans="1:87" s="104" customFormat="1" ht="15.75" x14ac:dyDescent="0.25">
      <c r="A14" s="172"/>
      <c r="B14" s="170" t="s">
        <v>60</v>
      </c>
      <c r="C14" s="172"/>
      <c r="D14" s="172"/>
      <c r="E14" s="223"/>
      <c r="F14" s="223"/>
    </row>
    <row r="15" spans="1:87" s="104" customFormat="1" ht="84" customHeight="1" x14ac:dyDescent="0.25">
      <c r="A15" s="172"/>
      <c r="B15" s="212" t="s">
        <v>718</v>
      </c>
      <c r="C15" s="172"/>
      <c r="D15" s="174"/>
      <c r="E15" s="223"/>
      <c r="F15" s="224"/>
    </row>
    <row r="16" spans="1:87" s="104" customFormat="1" ht="15.75" x14ac:dyDescent="0.25">
      <c r="A16" s="172">
        <v>1.0039999999999996</v>
      </c>
      <c r="B16" s="212" t="s">
        <v>652</v>
      </c>
      <c r="C16" s="172" t="s">
        <v>659</v>
      </c>
      <c r="D16" s="174">
        <v>1</v>
      </c>
      <c r="E16" s="224">
        <v>65745.942904431693</v>
      </c>
      <c r="F16" s="224">
        <f>$D16*E16</f>
        <v>65745.942904431693</v>
      </c>
    </row>
    <row r="17" spans="1:6" s="104" customFormat="1" ht="15.75" x14ac:dyDescent="0.25">
      <c r="A17" s="172"/>
      <c r="B17" s="170" t="s">
        <v>61</v>
      </c>
      <c r="C17" s="172"/>
      <c r="D17" s="174"/>
      <c r="E17" s="225"/>
      <c r="F17" s="224"/>
    </row>
    <row r="18" spans="1:6" s="104" customFormat="1" ht="30" x14ac:dyDescent="0.25">
      <c r="A18" s="172">
        <v>1.0049999999999994</v>
      </c>
      <c r="B18" s="173" t="s">
        <v>722</v>
      </c>
      <c r="C18" s="172" t="s">
        <v>659</v>
      </c>
      <c r="D18" s="174">
        <v>1</v>
      </c>
      <c r="E18" s="224">
        <v>52597.628040405238</v>
      </c>
      <c r="F18" s="224">
        <f>$D18*E18</f>
        <v>52597.628040405238</v>
      </c>
    </row>
    <row r="19" spans="1:6" s="104" customFormat="1" ht="15.75" x14ac:dyDescent="0.25">
      <c r="A19" s="169"/>
      <c r="B19" s="170" t="s">
        <v>62</v>
      </c>
      <c r="C19" s="169"/>
      <c r="D19" s="169"/>
      <c r="E19" s="225"/>
      <c r="F19" s="225"/>
    </row>
    <row r="20" spans="1:6" s="104" customFormat="1" ht="30" x14ac:dyDescent="0.25">
      <c r="A20" s="172">
        <v>1.0059999999999993</v>
      </c>
      <c r="B20" s="173" t="s">
        <v>63</v>
      </c>
      <c r="C20" s="172" t="s">
        <v>659</v>
      </c>
      <c r="D20" s="172">
        <v>1</v>
      </c>
      <c r="E20" s="224">
        <v>3811.1852418285798</v>
      </c>
      <c r="F20" s="224">
        <f>$D20*E20</f>
        <v>3811.1852418285798</v>
      </c>
    </row>
    <row r="21" spans="1:6" s="104" customFormat="1" ht="15.75" x14ac:dyDescent="0.25">
      <c r="A21" s="169"/>
      <c r="B21" s="170" t="s">
        <v>64</v>
      </c>
      <c r="C21" s="169"/>
      <c r="D21" s="169"/>
      <c r="E21" s="225"/>
      <c r="F21" s="225"/>
    </row>
    <row r="22" spans="1:6" s="104" customFormat="1" ht="30" x14ac:dyDescent="0.25">
      <c r="A22" s="172">
        <v>1.0069999999999992</v>
      </c>
      <c r="B22" s="173" t="s">
        <v>65</v>
      </c>
      <c r="C22" s="172" t="s">
        <v>659</v>
      </c>
      <c r="D22" s="172">
        <v>1</v>
      </c>
      <c r="E22" s="224">
        <v>3241.9361899126543</v>
      </c>
      <c r="F22" s="224">
        <f>$D22*E22</f>
        <v>3241.9361899126543</v>
      </c>
    </row>
    <row r="23" spans="1:6" s="104" customFormat="1" ht="15.75" x14ac:dyDescent="0.25">
      <c r="A23" s="169"/>
      <c r="B23" s="170" t="s">
        <v>66</v>
      </c>
      <c r="C23" s="169"/>
      <c r="D23" s="169"/>
      <c r="E23" s="225"/>
      <c r="F23" s="225"/>
    </row>
    <row r="24" spans="1:6" s="104" customFormat="1" ht="30" x14ac:dyDescent="0.25">
      <c r="A24" s="172">
        <v>1.0079999999999991</v>
      </c>
      <c r="B24" s="173" t="s">
        <v>67</v>
      </c>
      <c r="C24" s="172" t="s">
        <v>659</v>
      </c>
      <c r="D24" s="172">
        <v>1</v>
      </c>
      <c r="E24" s="224">
        <v>10605.083588419828</v>
      </c>
      <c r="F24" s="224">
        <f>$D24*E24</f>
        <v>10605.083588419828</v>
      </c>
    </row>
    <row r="25" spans="1:6" s="104" customFormat="1" ht="30" x14ac:dyDescent="0.25">
      <c r="A25" s="172">
        <v>1.008999999999999</v>
      </c>
      <c r="B25" s="173" t="s">
        <v>68</v>
      </c>
      <c r="C25" s="172" t="s">
        <v>659</v>
      </c>
      <c r="D25" s="172">
        <v>1</v>
      </c>
      <c r="E25" s="224">
        <v>10297.675873605183</v>
      </c>
      <c r="F25" s="224">
        <f>$D25*E25</f>
        <v>10297.675873605183</v>
      </c>
    </row>
    <row r="26" spans="1:6" s="104" customFormat="1" ht="45" x14ac:dyDescent="0.25">
      <c r="A26" s="172">
        <v>1.0099999999999989</v>
      </c>
      <c r="B26" s="173" t="s">
        <v>69</v>
      </c>
      <c r="C26" s="172" t="s">
        <v>659</v>
      </c>
      <c r="D26" s="172">
        <v>1</v>
      </c>
      <c r="E26" s="224">
        <v>56222.74948656567</v>
      </c>
      <c r="F26" s="224">
        <f>$D26*E26</f>
        <v>56222.74948656567</v>
      </c>
    </row>
    <row r="27" spans="1:6" s="104" customFormat="1" ht="30" x14ac:dyDescent="0.25">
      <c r="A27" s="172">
        <v>1.0109999999999988</v>
      </c>
      <c r="B27" s="173" t="s">
        <v>70</v>
      </c>
      <c r="C27" s="172" t="s">
        <v>659</v>
      </c>
      <c r="D27" s="172">
        <v>1</v>
      </c>
      <c r="E27" s="224">
        <v>36220.094009458764</v>
      </c>
      <c r="F27" s="224">
        <f>$D27*E27</f>
        <v>36220.094009458764</v>
      </c>
    </row>
    <row r="28" spans="1:6" s="104" customFormat="1" ht="15.75" x14ac:dyDescent="0.25">
      <c r="A28" s="169"/>
      <c r="B28" s="170" t="s">
        <v>71</v>
      </c>
      <c r="C28" s="169"/>
      <c r="D28" s="169"/>
      <c r="E28" s="225"/>
      <c r="F28" s="225"/>
    </row>
    <row r="29" spans="1:6" s="104" customFormat="1" ht="30" x14ac:dyDescent="0.25">
      <c r="A29" s="176">
        <v>1.0119999999999987</v>
      </c>
      <c r="B29" s="173" t="s">
        <v>72</v>
      </c>
      <c r="C29" s="172" t="s">
        <v>659</v>
      </c>
      <c r="D29" s="172">
        <v>1</v>
      </c>
      <c r="E29" s="224">
        <v>808.10245410271523</v>
      </c>
      <c r="F29" s="224">
        <f>$D29*E29</f>
        <v>808.10245410271523</v>
      </c>
    </row>
    <row r="30" spans="1:6" s="104" customFormat="1" ht="15.75" x14ac:dyDescent="0.25">
      <c r="A30" s="169"/>
      <c r="B30" s="170" t="s">
        <v>73</v>
      </c>
      <c r="C30" s="169"/>
      <c r="D30" s="169"/>
      <c r="E30" s="225"/>
      <c r="F30" s="225"/>
    </row>
    <row r="31" spans="1:6" s="104" customFormat="1" ht="30" x14ac:dyDescent="0.25">
      <c r="A31" s="172">
        <v>1.0129999999999986</v>
      </c>
      <c r="B31" s="173" t="s">
        <v>74</v>
      </c>
      <c r="C31" s="172" t="s">
        <v>659</v>
      </c>
      <c r="D31" s="172">
        <v>1</v>
      </c>
      <c r="E31" s="224">
        <v>9222.945786931663</v>
      </c>
      <c r="F31" s="224">
        <f>$D31*E31</f>
        <v>9222.945786931663</v>
      </c>
    </row>
    <row r="32" spans="1:6" s="104" customFormat="1" ht="15.75" x14ac:dyDescent="0.25">
      <c r="A32" s="169"/>
      <c r="B32" s="170" t="s">
        <v>75</v>
      </c>
      <c r="C32" s="169"/>
      <c r="D32" s="169"/>
      <c r="E32" s="225"/>
      <c r="F32" s="225"/>
    </row>
    <row r="33" spans="1:87" s="104" customFormat="1" ht="15.75" x14ac:dyDescent="0.25">
      <c r="A33" s="172">
        <v>1.0139999999999985</v>
      </c>
      <c r="B33" s="173" t="s">
        <v>76</v>
      </c>
      <c r="C33" s="172" t="s">
        <v>659</v>
      </c>
      <c r="D33" s="172">
        <v>1</v>
      </c>
      <c r="E33" s="224">
        <v>451.7342911133191</v>
      </c>
      <c r="F33" s="224">
        <f>$D33*E33</f>
        <v>451.7342911133191</v>
      </c>
    </row>
    <row r="34" spans="1:87" s="104" customFormat="1" ht="15.75" x14ac:dyDescent="0.25">
      <c r="A34" s="172"/>
      <c r="B34" s="170" t="s">
        <v>653</v>
      </c>
      <c r="C34" s="172"/>
      <c r="D34" s="172"/>
      <c r="E34" s="223"/>
      <c r="F34" s="223"/>
    </row>
    <row r="35" spans="1:87" s="104" customFormat="1" ht="45" x14ac:dyDescent="0.25">
      <c r="A35" s="172">
        <v>1.0149999999999983</v>
      </c>
      <c r="B35" s="173" t="s">
        <v>78</v>
      </c>
      <c r="C35" s="172" t="s">
        <v>659</v>
      </c>
      <c r="D35" s="172">
        <v>1</v>
      </c>
      <c r="E35" s="224">
        <v>32123.327368058246</v>
      </c>
      <c r="F35" s="224">
        <f>$D35*E35</f>
        <v>32123.327368058246</v>
      </c>
    </row>
    <row r="36" spans="1:87" s="104" customFormat="1" ht="34.5" customHeight="1" x14ac:dyDescent="0.25">
      <c r="A36" s="211"/>
      <c r="B36" s="213" t="s">
        <v>654</v>
      </c>
      <c r="C36" s="211"/>
      <c r="D36" s="211"/>
      <c r="E36" s="223"/>
      <c r="F36" s="223"/>
    </row>
    <row r="37" spans="1:87" s="104" customFormat="1" ht="109.5" customHeight="1" x14ac:dyDescent="0.25">
      <c r="A37" s="211" t="s">
        <v>692</v>
      </c>
      <c r="B37" s="212" t="s">
        <v>655</v>
      </c>
      <c r="C37" s="211" t="s">
        <v>659</v>
      </c>
      <c r="D37" s="211">
        <v>1</v>
      </c>
      <c r="E37" s="224">
        <v>52063.268633761123</v>
      </c>
      <c r="F37" s="224">
        <f>$D37*E37</f>
        <v>52063.268633761123</v>
      </c>
    </row>
    <row r="38" spans="1:87" s="104" customFormat="1" ht="15.75" x14ac:dyDescent="0.25">
      <c r="A38" s="211"/>
      <c r="B38" s="213" t="s">
        <v>80</v>
      </c>
      <c r="C38" s="211"/>
      <c r="D38" s="211"/>
      <c r="E38" s="223"/>
      <c r="F38" s="223"/>
    </row>
    <row r="39" spans="1:87" s="104" customFormat="1" ht="38.25" customHeight="1" x14ac:dyDescent="0.25">
      <c r="A39" s="209">
        <v>1.016</v>
      </c>
      <c r="B39" s="212" t="s">
        <v>656</v>
      </c>
      <c r="C39" s="211" t="s">
        <v>659</v>
      </c>
      <c r="D39" s="211">
        <v>1</v>
      </c>
      <c r="E39" s="224">
        <v>292655.71918741055</v>
      </c>
      <c r="F39" s="224">
        <f>$D39*E39</f>
        <v>292655.71918741055</v>
      </c>
    </row>
    <row r="40" spans="1:87" s="104" customFormat="1" ht="15.75" x14ac:dyDescent="0.25">
      <c r="A40" s="169"/>
      <c r="B40" s="170" t="s">
        <v>82</v>
      </c>
      <c r="C40" s="169"/>
      <c r="D40" s="169"/>
      <c r="E40" s="223"/>
      <c r="F40" s="225"/>
    </row>
    <row r="41" spans="1:87" s="104" customFormat="1" ht="30" x14ac:dyDescent="0.25">
      <c r="A41" s="176">
        <v>1.0169999999999999</v>
      </c>
      <c r="B41" s="173" t="s">
        <v>83</v>
      </c>
      <c r="C41" s="172" t="s">
        <v>659</v>
      </c>
      <c r="D41" s="172">
        <v>1</v>
      </c>
      <c r="E41" s="224">
        <v>2234.1874569882534</v>
      </c>
      <c r="F41" s="224">
        <f>$D41*E41</f>
        <v>2234.1874569882534</v>
      </c>
    </row>
    <row r="42" spans="1:87" s="104" customFormat="1" ht="15.75" x14ac:dyDescent="0.25">
      <c r="A42" s="172"/>
      <c r="B42" s="170" t="s">
        <v>84</v>
      </c>
      <c r="C42" s="172"/>
      <c r="D42" s="172"/>
      <c r="E42" s="223"/>
      <c r="F42" s="223"/>
    </row>
    <row r="43" spans="1:87" s="104" customFormat="1" ht="45" x14ac:dyDescent="0.25">
      <c r="A43" s="172">
        <v>1.018</v>
      </c>
      <c r="B43" s="173" t="s">
        <v>85</v>
      </c>
      <c r="C43" s="172" t="s">
        <v>659</v>
      </c>
      <c r="D43" s="172">
        <v>1</v>
      </c>
      <c r="E43" s="224">
        <v>24694.807914194775</v>
      </c>
      <c r="F43" s="224">
        <f>$D43*E43</f>
        <v>24694.807914194775</v>
      </c>
    </row>
    <row r="44" spans="1:87" s="95" customFormat="1" ht="25.5" customHeight="1" x14ac:dyDescent="0.2">
      <c r="A44" s="172"/>
      <c r="B44" s="170" t="s">
        <v>86</v>
      </c>
      <c r="C44" s="172"/>
      <c r="D44" s="172"/>
      <c r="E44" s="223"/>
      <c r="F44" s="223"/>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row>
    <row r="45" spans="1:87" ht="180" x14ac:dyDescent="0.2">
      <c r="A45" s="172"/>
      <c r="B45" s="173" t="s">
        <v>87</v>
      </c>
      <c r="C45" s="172"/>
      <c r="D45" s="172"/>
      <c r="E45" s="223"/>
      <c r="F45" s="223"/>
    </row>
    <row r="46" spans="1:87" ht="30" x14ac:dyDescent="0.2">
      <c r="A46" s="172">
        <v>1.19</v>
      </c>
      <c r="B46" s="173" t="s">
        <v>88</v>
      </c>
      <c r="C46" s="172" t="s">
        <v>659</v>
      </c>
      <c r="D46" s="172">
        <v>1</v>
      </c>
      <c r="E46" s="224">
        <v>13040.063203471143</v>
      </c>
      <c r="F46" s="224">
        <f>$D46*E46</f>
        <v>13040.063203471143</v>
      </c>
    </row>
    <row r="47" spans="1:87" ht="23.45" customHeight="1" x14ac:dyDescent="0.2">
      <c r="A47" s="177"/>
      <c r="B47" s="171" t="s">
        <v>44</v>
      </c>
      <c r="C47" s="174"/>
      <c r="D47" s="178"/>
      <c r="E47" s="223"/>
      <c r="F47" s="225">
        <f>SUM(F8:F46)</f>
        <v>673272.09048037196</v>
      </c>
    </row>
    <row r="48" spans="1:87" s="109" customFormat="1" x14ac:dyDescent="0.2">
      <c r="A48" s="88"/>
      <c r="B48" s="86"/>
      <c r="C48" s="88"/>
      <c r="D48" s="88"/>
      <c r="E48" s="88"/>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0"/>
      <c r="CD48" s="90"/>
      <c r="CE48" s="90"/>
      <c r="CF48" s="90"/>
      <c r="CG48" s="90"/>
      <c r="CH48" s="90"/>
      <c r="CI48" s="90"/>
    </row>
    <row r="49" spans="1:87" s="109" customFormat="1" x14ac:dyDescent="0.2">
      <c r="A49" s="88"/>
      <c r="B49" s="86"/>
      <c r="C49" s="88"/>
      <c r="D49" s="88"/>
      <c r="E49" s="105"/>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90"/>
      <c r="CE49" s="90"/>
      <c r="CF49" s="90"/>
      <c r="CG49" s="90"/>
      <c r="CH49" s="90"/>
      <c r="CI49" s="90"/>
    </row>
    <row r="50" spans="1:87" s="109" customFormat="1" x14ac:dyDescent="0.2">
      <c r="A50" s="88"/>
      <c r="B50" s="86"/>
      <c r="C50" s="88"/>
      <c r="D50" s="88"/>
      <c r="E50" s="105"/>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0"/>
      <c r="CD50" s="90"/>
      <c r="CE50" s="90"/>
      <c r="CF50" s="90"/>
      <c r="CG50" s="90"/>
      <c r="CH50" s="90"/>
      <c r="CI50" s="90"/>
    </row>
    <row r="51" spans="1:87" s="109" customFormat="1" x14ac:dyDescent="0.2">
      <c r="A51" s="88"/>
      <c r="B51" s="86"/>
      <c r="C51" s="88"/>
      <c r="D51" s="88"/>
      <c r="E51" s="105"/>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0"/>
      <c r="CD51" s="90"/>
      <c r="CE51" s="90"/>
      <c r="CF51" s="90"/>
      <c r="CG51" s="90"/>
      <c r="CH51" s="90"/>
      <c r="CI51" s="90"/>
    </row>
    <row r="52" spans="1:87" s="109" customFormat="1" x14ac:dyDescent="0.2">
      <c r="A52" s="88"/>
      <c r="B52" s="86"/>
      <c r="C52" s="88"/>
      <c r="D52" s="88"/>
      <c r="E52" s="105"/>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0"/>
      <c r="CD52" s="90"/>
      <c r="CE52" s="90"/>
      <c r="CF52" s="90"/>
      <c r="CG52" s="90"/>
      <c r="CH52" s="90"/>
      <c r="CI52" s="90"/>
    </row>
    <row r="53" spans="1:87" s="109" customFormat="1" x14ac:dyDescent="0.2">
      <c r="A53" s="88"/>
      <c r="B53" s="86"/>
      <c r="C53" s="88"/>
      <c r="D53" s="88"/>
      <c r="E53" s="105"/>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0"/>
      <c r="CD53" s="90"/>
      <c r="CE53" s="90"/>
      <c r="CF53" s="90"/>
      <c r="CG53" s="90"/>
      <c r="CH53" s="90"/>
      <c r="CI53" s="90"/>
    </row>
    <row r="54" spans="1:87" s="109" customFormat="1" x14ac:dyDescent="0.2">
      <c r="A54" s="88"/>
      <c r="B54" s="86"/>
      <c r="C54" s="88"/>
      <c r="D54" s="88"/>
      <c r="E54" s="105"/>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0"/>
      <c r="CD54" s="90"/>
      <c r="CE54" s="90"/>
      <c r="CF54" s="90"/>
      <c r="CG54" s="90"/>
      <c r="CH54" s="90"/>
      <c r="CI54" s="90"/>
    </row>
    <row r="55" spans="1:87" s="109" customFormat="1" x14ac:dyDescent="0.2">
      <c r="A55" s="88"/>
      <c r="B55" s="86"/>
      <c r="C55" s="88"/>
      <c r="D55" s="88"/>
      <c r="E55" s="105"/>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90"/>
      <c r="CD55" s="90"/>
      <c r="CE55" s="90"/>
      <c r="CF55" s="90"/>
      <c r="CG55" s="90"/>
      <c r="CH55" s="90"/>
      <c r="CI55" s="90"/>
    </row>
    <row r="56" spans="1:87" s="109" customFormat="1" x14ac:dyDescent="0.2">
      <c r="A56" s="88"/>
      <c r="B56" s="86"/>
      <c r="C56" s="88"/>
      <c r="D56" s="88"/>
      <c r="E56" s="105"/>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0"/>
      <c r="CD56" s="90"/>
      <c r="CE56" s="90"/>
      <c r="CF56" s="90"/>
      <c r="CG56" s="90"/>
      <c r="CH56" s="90"/>
      <c r="CI56" s="90"/>
    </row>
    <row r="57" spans="1:87" s="109" customFormat="1" x14ac:dyDescent="0.2">
      <c r="A57" s="88"/>
      <c r="B57" s="86"/>
      <c r="C57" s="88"/>
      <c r="D57" s="88"/>
      <c r="E57" s="105"/>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90"/>
      <c r="BY57" s="90"/>
      <c r="BZ57" s="90"/>
      <c r="CA57" s="90"/>
      <c r="CB57" s="90"/>
      <c r="CC57" s="90"/>
      <c r="CD57" s="90"/>
      <c r="CE57" s="90"/>
      <c r="CF57" s="90"/>
      <c r="CG57" s="90"/>
      <c r="CH57" s="90"/>
      <c r="CI57" s="90"/>
    </row>
    <row r="58" spans="1:87" s="109" customFormat="1" x14ac:dyDescent="0.2">
      <c r="A58" s="88"/>
      <c r="B58" s="86"/>
      <c r="C58" s="88"/>
      <c r="D58" s="88"/>
      <c r="E58" s="105"/>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c r="BZ58" s="90"/>
      <c r="CA58" s="90"/>
      <c r="CB58" s="90"/>
      <c r="CC58" s="90"/>
      <c r="CD58" s="90"/>
      <c r="CE58" s="90"/>
      <c r="CF58" s="90"/>
      <c r="CG58" s="90"/>
      <c r="CH58" s="90"/>
      <c r="CI58" s="90"/>
    </row>
    <row r="59" spans="1:87" s="109" customFormat="1" x14ac:dyDescent="0.2">
      <c r="A59" s="88"/>
      <c r="B59" s="86"/>
      <c r="C59" s="88"/>
      <c r="D59" s="88"/>
      <c r="E59" s="105"/>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90"/>
      <c r="CD59" s="90"/>
      <c r="CE59" s="90"/>
      <c r="CF59" s="90"/>
      <c r="CG59" s="90"/>
      <c r="CH59" s="90"/>
      <c r="CI59" s="90"/>
    </row>
    <row r="60" spans="1:87" s="109" customFormat="1" x14ac:dyDescent="0.2">
      <c r="A60" s="88"/>
      <c r="B60" s="86"/>
      <c r="C60" s="88"/>
      <c r="D60" s="88"/>
      <c r="E60" s="105"/>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90"/>
      <c r="CD60" s="90"/>
      <c r="CE60" s="90"/>
      <c r="CF60" s="90"/>
      <c r="CG60" s="90"/>
      <c r="CH60" s="90"/>
      <c r="CI60" s="90"/>
    </row>
    <row r="61" spans="1:87" s="109" customFormat="1" x14ac:dyDescent="0.2">
      <c r="A61" s="88"/>
      <c r="B61" s="86"/>
      <c r="C61" s="88"/>
      <c r="D61" s="88"/>
      <c r="E61" s="105"/>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row>
    <row r="62" spans="1:87" s="109" customFormat="1" x14ac:dyDescent="0.2">
      <c r="A62" s="88"/>
      <c r="B62" s="86"/>
      <c r="C62" s="88"/>
      <c r="D62" s="88"/>
      <c r="E62" s="105"/>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c r="BZ62" s="90"/>
      <c r="CA62" s="90"/>
      <c r="CB62" s="90"/>
      <c r="CC62" s="90"/>
      <c r="CD62" s="90"/>
      <c r="CE62" s="90"/>
      <c r="CF62" s="90"/>
      <c r="CG62" s="90"/>
      <c r="CH62" s="90"/>
      <c r="CI62" s="90"/>
    </row>
    <row r="63" spans="1:87" s="109" customFormat="1" x14ac:dyDescent="0.2">
      <c r="A63" s="88"/>
      <c r="B63" s="86"/>
      <c r="C63" s="88"/>
      <c r="D63" s="88"/>
      <c r="E63" s="105"/>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c r="BZ63" s="90"/>
      <c r="CA63" s="90"/>
      <c r="CB63" s="90"/>
      <c r="CC63" s="90"/>
      <c r="CD63" s="90"/>
      <c r="CE63" s="90"/>
      <c r="CF63" s="90"/>
      <c r="CG63" s="90"/>
      <c r="CH63" s="90"/>
      <c r="CI63" s="90"/>
    </row>
    <row r="64" spans="1:87" s="109" customFormat="1" x14ac:dyDescent="0.2">
      <c r="A64" s="88"/>
      <c r="B64" s="86"/>
      <c r="C64" s="88"/>
      <c r="D64" s="88"/>
      <c r="E64" s="105"/>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90"/>
      <c r="CD64" s="90"/>
      <c r="CE64" s="90"/>
      <c r="CF64" s="90"/>
      <c r="CG64" s="90"/>
      <c r="CH64" s="90"/>
      <c r="CI64" s="90"/>
    </row>
    <row r="65" spans="1:87" s="109" customFormat="1" x14ac:dyDescent="0.2">
      <c r="A65" s="88"/>
      <c r="B65" s="86"/>
      <c r="C65" s="88"/>
      <c r="D65" s="88"/>
      <c r="E65" s="105"/>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row>
    <row r="66" spans="1:87" s="109" customFormat="1" x14ac:dyDescent="0.2">
      <c r="A66" s="88"/>
      <c r="B66" s="86"/>
      <c r="C66" s="88"/>
      <c r="D66" s="88"/>
      <c r="E66" s="105"/>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row>
    <row r="67" spans="1:87" s="109" customFormat="1" x14ac:dyDescent="0.2">
      <c r="A67" s="88"/>
      <c r="B67" s="86"/>
      <c r="C67" s="88"/>
      <c r="D67" s="88"/>
      <c r="E67" s="105"/>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row>
    <row r="68" spans="1:87" s="109" customFormat="1" x14ac:dyDescent="0.2">
      <c r="A68" s="88"/>
      <c r="B68" s="86"/>
      <c r="C68" s="88"/>
      <c r="D68" s="88"/>
      <c r="E68" s="105"/>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90"/>
      <c r="CD68" s="90"/>
      <c r="CE68" s="90"/>
      <c r="CF68" s="90"/>
      <c r="CG68" s="90"/>
      <c r="CH68" s="90"/>
      <c r="CI68" s="90"/>
    </row>
    <row r="69" spans="1:87" s="109" customFormat="1" x14ac:dyDescent="0.2">
      <c r="A69" s="88"/>
      <c r="B69" s="86"/>
      <c r="C69" s="88"/>
      <c r="D69" s="88"/>
      <c r="E69" s="105"/>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row>
    <row r="70" spans="1:87" s="109" customFormat="1" x14ac:dyDescent="0.2">
      <c r="A70" s="88"/>
      <c r="B70" s="86"/>
      <c r="C70" s="88"/>
      <c r="D70" s="88"/>
      <c r="E70" s="105"/>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row>
    <row r="71" spans="1:87" s="109" customFormat="1" x14ac:dyDescent="0.2">
      <c r="A71" s="88"/>
      <c r="B71" s="86"/>
      <c r="C71" s="88"/>
      <c r="D71" s="88"/>
      <c r="E71" s="105"/>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row>
    <row r="72" spans="1:87" s="109" customFormat="1" x14ac:dyDescent="0.2">
      <c r="A72" s="88"/>
      <c r="B72" s="86"/>
      <c r="C72" s="88"/>
      <c r="D72" s="88"/>
      <c r="E72" s="105"/>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90"/>
      <c r="CD72" s="90"/>
      <c r="CE72" s="90"/>
      <c r="CF72" s="90"/>
      <c r="CG72" s="90"/>
      <c r="CH72" s="90"/>
      <c r="CI72" s="90"/>
    </row>
    <row r="73" spans="1:87" s="109" customFormat="1" x14ac:dyDescent="0.2">
      <c r="A73" s="88"/>
      <c r="B73" s="86"/>
      <c r="C73" s="88"/>
      <c r="D73" s="88"/>
      <c r="E73" s="105"/>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row>
    <row r="74" spans="1:87" s="109" customFormat="1" x14ac:dyDescent="0.2">
      <c r="A74" s="88"/>
      <c r="B74" s="86"/>
      <c r="C74" s="88"/>
      <c r="D74" s="88"/>
      <c r="E74" s="105"/>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row>
    <row r="75" spans="1:87" s="109" customFormat="1" x14ac:dyDescent="0.2">
      <c r="A75" s="88"/>
      <c r="B75" s="86"/>
      <c r="C75" s="88"/>
      <c r="D75" s="88"/>
      <c r="E75" s="105"/>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row>
    <row r="76" spans="1:87" s="109" customFormat="1" x14ac:dyDescent="0.2">
      <c r="A76" s="88"/>
      <c r="B76" s="86"/>
      <c r="C76" s="88"/>
      <c r="D76" s="88"/>
      <c r="E76" s="105"/>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90"/>
      <c r="CD76" s="90"/>
      <c r="CE76" s="90"/>
      <c r="CF76" s="90"/>
      <c r="CG76" s="90"/>
      <c r="CH76" s="90"/>
      <c r="CI76" s="90"/>
    </row>
    <row r="77" spans="1:87" s="109" customFormat="1" x14ac:dyDescent="0.2">
      <c r="A77" s="88"/>
      <c r="B77" s="86"/>
      <c r="C77" s="88"/>
      <c r="D77" s="88"/>
      <c r="E77" s="105"/>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row>
    <row r="78" spans="1:87" s="109" customFormat="1" x14ac:dyDescent="0.2">
      <c r="A78" s="88"/>
      <c r="B78" s="86"/>
      <c r="C78" s="88"/>
      <c r="D78" s="88"/>
      <c r="E78" s="105"/>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row>
    <row r="79" spans="1:87" s="109" customFormat="1" x14ac:dyDescent="0.2">
      <c r="A79" s="88"/>
      <c r="B79" s="86"/>
      <c r="C79" s="88"/>
      <c r="D79" s="88"/>
      <c r="E79" s="105"/>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row>
    <row r="80" spans="1:87" s="109" customFormat="1" x14ac:dyDescent="0.2">
      <c r="A80" s="88"/>
      <c r="B80" s="86"/>
      <c r="C80" s="88"/>
      <c r="D80" s="88"/>
      <c r="E80" s="105"/>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row>
    <row r="81" spans="1:87" s="109" customFormat="1" x14ac:dyDescent="0.2">
      <c r="A81" s="88"/>
      <c r="B81" s="86"/>
      <c r="C81" s="88"/>
      <c r="D81" s="88"/>
      <c r="E81" s="105"/>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0"/>
      <c r="CD81" s="90"/>
      <c r="CE81" s="90"/>
      <c r="CF81" s="90"/>
      <c r="CG81" s="90"/>
      <c r="CH81" s="90"/>
      <c r="CI81" s="90"/>
    </row>
    <row r="82" spans="1:87" s="109" customFormat="1" x14ac:dyDescent="0.2">
      <c r="A82" s="88"/>
      <c r="B82" s="86"/>
      <c r="C82" s="88"/>
      <c r="D82" s="88"/>
      <c r="E82" s="105"/>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row>
    <row r="83" spans="1:87" s="109" customFormat="1" x14ac:dyDescent="0.2">
      <c r="A83" s="88"/>
      <c r="B83" s="86"/>
      <c r="C83" s="88"/>
      <c r="D83" s="88"/>
      <c r="E83" s="105"/>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row>
    <row r="84" spans="1:87" s="109" customFormat="1" x14ac:dyDescent="0.2">
      <c r="A84" s="88"/>
      <c r="B84" s="86"/>
      <c r="C84" s="88"/>
      <c r="D84" s="88"/>
      <c r="E84" s="105"/>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row>
    <row r="85" spans="1:87" s="109" customFormat="1" x14ac:dyDescent="0.2">
      <c r="A85" s="88"/>
      <c r="B85" s="86"/>
      <c r="C85" s="88"/>
      <c r="D85" s="88"/>
      <c r="E85" s="105"/>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0"/>
      <c r="CD85" s="90"/>
      <c r="CE85" s="90"/>
      <c r="CF85" s="90"/>
      <c r="CG85" s="90"/>
      <c r="CH85" s="90"/>
      <c r="CI85" s="90"/>
    </row>
    <row r="86" spans="1:87" s="109" customFormat="1" x14ac:dyDescent="0.2">
      <c r="A86" s="88"/>
      <c r="B86" s="86"/>
      <c r="C86" s="88"/>
      <c r="D86" s="88"/>
      <c r="E86" s="105"/>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c r="BZ86" s="90"/>
      <c r="CA86" s="90"/>
      <c r="CB86" s="90"/>
      <c r="CC86" s="90"/>
      <c r="CD86" s="90"/>
      <c r="CE86" s="90"/>
      <c r="CF86" s="90"/>
      <c r="CG86" s="90"/>
      <c r="CH86" s="90"/>
      <c r="CI86" s="90"/>
    </row>
    <row r="87" spans="1:87" s="109" customFormat="1" x14ac:dyDescent="0.2">
      <c r="A87" s="88"/>
      <c r="B87" s="86"/>
      <c r="C87" s="88"/>
      <c r="D87" s="88"/>
      <c r="E87" s="105"/>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row>
    <row r="88" spans="1:87" s="109" customFormat="1" x14ac:dyDescent="0.2">
      <c r="A88" s="88"/>
      <c r="B88" s="86"/>
      <c r="C88" s="88"/>
      <c r="D88" s="88"/>
      <c r="E88" s="105"/>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row>
    <row r="89" spans="1:87" s="109" customFormat="1" x14ac:dyDescent="0.2">
      <c r="A89" s="88"/>
      <c r="B89" s="86"/>
      <c r="C89" s="88"/>
      <c r="D89" s="88"/>
      <c r="E89" s="105"/>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0"/>
      <c r="CD89" s="90"/>
      <c r="CE89" s="90"/>
      <c r="CF89" s="90"/>
      <c r="CG89" s="90"/>
      <c r="CH89" s="90"/>
      <c r="CI89" s="90"/>
    </row>
    <row r="90" spans="1:87" s="109" customFormat="1" x14ac:dyDescent="0.2">
      <c r="A90" s="88"/>
      <c r="B90" s="86"/>
      <c r="C90" s="88"/>
      <c r="D90" s="88"/>
      <c r="E90" s="105"/>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row>
    <row r="91" spans="1:87" s="109" customFormat="1" x14ac:dyDescent="0.2">
      <c r="A91" s="88"/>
      <c r="B91" s="86"/>
      <c r="C91" s="88"/>
      <c r="D91" s="88"/>
      <c r="E91" s="105"/>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row>
    <row r="92" spans="1:87" s="109" customFormat="1" x14ac:dyDescent="0.2">
      <c r="A92" s="88"/>
      <c r="B92" s="86"/>
      <c r="C92" s="88"/>
      <c r="D92" s="88"/>
      <c r="E92" s="105"/>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c r="CC92" s="90"/>
      <c r="CD92" s="90"/>
      <c r="CE92" s="90"/>
      <c r="CF92" s="90"/>
      <c r="CG92" s="90"/>
      <c r="CH92" s="90"/>
      <c r="CI92" s="90"/>
    </row>
    <row r="93" spans="1:87" s="109" customFormat="1" x14ac:dyDescent="0.2">
      <c r="A93" s="88"/>
      <c r="B93" s="86"/>
      <c r="C93" s="88"/>
      <c r="D93" s="88"/>
      <c r="E93" s="105"/>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90"/>
      <c r="CD93" s="90"/>
      <c r="CE93" s="90"/>
      <c r="CF93" s="90"/>
      <c r="CG93" s="90"/>
      <c r="CH93" s="90"/>
      <c r="CI93" s="90"/>
    </row>
    <row r="94" spans="1:87" s="109" customFormat="1" x14ac:dyDescent="0.2">
      <c r="A94" s="88"/>
      <c r="B94" s="86"/>
      <c r="C94" s="88"/>
      <c r="D94" s="88"/>
      <c r="E94" s="105"/>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c r="BZ94" s="90"/>
      <c r="CA94" s="90"/>
      <c r="CB94" s="90"/>
      <c r="CC94" s="90"/>
      <c r="CD94" s="90"/>
      <c r="CE94" s="90"/>
      <c r="CF94" s="90"/>
      <c r="CG94" s="90"/>
      <c r="CH94" s="90"/>
      <c r="CI94" s="90"/>
    </row>
    <row r="95" spans="1:87" s="109" customFormat="1" x14ac:dyDescent="0.2">
      <c r="A95" s="88"/>
      <c r="B95" s="86"/>
      <c r="C95" s="88"/>
      <c r="D95" s="88"/>
      <c r="E95" s="105"/>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c r="BZ95" s="90"/>
      <c r="CA95" s="90"/>
      <c r="CB95" s="90"/>
      <c r="CC95" s="90"/>
      <c r="CD95" s="90"/>
      <c r="CE95" s="90"/>
      <c r="CF95" s="90"/>
      <c r="CG95" s="90"/>
      <c r="CH95" s="90"/>
      <c r="CI95" s="90"/>
    </row>
    <row r="96" spans="1:87" s="109" customFormat="1" x14ac:dyDescent="0.2">
      <c r="A96" s="88"/>
      <c r="B96" s="86"/>
      <c r="C96" s="88"/>
      <c r="D96" s="88"/>
      <c r="E96" s="105"/>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c r="BZ96" s="90"/>
      <c r="CA96" s="90"/>
      <c r="CB96" s="90"/>
      <c r="CC96" s="90"/>
      <c r="CD96" s="90"/>
      <c r="CE96" s="90"/>
      <c r="CF96" s="90"/>
      <c r="CG96" s="90"/>
      <c r="CH96" s="90"/>
      <c r="CI96" s="90"/>
    </row>
    <row r="97" spans="1:87" s="109" customFormat="1" x14ac:dyDescent="0.2">
      <c r="A97" s="88"/>
      <c r="B97" s="86"/>
      <c r="C97" s="88"/>
      <c r="D97" s="88"/>
      <c r="E97" s="105"/>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c r="BZ97" s="90"/>
      <c r="CA97" s="90"/>
      <c r="CB97" s="90"/>
      <c r="CC97" s="90"/>
      <c r="CD97" s="90"/>
      <c r="CE97" s="90"/>
      <c r="CF97" s="90"/>
      <c r="CG97" s="90"/>
      <c r="CH97" s="90"/>
      <c r="CI97" s="90"/>
    </row>
    <row r="98" spans="1:87" s="109" customFormat="1" x14ac:dyDescent="0.2">
      <c r="A98" s="88"/>
      <c r="B98" s="86"/>
      <c r="C98" s="88"/>
      <c r="D98" s="88"/>
      <c r="E98" s="105"/>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c r="BZ98" s="90"/>
      <c r="CA98" s="90"/>
      <c r="CB98" s="90"/>
      <c r="CC98" s="90"/>
      <c r="CD98" s="90"/>
      <c r="CE98" s="90"/>
      <c r="CF98" s="90"/>
      <c r="CG98" s="90"/>
      <c r="CH98" s="90"/>
      <c r="CI98" s="90"/>
    </row>
    <row r="99" spans="1:87" s="109" customFormat="1" x14ac:dyDescent="0.2">
      <c r="A99" s="88"/>
      <c r="B99" s="86"/>
      <c r="C99" s="88"/>
      <c r="D99" s="88"/>
      <c r="E99" s="105"/>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c r="BZ99" s="90"/>
      <c r="CA99" s="90"/>
      <c r="CB99" s="90"/>
      <c r="CC99" s="90"/>
      <c r="CD99" s="90"/>
      <c r="CE99" s="90"/>
      <c r="CF99" s="90"/>
      <c r="CG99" s="90"/>
      <c r="CH99" s="90"/>
      <c r="CI99" s="90"/>
    </row>
    <row r="100" spans="1:87" s="109" customFormat="1" x14ac:dyDescent="0.2">
      <c r="A100" s="88"/>
      <c r="B100" s="86"/>
      <c r="C100" s="88"/>
      <c r="D100" s="88"/>
      <c r="E100" s="105"/>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c r="BZ100" s="90"/>
      <c r="CA100" s="90"/>
      <c r="CB100" s="90"/>
      <c r="CC100" s="90"/>
      <c r="CD100" s="90"/>
      <c r="CE100" s="90"/>
      <c r="CF100" s="90"/>
      <c r="CG100" s="90"/>
      <c r="CH100" s="90"/>
      <c r="CI100" s="90"/>
    </row>
    <row r="101" spans="1:87" s="109" customFormat="1" x14ac:dyDescent="0.2">
      <c r="A101" s="88"/>
      <c r="B101" s="86"/>
      <c r="C101" s="88"/>
      <c r="D101" s="88"/>
      <c r="E101" s="105"/>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c r="BZ101" s="90"/>
      <c r="CA101" s="90"/>
      <c r="CB101" s="90"/>
      <c r="CC101" s="90"/>
      <c r="CD101" s="90"/>
      <c r="CE101" s="90"/>
      <c r="CF101" s="90"/>
      <c r="CG101" s="90"/>
      <c r="CH101" s="90"/>
      <c r="CI101" s="90"/>
    </row>
    <row r="102" spans="1:87" s="109" customFormat="1" x14ac:dyDescent="0.2">
      <c r="A102" s="88"/>
      <c r="B102" s="86"/>
      <c r="C102" s="88"/>
      <c r="D102" s="88"/>
      <c r="E102" s="105"/>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c r="BZ102" s="90"/>
      <c r="CA102" s="90"/>
      <c r="CB102" s="90"/>
      <c r="CC102" s="90"/>
      <c r="CD102" s="90"/>
      <c r="CE102" s="90"/>
      <c r="CF102" s="90"/>
      <c r="CG102" s="90"/>
      <c r="CH102" s="90"/>
      <c r="CI102" s="90"/>
    </row>
    <row r="103" spans="1:87" s="109" customFormat="1" x14ac:dyDescent="0.2">
      <c r="A103" s="88"/>
      <c r="B103" s="86"/>
      <c r="C103" s="88"/>
      <c r="D103" s="88"/>
      <c r="E103" s="105"/>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c r="BZ103" s="90"/>
      <c r="CA103" s="90"/>
      <c r="CB103" s="90"/>
      <c r="CC103" s="90"/>
      <c r="CD103" s="90"/>
      <c r="CE103" s="90"/>
      <c r="CF103" s="90"/>
      <c r="CG103" s="90"/>
      <c r="CH103" s="90"/>
      <c r="CI103" s="90"/>
    </row>
    <row r="104" spans="1:87" s="109" customFormat="1" x14ac:dyDescent="0.2">
      <c r="A104" s="88"/>
      <c r="B104" s="86"/>
      <c r="C104" s="88"/>
      <c r="D104" s="88"/>
      <c r="E104" s="105"/>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0"/>
      <c r="CG104" s="90"/>
      <c r="CH104" s="90"/>
      <c r="CI104" s="90"/>
    </row>
    <row r="105" spans="1:87" s="109" customFormat="1" x14ac:dyDescent="0.2">
      <c r="A105" s="88"/>
      <c r="B105" s="86"/>
      <c r="C105" s="88"/>
      <c r="D105" s="88"/>
      <c r="E105" s="105"/>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c r="BZ105" s="90"/>
      <c r="CA105" s="90"/>
      <c r="CB105" s="90"/>
      <c r="CC105" s="90"/>
      <c r="CD105" s="90"/>
      <c r="CE105" s="90"/>
      <c r="CF105" s="90"/>
      <c r="CG105" s="90"/>
      <c r="CH105" s="90"/>
      <c r="CI105" s="90"/>
    </row>
    <row r="106" spans="1:87" s="109" customFormat="1" x14ac:dyDescent="0.2">
      <c r="A106" s="88"/>
      <c r="B106" s="86"/>
      <c r="C106" s="88"/>
      <c r="D106" s="88"/>
      <c r="E106" s="105"/>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c r="BZ106" s="90"/>
      <c r="CA106" s="90"/>
      <c r="CB106" s="90"/>
      <c r="CC106" s="90"/>
      <c r="CD106" s="90"/>
      <c r="CE106" s="90"/>
      <c r="CF106" s="90"/>
      <c r="CG106" s="90"/>
      <c r="CH106" s="90"/>
      <c r="CI106" s="90"/>
    </row>
    <row r="107" spans="1:87" s="109" customFormat="1" x14ac:dyDescent="0.2">
      <c r="A107" s="88"/>
      <c r="B107" s="86"/>
      <c r="C107" s="88"/>
      <c r="D107" s="88"/>
      <c r="E107" s="105"/>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c r="BZ107" s="90"/>
      <c r="CA107" s="90"/>
      <c r="CB107" s="90"/>
      <c r="CC107" s="90"/>
      <c r="CD107" s="90"/>
      <c r="CE107" s="90"/>
      <c r="CF107" s="90"/>
      <c r="CG107" s="90"/>
      <c r="CH107" s="90"/>
      <c r="CI107" s="90"/>
    </row>
    <row r="108" spans="1:87" s="109" customFormat="1" x14ac:dyDescent="0.2">
      <c r="A108" s="88"/>
      <c r="B108" s="86"/>
      <c r="C108" s="88"/>
      <c r="D108" s="88"/>
      <c r="E108" s="105"/>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0"/>
      <c r="CI108" s="90"/>
    </row>
    <row r="109" spans="1:87" s="109" customFormat="1" x14ac:dyDescent="0.2">
      <c r="A109" s="88"/>
      <c r="B109" s="86"/>
      <c r="C109" s="88"/>
      <c r="D109" s="88"/>
      <c r="E109" s="105"/>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c r="BZ109" s="90"/>
      <c r="CA109" s="90"/>
      <c r="CB109" s="90"/>
      <c r="CC109" s="90"/>
      <c r="CD109" s="90"/>
      <c r="CE109" s="90"/>
      <c r="CF109" s="90"/>
      <c r="CG109" s="90"/>
      <c r="CH109" s="90"/>
      <c r="CI109" s="90"/>
    </row>
    <row r="110" spans="1:87" s="109" customFormat="1" x14ac:dyDescent="0.2">
      <c r="A110" s="88"/>
      <c r="B110" s="86"/>
      <c r="C110" s="88"/>
      <c r="D110" s="88"/>
      <c r="E110" s="105"/>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c r="BZ110" s="90"/>
      <c r="CA110" s="90"/>
      <c r="CB110" s="90"/>
      <c r="CC110" s="90"/>
      <c r="CD110" s="90"/>
      <c r="CE110" s="90"/>
      <c r="CF110" s="90"/>
      <c r="CG110" s="90"/>
      <c r="CH110" s="90"/>
      <c r="CI110" s="90"/>
    </row>
    <row r="111" spans="1:87" s="109" customFormat="1" x14ac:dyDescent="0.2">
      <c r="A111" s="88"/>
      <c r="B111" s="86"/>
      <c r="C111" s="88"/>
      <c r="D111" s="88"/>
      <c r="E111" s="105"/>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0"/>
      <c r="BF111" s="90"/>
      <c r="BG111" s="90"/>
      <c r="BH111" s="90"/>
      <c r="BI111" s="90"/>
      <c r="BJ111" s="90"/>
      <c r="BK111" s="90"/>
      <c r="BL111" s="90"/>
      <c r="BM111" s="90"/>
      <c r="BN111" s="90"/>
      <c r="BO111" s="90"/>
      <c r="BP111" s="90"/>
      <c r="BQ111" s="90"/>
      <c r="BR111" s="90"/>
      <c r="BS111" s="90"/>
      <c r="BT111" s="90"/>
      <c r="BU111" s="90"/>
      <c r="BV111" s="90"/>
      <c r="BW111" s="90"/>
      <c r="BX111" s="90"/>
      <c r="BY111" s="90"/>
      <c r="BZ111" s="90"/>
      <c r="CA111" s="90"/>
      <c r="CB111" s="90"/>
      <c r="CC111" s="90"/>
      <c r="CD111" s="90"/>
      <c r="CE111" s="90"/>
      <c r="CF111" s="90"/>
      <c r="CG111" s="90"/>
      <c r="CH111" s="90"/>
      <c r="CI111" s="90"/>
    </row>
    <row r="112" spans="1:87" s="109" customFormat="1" x14ac:dyDescent="0.2">
      <c r="A112" s="88"/>
      <c r="B112" s="86"/>
      <c r="C112" s="88"/>
      <c r="D112" s="88"/>
      <c r="E112" s="105"/>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0"/>
      <c r="BF112" s="90"/>
      <c r="BG112" s="90"/>
      <c r="BH112" s="90"/>
      <c r="BI112" s="90"/>
      <c r="BJ112" s="90"/>
      <c r="BK112" s="90"/>
      <c r="BL112" s="90"/>
      <c r="BM112" s="90"/>
      <c r="BN112" s="90"/>
      <c r="BO112" s="90"/>
      <c r="BP112" s="90"/>
      <c r="BQ112" s="90"/>
      <c r="BR112" s="90"/>
      <c r="BS112" s="90"/>
      <c r="BT112" s="90"/>
      <c r="BU112" s="90"/>
      <c r="BV112" s="90"/>
      <c r="BW112" s="90"/>
      <c r="BX112" s="90"/>
      <c r="BY112" s="90"/>
      <c r="BZ112" s="90"/>
      <c r="CA112" s="90"/>
      <c r="CB112" s="90"/>
      <c r="CC112" s="90"/>
      <c r="CD112" s="90"/>
      <c r="CE112" s="90"/>
      <c r="CF112" s="90"/>
      <c r="CG112" s="90"/>
      <c r="CH112" s="90"/>
      <c r="CI112" s="90"/>
    </row>
    <row r="113" spans="1:87" s="109" customFormat="1" x14ac:dyDescent="0.2">
      <c r="A113" s="88"/>
      <c r="B113" s="86"/>
      <c r="C113" s="88"/>
      <c r="D113" s="88"/>
      <c r="E113" s="105"/>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0"/>
      <c r="BF113" s="90"/>
      <c r="BG113" s="90"/>
      <c r="BH113" s="90"/>
      <c r="BI113" s="90"/>
      <c r="BJ113" s="90"/>
      <c r="BK113" s="90"/>
      <c r="BL113" s="90"/>
      <c r="BM113" s="90"/>
      <c r="BN113" s="90"/>
      <c r="BO113" s="90"/>
      <c r="BP113" s="90"/>
      <c r="BQ113" s="90"/>
      <c r="BR113" s="90"/>
      <c r="BS113" s="90"/>
      <c r="BT113" s="90"/>
      <c r="BU113" s="90"/>
      <c r="BV113" s="90"/>
      <c r="BW113" s="90"/>
      <c r="BX113" s="90"/>
      <c r="BY113" s="90"/>
      <c r="BZ113" s="90"/>
      <c r="CA113" s="90"/>
      <c r="CB113" s="90"/>
      <c r="CC113" s="90"/>
      <c r="CD113" s="90"/>
      <c r="CE113" s="90"/>
      <c r="CF113" s="90"/>
      <c r="CG113" s="90"/>
      <c r="CH113" s="90"/>
      <c r="CI113" s="90"/>
    </row>
    <row r="114" spans="1:87" s="109" customFormat="1" x14ac:dyDescent="0.2">
      <c r="A114" s="88"/>
      <c r="B114" s="86"/>
      <c r="C114" s="88"/>
      <c r="D114" s="88"/>
      <c r="E114" s="105"/>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0"/>
      <c r="BV114" s="90"/>
      <c r="BW114" s="90"/>
      <c r="BX114" s="90"/>
      <c r="BY114" s="90"/>
      <c r="BZ114" s="90"/>
      <c r="CA114" s="90"/>
      <c r="CB114" s="90"/>
      <c r="CC114" s="90"/>
      <c r="CD114" s="90"/>
      <c r="CE114" s="90"/>
      <c r="CF114" s="90"/>
      <c r="CG114" s="90"/>
      <c r="CH114" s="90"/>
      <c r="CI114" s="90"/>
    </row>
    <row r="115" spans="1:87" s="109" customFormat="1" x14ac:dyDescent="0.2">
      <c r="A115" s="88"/>
      <c r="B115" s="86"/>
      <c r="C115" s="88"/>
      <c r="D115" s="88"/>
      <c r="E115" s="105"/>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c r="BZ115" s="90"/>
      <c r="CA115" s="90"/>
      <c r="CB115" s="90"/>
      <c r="CC115" s="90"/>
      <c r="CD115" s="90"/>
      <c r="CE115" s="90"/>
      <c r="CF115" s="90"/>
      <c r="CG115" s="90"/>
      <c r="CH115" s="90"/>
      <c r="CI115" s="90"/>
    </row>
    <row r="116" spans="1:87" s="109" customFormat="1" x14ac:dyDescent="0.2">
      <c r="A116" s="88"/>
      <c r="B116" s="86"/>
      <c r="C116" s="88"/>
      <c r="D116" s="88"/>
      <c r="E116" s="105"/>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c r="BZ116" s="90"/>
      <c r="CA116" s="90"/>
      <c r="CB116" s="90"/>
      <c r="CC116" s="90"/>
      <c r="CD116" s="90"/>
      <c r="CE116" s="90"/>
      <c r="CF116" s="90"/>
      <c r="CG116" s="90"/>
      <c r="CH116" s="90"/>
      <c r="CI116" s="90"/>
    </row>
    <row r="117" spans="1:87" s="109" customFormat="1" x14ac:dyDescent="0.2">
      <c r="A117" s="88"/>
      <c r="B117" s="86"/>
      <c r="C117" s="88"/>
      <c r="D117" s="88"/>
      <c r="E117" s="105"/>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90"/>
      <c r="BW117" s="90"/>
      <c r="BX117" s="90"/>
      <c r="BY117" s="90"/>
      <c r="BZ117" s="90"/>
      <c r="CA117" s="90"/>
      <c r="CB117" s="90"/>
      <c r="CC117" s="90"/>
      <c r="CD117" s="90"/>
      <c r="CE117" s="90"/>
      <c r="CF117" s="90"/>
      <c r="CG117" s="90"/>
      <c r="CH117" s="90"/>
      <c r="CI117" s="90"/>
    </row>
    <row r="118" spans="1:87" s="109" customFormat="1" x14ac:dyDescent="0.2">
      <c r="A118" s="88"/>
      <c r="B118" s="86"/>
      <c r="C118" s="88"/>
      <c r="D118" s="88"/>
      <c r="E118" s="105"/>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90"/>
      <c r="BW118" s="90"/>
      <c r="BX118" s="90"/>
      <c r="BY118" s="90"/>
      <c r="BZ118" s="90"/>
      <c r="CA118" s="90"/>
      <c r="CB118" s="90"/>
      <c r="CC118" s="90"/>
      <c r="CD118" s="90"/>
      <c r="CE118" s="90"/>
      <c r="CF118" s="90"/>
      <c r="CG118" s="90"/>
      <c r="CH118" s="90"/>
      <c r="CI118" s="90"/>
    </row>
    <row r="119" spans="1:87" s="109" customFormat="1" x14ac:dyDescent="0.2">
      <c r="A119" s="88"/>
      <c r="B119" s="86"/>
      <c r="C119" s="88"/>
      <c r="D119" s="88"/>
      <c r="E119" s="105"/>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c r="BZ119" s="90"/>
      <c r="CA119" s="90"/>
      <c r="CB119" s="90"/>
      <c r="CC119" s="90"/>
      <c r="CD119" s="90"/>
      <c r="CE119" s="90"/>
      <c r="CF119" s="90"/>
      <c r="CG119" s="90"/>
      <c r="CH119" s="90"/>
      <c r="CI119" s="90"/>
    </row>
    <row r="120" spans="1:87" s="109" customFormat="1" x14ac:dyDescent="0.2">
      <c r="A120" s="88"/>
      <c r="B120" s="86"/>
      <c r="C120" s="88"/>
      <c r="D120" s="88"/>
      <c r="E120" s="105"/>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90"/>
      <c r="CD120" s="90"/>
      <c r="CE120" s="90"/>
      <c r="CF120" s="90"/>
      <c r="CG120" s="90"/>
      <c r="CH120" s="90"/>
      <c r="CI120" s="90"/>
    </row>
    <row r="121" spans="1:87" s="109" customFormat="1" x14ac:dyDescent="0.2">
      <c r="A121" s="88"/>
      <c r="B121" s="86"/>
      <c r="C121" s="88"/>
      <c r="D121" s="88"/>
      <c r="E121" s="105"/>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c r="BZ121" s="90"/>
      <c r="CA121" s="90"/>
      <c r="CB121" s="90"/>
      <c r="CC121" s="90"/>
      <c r="CD121" s="90"/>
      <c r="CE121" s="90"/>
      <c r="CF121" s="90"/>
      <c r="CG121" s="90"/>
      <c r="CH121" s="90"/>
      <c r="CI121" s="90"/>
    </row>
    <row r="122" spans="1:87" s="109" customFormat="1" x14ac:dyDescent="0.2">
      <c r="A122" s="88"/>
      <c r="B122" s="86"/>
      <c r="C122" s="88"/>
      <c r="D122" s="88"/>
      <c r="E122" s="105"/>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90"/>
      <c r="CD122" s="90"/>
      <c r="CE122" s="90"/>
      <c r="CF122" s="90"/>
      <c r="CG122" s="90"/>
      <c r="CH122" s="90"/>
      <c r="CI122" s="90"/>
    </row>
    <row r="123" spans="1:87" s="109" customFormat="1" x14ac:dyDescent="0.2">
      <c r="A123" s="88"/>
      <c r="B123" s="86"/>
      <c r="C123" s="88"/>
      <c r="D123" s="88"/>
      <c r="E123" s="105"/>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c r="BZ123" s="90"/>
      <c r="CA123" s="90"/>
      <c r="CB123" s="90"/>
      <c r="CC123" s="90"/>
      <c r="CD123" s="90"/>
      <c r="CE123" s="90"/>
      <c r="CF123" s="90"/>
      <c r="CG123" s="90"/>
      <c r="CH123" s="90"/>
      <c r="CI123" s="90"/>
    </row>
    <row r="124" spans="1:87" s="109" customFormat="1" x14ac:dyDescent="0.2">
      <c r="A124" s="88"/>
      <c r="B124" s="86"/>
      <c r="C124" s="88"/>
      <c r="D124" s="88"/>
      <c r="E124" s="105"/>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c r="CI124" s="90"/>
    </row>
    <row r="125" spans="1:87" s="109" customFormat="1" x14ac:dyDescent="0.2">
      <c r="A125" s="88"/>
      <c r="B125" s="86"/>
      <c r="C125" s="88"/>
      <c r="D125" s="88"/>
      <c r="E125" s="105"/>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c r="BZ125" s="90"/>
      <c r="CA125" s="90"/>
      <c r="CB125" s="90"/>
      <c r="CC125" s="90"/>
      <c r="CD125" s="90"/>
      <c r="CE125" s="90"/>
      <c r="CF125" s="90"/>
      <c r="CG125" s="90"/>
      <c r="CH125" s="90"/>
      <c r="CI125" s="90"/>
    </row>
    <row r="126" spans="1:87" s="109" customFormat="1" x14ac:dyDescent="0.2">
      <c r="A126" s="88"/>
      <c r="B126" s="86"/>
      <c r="C126" s="88"/>
      <c r="D126" s="88"/>
      <c r="E126" s="105"/>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0"/>
      <c r="BJ126" s="90"/>
      <c r="BK126" s="90"/>
      <c r="BL126" s="90"/>
      <c r="BM126" s="90"/>
      <c r="BN126" s="90"/>
      <c r="BO126" s="90"/>
      <c r="BP126" s="90"/>
      <c r="BQ126" s="90"/>
      <c r="BR126" s="90"/>
      <c r="BS126" s="90"/>
      <c r="BT126" s="90"/>
      <c r="BU126" s="90"/>
      <c r="BV126" s="90"/>
      <c r="BW126" s="90"/>
      <c r="BX126" s="90"/>
      <c r="BY126" s="90"/>
      <c r="BZ126" s="90"/>
      <c r="CA126" s="90"/>
      <c r="CB126" s="90"/>
      <c r="CC126" s="90"/>
      <c r="CD126" s="90"/>
      <c r="CE126" s="90"/>
      <c r="CF126" s="90"/>
      <c r="CG126" s="90"/>
      <c r="CH126" s="90"/>
      <c r="CI126" s="90"/>
    </row>
    <row r="127" spans="1:87" s="109" customFormat="1" x14ac:dyDescent="0.2">
      <c r="A127" s="88"/>
      <c r="B127" s="86"/>
      <c r="C127" s="88"/>
      <c r="D127" s="88"/>
      <c r="E127" s="105"/>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c r="BZ127" s="90"/>
      <c r="CA127" s="90"/>
      <c r="CB127" s="90"/>
      <c r="CC127" s="90"/>
      <c r="CD127" s="90"/>
      <c r="CE127" s="90"/>
      <c r="CF127" s="90"/>
      <c r="CG127" s="90"/>
      <c r="CH127" s="90"/>
      <c r="CI127" s="90"/>
    </row>
    <row r="128" spans="1:87" s="109" customFormat="1" x14ac:dyDescent="0.2">
      <c r="A128" s="88"/>
      <c r="B128" s="86"/>
      <c r="C128" s="88"/>
      <c r="D128" s="88"/>
      <c r="E128" s="105"/>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c r="BZ128" s="90"/>
      <c r="CA128" s="90"/>
      <c r="CB128" s="90"/>
      <c r="CC128" s="90"/>
      <c r="CD128" s="90"/>
      <c r="CE128" s="90"/>
      <c r="CF128" s="90"/>
      <c r="CG128" s="90"/>
      <c r="CH128" s="90"/>
      <c r="CI128" s="90"/>
    </row>
    <row r="129" spans="1:87" s="109" customFormat="1" x14ac:dyDescent="0.2">
      <c r="A129" s="88"/>
      <c r="B129" s="86"/>
      <c r="C129" s="88"/>
      <c r="D129" s="88"/>
      <c r="E129" s="105"/>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90"/>
      <c r="BK129" s="90"/>
      <c r="BL129" s="90"/>
      <c r="BM129" s="90"/>
      <c r="BN129" s="90"/>
      <c r="BO129" s="90"/>
      <c r="BP129" s="90"/>
      <c r="BQ129" s="90"/>
      <c r="BR129" s="90"/>
      <c r="BS129" s="90"/>
      <c r="BT129" s="90"/>
      <c r="BU129" s="90"/>
      <c r="BV129" s="90"/>
      <c r="BW129" s="90"/>
      <c r="BX129" s="90"/>
      <c r="BY129" s="90"/>
      <c r="BZ129" s="90"/>
      <c r="CA129" s="90"/>
      <c r="CB129" s="90"/>
      <c r="CC129" s="90"/>
      <c r="CD129" s="90"/>
      <c r="CE129" s="90"/>
      <c r="CF129" s="90"/>
      <c r="CG129" s="90"/>
      <c r="CH129" s="90"/>
      <c r="CI129" s="90"/>
    </row>
    <row r="130" spans="1:87" s="109" customFormat="1" x14ac:dyDescent="0.2">
      <c r="A130" s="88"/>
      <c r="B130" s="86"/>
      <c r="C130" s="88"/>
      <c r="D130" s="88"/>
      <c r="E130" s="105"/>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c r="BZ130" s="90"/>
      <c r="CA130" s="90"/>
      <c r="CB130" s="90"/>
      <c r="CC130" s="90"/>
      <c r="CD130" s="90"/>
      <c r="CE130" s="90"/>
      <c r="CF130" s="90"/>
      <c r="CG130" s="90"/>
      <c r="CH130" s="90"/>
      <c r="CI130" s="90"/>
    </row>
    <row r="131" spans="1:87" s="109" customFormat="1" x14ac:dyDescent="0.2">
      <c r="A131" s="88"/>
      <c r="B131" s="86"/>
      <c r="C131" s="88"/>
      <c r="D131" s="88"/>
      <c r="E131" s="105"/>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0"/>
      <c r="BF131" s="90"/>
      <c r="BG131" s="90"/>
      <c r="BH131" s="90"/>
      <c r="BI131" s="90"/>
      <c r="BJ131" s="90"/>
      <c r="BK131" s="90"/>
      <c r="BL131" s="90"/>
      <c r="BM131" s="90"/>
      <c r="BN131" s="90"/>
      <c r="BO131" s="90"/>
      <c r="BP131" s="90"/>
      <c r="BQ131" s="90"/>
      <c r="BR131" s="90"/>
      <c r="BS131" s="90"/>
      <c r="BT131" s="90"/>
      <c r="BU131" s="90"/>
      <c r="BV131" s="90"/>
      <c r="BW131" s="90"/>
      <c r="BX131" s="90"/>
      <c r="BY131" s="90"/>
      <c r="BZ131" s="90"/>
      <c r="CA131" s="90"/>
      <c r="CB131" s="90"/>
      <c r="CC131" s="90"/>
      <c r="CD131" s="90"/>
      <c r="CE131" s="90"/>
      <c r="CF131" s="90"/>
      <c r="CG131" s="90"/>
      <c r="CH131" s="90"/>
      <c r="CI131" s="90"/>
    </row>
    <row r="132" spans="1:87" s="109" customFormat="1" x14ac:dyDescent="0.2">
      <c r="A132" s="88"/>
      <c r="B132" s="86"/>
      <c r="C132" s="88"/>
      <c r="D132" s="88"/>
      <c r="E132" s="105"/>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0"/>
      <c r="BF132" s="90"/>
      <c r="BG132" s="90"/>
      <c r="BH132" s="90"/>
      <c r="BI132" s="90"/>
      <c r="BJ132" s="90"/>
      <c r="BK132" s="90"/>
      <c r="BL132" s="90"/>
      <c r="BM132" s="90"/>
      <c r="BN132" s="90"/>
      <c r="BO132" s="90"/>
      <c r="BP132" s="90"/>
      <c r="BQ132" s="90"/>
      <c r="BR132" s="90"/>
      <c r="BS132" s="90"/>
      <c r="BT132" s="90"/>
      <c r="BU132" s="90"/>
      <c r="BV132" s="90"/>
      <c r="BW132" s="90"/>
      <c r="BX132" s="90"/>
      <c r="BY132" s="90"/>
      <c r="BZ132" s="90"/>
      <c r="CA132" s="90"/>
      <c r="CB132" s="90"/>
      <c r="CC132" s="90"/>
      <c r="CD132" s="90"/>
      <c r="CE132" s="90"/>
      <c r="CF132" s="90"/>
      <c r="CG132" s="90"/>
      <c r="CH132" s="90"/>
      <c r="CI132" s="90"/>
    </row>
    <row r="133" spans="1:87" s="109" customFormat="1" x14ac:dyDescent="0.2">
      <c r="A133" s="88"/>
      <c r="B133" s="86"/>
      <c r="C133" s="88"/>
      <c r="D133" s="88"/>
      <c r="E133" s="105"/>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90"/>
      <c r="BT133" s="90"/>
      <c r="BU133" s="90"/>
      <c r="BV133" s="90"/>
      <c r="BW133" s="90"/>
      <c r="BX133" s="90"/>
      <c r="BY133" s="90"/>
      <c r="BZ133" s="90"/>
      <c r="CA133" s="90"/>
      <c r="CB133" s="90"/>
      <c r="CC133" s="90"/>
      <c r="CD133" s="90"/>
      <c r="CE133" s="90"/>
      <c r="CF133" s="90"/>
      <c r="CG133" s="90"/>
      <c r="CH133" s="90"/>
      <c r="CI133" s="90"/>
    </row>
    <row r="134" spans="1:87" s="109" customFormat="1" x14ac:dyDescent="0.2">
      <c r="A134" s="88"/>
      <c r="B134" s="86"/>
      <c r="C134" s="88"/>
      <c r="D134" s="88"/>
      <c r="E134" s="105"/>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0"/>
      <c r="BF134" s="90"/>
      <c r="BG134" s="90"/>
      <c r="BH134" s="90"/>
      <c r="BI134" s="90"/>
      <c r="BJ134" s="90"/>
      <c r="BK134" s="90"/>
      <c r="BL134" s="90"/>
      <c r="BM134" s="90"/>
      <c r="BN134" s="90"/>
      <c r="BO134" s="90"/>
      <c r="BP134" s="90"/>
      <c r="BQ134" s="90"/>
      <c r="BR134" s="90"/>
      <c r="BS134" s="90"/>
      <c r="BT134" s="90"/>
      <c r="BU134" s="90"/>
      <c r="BV134" s="90"/>
      <c r="BW134" s="90"/>
      <c r="BX134" s="90"/>
      <c r="BY134" s="90"/>
      <c r="BZ134" s="90"/>
      <c r="CA134" s="90"/>
      <c r="CB134" s="90"/>
      <c r="CC134" s="90"/>
      <c r="CD134" s="90"/>
      <c r="CE134" s="90"/>
      <c r="CF134" s="90"/>
      <c r="CG134" s="90"/>
      <c r="CH134" s="90"/>
      <c r="CI134" s="90"/>
    </row>
    <row r="135" spans="1:87" s="109" customFormat="1" x14ac:dyDescent="0.2">
      <c r="A135" s="88"/>
      <c r="B135" s="86"/>
      <c r="C135" s="88"/>
      <c r="D135" s="88"/>
      <c r="E135" s="105"/>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0"/>
      <c r="BF135" s="90"/>
      <c r="BG135" s="90"/>
      <c r="BH135" s="90"/>
      <c r="BI135" s="90"/>
      <c r="BJ135" s="90"/>
      <c r="BK135" s="90"/>
      <c r="BL135" s="90"/>
      <c r="BM135" s="90"/>
      <c r="BN135" s="90"/>
      <c r="BO135" s="90"/>
      <c r="BP135" s="90"/>
      <c r="BQ135" s="90"/>
      <c r="BR135" s="90"/>
      <c r="BS135" s="90"/>
      <c r="BT135" s="90"/>
      <c r="BU135" s="90"/>
      <c r="BV135" s="90"/>
      <c r="BW135" s="90"/>
      <c r="BX135" s="90"/>
      <c r="BY135" s="90"/>
      <c r="BZ135" s="90"/>
      <c r="CA135" s="90"/>
      <c r="CB135" s="90"/>
      <c r="CC135" s="90"/>
      <c r="CD135" s="90"/>
      <c r="CE135" s="90"/>
      <c r="CF135" s="90"/>
      <c r="CG135" s="90"/>
      <c r="CH135" s="90"/>
      <c r="CI135" s="90"/>
    </row>
    <row r="136" spans="1:87" s="109" customFormat="1" x14ac:dyDescent="0.2">
      <c r="A136" s="88"/>
      <c r="B136" s="86"/>
      <c r="C136" s="88"/>
      <c r="D136" s="88"/>
      <c r="E136" s="105"/>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0"/>
      <c r="BF136" s="90"/>
      <c r="BG136" s="90"/>
      <c r="BH136" s="90"/>
      <c r="BI136" s="90"/>
      <c r="BJ136" s="90"/>
      <c r="BK136" s="90"/>
      <c r="BL136" s="90"/>
      <c r="BM136" s="90"/>
      <c r="BN136" s="90"/>
      <c r="BO136" s="90"/>
      <c r="BP136" s="90"/>
      <c r="BQ136" s="90"/>
      <c r="BR136" s="90"/>
      <c r="BS136" s="90"/>
      <c r="BT136" s="90"/>
      <c r="BU136" s="90"/>
      <c r="BV136" s="90"/>
      <c r="BW136" s="90"/>
      <c r="BX136" s="90"/>
      <c r="BY136" s="90"/>
      <c r="BZ136" s="90"/>
      <c r="CA136" s="90"/>
      <c r="CB136" s="90"/>
      <c r="CC136" s="90"/>
      <c r="CD136" s="90"/>
      <c r="CE136" s="90"/>
      <c r="CF136" s="90"/>
      <c r="CG136" s="90"/>
      <c r="CH136" s="90"/>
      <c r="CI136" s="90"/>
    </row>
    <row r="137" spans="1:87" s="109" customFormat="1" x14ac:dyDescent="0.2">
      <c r="A137" s="88"/>
      <c r="B137" s="86"/>
      <c r="C137" s="88"/>
      <c r="D137" s="88"/>
      <c r="E137" s="105"/>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90"/>
      <c r="BT137" s="90"/>
      <c r="BU137" s="90"/>
      <c r="BV137" s="90"/>
      <c r="BW137" s="90"/>
      <c r="BX137" s="90"/>
      <c r="BY137" s="90"/>
      <c r="BZ137" s="90"/>
      <c r="CA137" s="90"/>
      <c r="CB137" s="90"/>
      <c r="CC137" s="90"/>
      <c r="CD137" s="90"/>
      <c r="CE137" s="90"/>
      <c r="CF137" s="90"/>
      <c r="CG137" s="90"/>
      <c r="CH137" s="90"/>
      <c r="CI137" s="90"/>
    </row>
    <row r="138" spans="1:87" s="109" customFormat="1" x14ac:dyDescent="0.2">
      <c r="A138" s="88"/>
      <c r="B138" s="86"/>
      <c r="C138" s="88"/>
      <c r="D138" s="88"/>
      <c r="E138" s="105"/>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0"/>
      <c r="BF138" s="90"/>
      <c r="BG138" s="90"/>
      <c r="BH138" s="90"/>
      <c r="BI138" s="90"/>
      <c r="BJ138" s="90"/>
      <c r="BK138" s="90"/>
      <c r="BL138" s="90"/>
      <c r="BM138" s="90"/>
      <c r="BN138" s="90"/>
      <c r="BO138" s="90"/>
      <c r="BP138" s="90"/>
      <c r="BQ138" s="90"/>
      <c r="BR138" s="90"/>
      <c r="BS138" s="90"/>
      <c r="BT138" s="90"/>
      <c r="BU138" s="90"/>
      <c r="BV138" s="90"/>
      <c r="BW138" s="90"/>
      <c r="BX138" s="90"/>
      <c r="BY138" s="90"/>
      <c r="BZ138" s="90"/>
      <c r="CA138" s="90"/>
      <c r="CB138" s="90"/>
      <c r="CC138" s="90"/>
      <c r="CD138" s="90"/>
      <c r="CE138" s="90"/>
      <c r="CF138" s="90"/>
      <c r="CG138" s="90"/>
      <c r="CH138" s="90"/>
      <c r="CI138" s="90"/>
    </row>
    <row r="139" spans="1:87" s="109" customFormat="1" x14ac:dyDescent="0.2">
      <c r="A139" s="88"/>
      <c r="B139" s="86"/>
      <c r="C139" s="88"/>
      <c r="D139" s="88"/>
      <c r="E139" s="105"/>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c r="AY139" s="90"/>
      <c r="AZ139" s="90"/>
      <c r="BA139" s="90"/>
      <c r="BB139" s="90"/>
      <c r="BC139" s="90"/>
      <c r="BD139" s="90"/>
      <c r="BE139" s="90"/>
      <c r="BF139" s="90"/>
      <c r="BG139" s="90"/>
      <c r="BH139" s="90"/>
      <c r="BI139" s="90"/>
      <c r="BJ139" s="90"/>
      <c r="BK139" s="90"/>
      <c r="BL139" s="90"/>
      <c r="BM139" s="90"/>
      <c r="BN139" s="90"/>
      <c r="BO139" s="90"/>
      <c r="BP139" s="90"/>
      <c r="BQ139" s="90"/>
      <c r="BR139" s="90"/>
      <c r="BS139" s="90"/>
      <c r="BT139" s="90"/>
      <c r="BU139" s="90"/>
      <c r="BV139" s="90"/>
      <c r="BW139" s="90"/>
      <c r="BX139" s="90"/>
      <c r="BY139" s="90"/>
      <c r="BZ139" s="90"/>
      <c r="CA139" s="90"/>
      <c r="CB139" s="90"/>
      <c r="CC139" s="90"/>
      <c r="CD139" s="90"/>
      <c r="CE139" s="90"/>
      <c r="CF139" s="90"/>
      <c r="CG139" s="90"/>
      <c r="CH139" s="90"/>
      <c r="CI139" s="90"/>
    </row>
    <row r="140" spans="1:87" s="109" customFormat="1" x14ac:dyDescent="0.2">
      <c r="A140" s="88"/>
      <c r="B140" s="86"/>
      <c r="C140" s="88"/>
      <c r="D140" s="88"/>
      <c r="E140" s="105"/>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0"/>
      <c r="BF140" s="90"/>
      <c r="BG140" s="90"/>
      <c r="BH140" s="90"/>
      <c r="BI140" s="90"/>
      <c r="BJ140" s="90"/>
      <c r="BK140" s="90"/>
      <c r="BL140" s="90"/>
      <c r="BM140" s="90"/>
      <c r="BN140" s="90"/>
      <c r="BO140" s="90"/>
      <c r="BP140" s="90"/>
      <c r="BQ140" s="90"/>
      <c r="BR140" s="90"/>
      <c r="BS140" s="90"/>
      <c r="BT140" s="90"/>
      <c r="BU140" s="90"/>
      <c r="BV140" s="90"/>
      <c r="BW140" s="90"/>
      <c r="BX140" s="90"/>
      <c r="BY140" s="90"/>
      <c r="BZ140" s="90"/>
      <c r="CA140" s="90"/>
      <c r="CB140" s="90"/>
      <c r="CC140" s="90"/>
      <c r="CD140" s="90"/>
      <c r="CE140" s="90"/>
      <c r="CF140" s="90"/>
      <c r="CG140" s="90"/>
      <c r="CH140" s="90"/>
      <c r="CI140" s="90"/>
    </row>
    <row r="141" spans="1:87" s="109" customFormat="1" x14ac:dyDescent="0.2">
      <c r="A141" s="88"/>
      <c r="B141" s="86"/>
      <c r="C141" s="88"/>
      <c r="D141" s="88"/>
      <c r="E141" s="105"/>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0"/>
      <c r="BF141" s="90"/>
      <c r="BG141" s="90"/>
      <c r="BH141" s="90"/>
      <c r="BI141" s="90"/>
      <c r="BJ141" s="90"/>
      <c r="BK141" s="90"/>
      <c r="BL141" s="90"/>
      <c r="BM141" s="90"/>
      <c r="BN141" s="90"/>
      <c r="BO141" s="90"/>
      <c r="BP141" s="90"/>
      <c r="BQ141" s="90"/>
      <c r="BR141" s="90"/>
      <c r="BS141" s="90"/>
      <c r="BT141" s="90"/>
      <c r="BU141" s="90"/>
      <c r="BV141" s="90"/>
      <c r="BW141" s="90"/>
      <c r="BX141" s="90"/>
      <c r="BY141" s="90"/>
      <c r="BZ141" s="90"/>
      <c r="CA141" s="90"/>
      <c r="CB141" s="90"/>
      <c r="CC141" s="90"/>
      <c r="CD141" s="90"/>
      <c r="CE141" s="90"/>
      <c r="CF141" s="90"/>
      <c r="CG141" s="90"/>
      <c r="CH141" s="90"/>
      <c r="CI141" s="90"/>
    </row>
    <row r="142" spans="1:87" s="109" customFormat="1" x14ac:dyDescent="0.2">
      <c r="A142" s="88"/>
      <c r="B142" s="86"/>
      <c r="C142" s="88"/>
      <c r="D142" s="88"/>
      <c r="E142" s="105"/>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0"/>
      <c r="BG142" s="90"/>
      <c r="BH142" s="90"/>
      <c r="BI142" s="90"/>
      <c r="BJ142" s="9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0"/>
      <c r="CI142" s="90"/>
    </row>
    <row r="143" spans="1:87" s="109" customFormat="1" x14ac:dyDescent="0.2">
      <c r="A143" s="88"/>
      <c r="B143" s="86"/>
      <c r="C143" s="88"/>
      <c r="D143" s="88"/>
      <c r="E143" s="105"/>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c r="AY143" s="90"/>
      <c r="AZ143" s="90"/>
      <c r="BA143" s="90"/>
      <c r="BB143" s="90"/>
      <c r="BC143" s="90"/>
      <c r="BD143" s="90"/>
      <c r="BE143" s="90"/>
      <c r="BF143" s="90"/>
      <c r="BG143" s="90"/>
      <c r="BH143" s="90"/>
      <c r="BI143" s="90"/>
      <c r="BJ143" s="90"/>
      <c r="BK143" s="90"/>
      <c r="BL143" s="90"/>
      <c r="BM143" s="90"/>
      <c r="BN143" s="90"/>
      <c r="BO143" s="90"/>
      <c r="BP143" s="90"/>
      <c r="BQ143" s="90"/>
      <c r="BR143" s="90"/>
      <c r="BS143" s="90"/>
      <c r="BT143" s="90"/>
      <c r="BU143" s="90"/>
      <c r="BV143" s="90"/>
      <c r="BW143" s="90"/>
      <c r="BX143" s="90"/>
      <c r="BY143" s="90"/>
      <c r="BZ143" s="90"/>
      <c r="CA143" s="90"/>
      <c r="CB143" s="90"/>
      <c r="CC143" s="90"/>
      <c r="CD143" s="90"/>
      <c r="CE143" s="90"/>
      <c r="CF143" s="90"/>
      <c r="CG143" s="90"/>
      <c r="CH143" s="90"/>
      <c r="CI143" s="90"/>
    </row>
    <row r="144" spans="1:87" s="109" customFormat="1" x14ac:dyDescent="0.2">
      <c r="A144" s="88"/>
      <c r="B144" s="86"/>
      <c r="C144" s="88"/>
      <c r="D144" s="88"/>
      <c r="E144" s="105"/>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c r="AY144" s="90"/>
      <c r="AZ144" s="90"/>
      <c r="BA144" s="90"/>
      <c r="BB144" s="90"/>
      <c r="BC144" s="90"/>
      <c r="BD144" s="90"/>
      <c r="BE144" s="90"/>
      <c r="BF144" s="90"/>
      <c r="BG144" s="90"/>
      <c r="BH144" s="90"/>
      <c r="BI144" s="90"/>
      <c r="BJ144" s="90"/>
      <c r="BK144" s="90"/>
      <c r="BL144" s="90"/>
      <c r="BM144" s="90"/>
      <c r="BN144" s="90"/>
      <c r="BO144" s="90"/>
      <c r="BP144" s="90"/>
      <c r="BQ144" s="90"/>
      <c r="BR144" s="90"/>
      <c r="BS144" s="90"/>
      <c r="BT144" s="90"/>
      <c r="BU144" s="90"/>
      <c r="BV144" s="90"/>
      <c r="BW144" s="90"/>
      <c r="BX144" s="90"/>
      <c r="BY144" s="90"/>
      <c r="BZ144" s="90"/>
      <c r="CA144" s="90"/>
      <c r="CB144" s="90"/>
      <c r="CC144" s="90"/>
      <c r="CD144" s="90"/>
      <c r="CE144" s="90"/>
      <c r="CF144" s="90"/>
      <c r="CG144" s="90"/>
      <c r="CH144" s="90"/>
      <c r="CI144" s="90"/>
    </row>
    <row r="145" spans="1:87" s="109" customFormat="1" x14ac:dyDescent="0.2">
      <c r="A145" s="88"/>
      <c r="B145" s="86"/>
      <c r="C145" s="88"/>
      <c r="D145" s="88"/>
      <c r="E145" s="105"/>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c r="BZ145" s="90"/>
      <c r="CA145" s="90"/>
      <c r="CB145" s="90"/>
      <c r="CC145" s="90"/>
      <c r="CD145" s="90"/>
      <c r="CE145" s="90"/>
      <c r="CF145" s="90"/>
      <c r="CG145" s="90"/>
      <c r="CH145" s="90"/>
      <c r="CI145" s="90"/>
    </row>
    <row r="146" spans="1:87" s="109" customFormat="1" x14ac:dyDescent="0.2">
      <c r="A146" s="88"/>
      <c r="B146" s="86"/>
      <c r="C146" s="88"/>
      <c r="D146" s="88"/>
      <c r="E146" s="105"/>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0"/>
      <c r="BD146" s="90"/>
      <c r="BE146" s="90"/>
      <c r="BF146" s="90"/>
      <c r="BG146" s="90"/>
      <c r="BH146" s="90"/>
      <c r="BI146" s="90"/>
      <c r="BJ146" s="90"/>
      <c r="BK146" s="90"/>
      <c r="BL146" s="90"/>
      <c r="BM146" s="90"/>
      <c r="BN146" s="90"/>
      <c r="BO146" s="90"/>
      <c r="BP146" s="90"/>
      <c r="BQ146" s="90"/>
      <c r="BR146" s="90"/>
      <c r="BS146" s="90"/>
      <c r="BT146" s="90"/>
      <c r="BU146" s="90"/>
      <c r="BV146" s="90"/>
      <c r="BW146" s="90"/>
      <c r="BX146" s="90"/>
      <c r="BY146" s="90"/>
      <c r="BZ146" s="90"/>
      <c r="CA146" s="90"/>
      <c r="CB146" s="90"/>
      <c r="CC146" s="90"/>
      <c r="CD146" s="90"/>
      <c r="CE146" s="90"/>
      <c r="CF146" s="90"/>
      <c r="CG146" s="90"/>
      <c r="CH146" s="90"/>
      <c r="CI146" s="90"/>
    </row>
    <row r="147" spans="1:87" s="109" customFormat="1" x14ac:dyDescent="0.2">
      <c r="A147" s="88"/>
      <c r="B147" s="86"/>
      <c r="C147" s="88"/>
      <c r="D147" s="88"/>
      <c r="E147" s="105"/>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c r="AY147" s="90"/>
      <c r="AZ147" s="90"/>
      <c r="BA147" s="90"/>
      <c r="BB147" s="90"/>
      <c r="BC147" s="90"/>
      <c r="BD147" s="90"/>
      <c r="BE147" s="90"/>
      <c r="BF147" s="90"/>
      <c r="BG147" s="90"/>
      <c r="BH147" s="90"/>
      <c r="BI147" s="90"/>
      <c r="BJ147" s="90"/>
      <c r="BK147" s="90"/>
      <c r="BL147" s="90"/>
      <c r="BM147" s="90"/>
      <c r="BN147" s="90"/>
      <c r="BO147" s="90"/>
      <c r="BP147" s="90"/>
      <c r="BQ147" s="90"/>
      <c r="BR147" s="90"/>
      <c r="BS147" s="90"/>
      <c r="BT147" s="90"/>
      <c r="BU147" s="90"/>
      <c r="BV147" s="90"/>
      <c r="BW147" s="90"/>
      <c r="BX147" s="90"/>
      <c r="BY147" s="90"/>
      <c r="BZ147" s="90"/>
      <c r="CA147" s="90"/>
      <c r="CB147" s="90"/>
      <c r="CC147" s="90"/>
      <c r="CD147" s="90"/>
      <c r="CE147" s="90"/>
      <c r="CF147" s="90"/>
      <c r="CG147" s="90"/>
      <c r="CH147" s="90"/>
      <c r="CI147" s="90"/>
    </row>
    <row r="148" spans="1:87" s="109" customFormat="1" x14ac:dyDescent="0.2">
      <c r="A148" s="88"/>
      <c r="B148" s="86"/>
      <c r="C148" s="88"/>
      <c r="D148" s="88"/>
      <c r="E148" s="105"/>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90"/>
      <c r="BT148" s="90"/>
      <c r="BU148" s="90"/>
      <c r="BV148" s="90"/>
      <c r="BW148" s="90"/>
      <c r="BX148" s="90"/>
      <c r="BY148" s="90"/>
      <c r="BZ148" s="90"/>
      <c r="CA148" s="90"/>
      <c r="CB148" s="90"/>
      <c r="CC148" s="90"/>
      <c r="CD148" s="90"/>
      <c r="CE148" s="90"/>
      <c r="CF148" s="90"/>
      <c r="CG148" s="90"/>
      <c r="CH148" s="90"/>
      <c r="CI148" s="90"/>
    </row>
    <row r="149" spans="1:87" s="109" customFormat="1" x14ac:dyDescent="0.2">
      <c r="A149" s="88"/>
      <c r="B149" s="86"/>
      <c r="C149" s="88"/>
      <c r="D149" s="88"/>
      <c r="E149" s="105"/>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c r="AY149" s="90"/>
      <c r="AZ149" s="90"/>
      <c r="BA149" s="90"/>
      <c r="BB149" s="90"/>
      <c r="BC149" s="90"/>
      <c r="BD149" s="90"/>
      <c r="BE149" s="90"/>
      <c r="BF149" s="90"/>
      <c r="BG149" s="90"/>
      <c r="BH149" s="90"/>
      <c r="BI149" s="90"/>
      <c r="BJ149" s="90"/>
      <c r="BK149" s="90"/>
      <c r="BL149" s="90"/>
      <c r="BM149" s="90"/>
      <c r="BN149" s="90"/>
      <c r="BO149" s="90"/>
      <c r="BP149" s="90"/>
      <c r="BQ149" s="90"/>
      <c r="BR149" s="90"/>
      <c r="BS149" s="90"/>
      <c r="BT149" s="90"/>
      <c r="BU149" s="90"/>
      <c r="BV149" s="90"/>
      <c r="BW149" s="90"/>
      <c r="BX149" s="90"/>
      <c r="BY149" s="90"/>
      <c r="BZ149" s="90"/>
      <c r="CA149" s="90"/>
      <c r="CB149" s="90"/>
      <c r="CC149" s="90"/>
      <c r="CD149" s="90"/>
      <c r="CE149" s="90"/>
      <c r="CF149" s="90"/>
      <c r="CG149" s="90"/>
      <c r="CH149" s="90"/>
      <c r="CI149" s="90"/>
    </row>
    <row r="150" spans="1:87" s="109" customFormat="1" x14ac:dyDescent="0.2">
      <c r="A150" s="88"/>
      <c r="B150" s="86"/>
      <c r="C150" s="88"/>
      <c r="D150" s="88"/>
      <c r="E150" s="105"/>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c r="AY150" s="90"/>
      <c r="AZ150" s="90"/>
      <c r="BA150" s="90"/>
      <c r="BB150" s="90"/>
      <c r="BC150" s="90"/>
      <c r="BD150" s="90"/>
      <c r="BE150" s="90"/>
      <c r="BF150" s="90"/>
      <c r="BG150" s="90"/>
      <c r="BH150" s="90"/>
      <c r="BI150" s="90"/>
      <c r="BJ150" s="90"/>
      <c r="BK150" s="90"/>
      <c r="BL150" s="90"/>
      <c r="BM150" s="90"/>
      <c r="BN150" s="90"/>
      <c r="BO150" s="90"/>
      <c r="BP150" s="90"/>
      <c r="BQ150" s="90"/>
      <c r="BR150" s="90"/>
      <c r="BS150" s="90"/>
      <c r="BT150" s="90"/>
      <c r="BU150" s="90"/>
      <c r="BV150" s="90"/>
      <c r="BW150" s="90"/>
      <c r="BX150" s="90"/>
      <c r="BY150" s="90"/>
      <c r="BZ150" s="90"/>
      <c r="CA150" s="90"/>
      <c r="CB150" s="90"/>
      <c r="CC150" s="90"/>
      <c r="CD150" s="90"/>
      <c r="CE150" s="90"/>
      <c r="CF150" s="90"/>
      <c r="CG150" s="90"/>
      <c r="CH150" s="90"/>
      <c r="CI150" s="90"/>
    </row>
    <row r="151" spans="1:87" s="109" customFormat="1" x14ac:dyDescent="0.2">
      <c r="A151" s="88"/>
      <c r="B151" s="86"/>
      <c r="C151" s="88"/>
      <c r="D151" s="88"/>
      <c r="E151" s="105"/>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c r="AY151" s="90"/>
      <c r="AZ151" s="90"/>
      <c r="BA151" s="90"/>
      <c r="BB151" s="90"/>
      <c r="BC151" s="90"/>
      <c r="BD151" s="90"/>
      <c r="BE151" s="90"/>
      <c r="BF151" s="90"/>
      <c r="BG151" s="90"/>
      <c r="BH151" s="90"/>
      <c r="BI151" s="90"/>
      <c r="BJ151" s="90"/>
      <c r="BK151" s="90"/>
      <c r="BL151" s="90"/>
      <c r="BM151" s="90"/>
      <c r="BN151" s="90"/>
      <c r="BO151" s="90"/>
      <c r="BP151" s="90"/>
      <c r="BQ151" s="90"/>
      <c r="BR151" s="90"/>
      <c r="BS151" s="90"/>
      <c r="BT151" s="90"/>
      <c r="BU151" s="90"/>
      <c r="BV151" s="90"/>
      <c r="BW151" s="90"/>
      <c r="BX151" s="90"/>
      <c r="BY151" s="90"/>
      <c r="BZ151" s="90"/>
      <c r="CA151" s="90"/>
      <c r="CB151" s="90"/>
      <c r="CC151" s="90"/>
      <c r="CD151" s="90"/>
      <c r="CE151" s="90"/>
      <c r="CF151" s="90"/>
      <c r="CG151" s="90"/>
      <c r="CH151" s="90"/>
      <c r="CI151" s="90"/>
    </row>
    <row r="152" spans="1:87" s="109" customFormat="1" x14ac:dyDescent="0.2">
      <c r="A152" s="88"/>
      <c r="B152" s="86"/>
      <c r="C152" s="88"/>
      <c r="D152" s="88"/>
      <c r="E152" s="105"/>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0"/>
      <c r="BF152" s="90"/>
      <c r="BG152" s="90"/>
      <c r="BH152" s="90"/>
      <c r="BI152" s="90"/>
      <c r="BJ152" s="90"/>
      <c r="BK152" s="90"/>
      <c r="BL152" s="90"/>
      <c r="BM152" s="90"/>
      <c r="BN152" s="90"/>
      <c r="BO152" s="90"/>
      <c r="BP152" s="90"/>
      <c r="BQ152" s="90"/>
      <c r="BR152" s="90"/>
      <c r="BS152" s="90"/>
      <c r="BT152" s="90"/>
      <c r="BU152" s="90"/>
      <c r="BV152" s="90"/>
      <c r="BW152" s="90"/>
      <c r="BX152" s="90"/>
      <c r="BY152" s="90"/>
      <c r="BZ152" s="90"/>
      <c r="CA152" s="90"/>
      <c r="CB152" s="90"/>
      <c r="CC152" s="90"/>
      <c r="CD152" s="90"/>
      <c r="CE152" s="90"/>
      <c r="CF152" s="90"/>
      <c r="CG152" s="90"/>
      <c r="CH152" s="90"/>
      <c r="CI152" s="90"/>
    </row>
    <row r="153" spans="1:87" s="109" customFormat="1" x14ac:dyDescent="0.2">
      <c r="A153" s="88"/>
      <c r="B153" s="86"/>
      <c r="C153" s="88"/>
      <c r="D153" s="88"/>
      <c r="E153" s="105"/>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0"/>
      <c r="BF153" s="90"/>
      <c r="BG153" s="90"/>
      <c r="BH153" s="90"/>
      <c r="BI153" s="90"/>
      <c r="BJ153" s="90"/>
      <c r="BK153" s="90"/>
      <c r="BL153" s="90"/>
      <c r="BM153" s="90"/>
      <c r="BN153" s="90"/>
      <c r="BO153" s="90"/>
      <c r="BP153" s="90"/>
      <c r="BQ153" s="90"/>
      <c r="BR153" s="90"/>
      <c r="BS153" s="90"/>
      <c r="BT153" s="90"/>
      <c r="BU153" s="90"/>
      <c r="BV153" s="90"/>
      <c r="BW153" s="90"/>
      <c r="BX153" s="90"/>
      <c r="BY153" s="90"/>
      <c r="BZ153" s="90"/>
      <c r="CA153" s="90"/>
      <c r="CB153" s="90"/>
      <c r="CC153" s="90"/>
      <c r="CD153" s="90"/>
      <c r="CE153" s="90"/>
      <c r="CF153" s="90"/>
      <c r="CG153" s="90"/>
      <c r="CH153" s="90"/>
      <c r="CI153" s="90"/>
    </row>
    <row r="154" spans="1:87" s="109" customFormat="1" x14ac:dyDescent="0.2">
      <c r="A154" s="88"/>
      <c r="B154" s="86"/>
      <c r="C154" s="88"/>
      <c r="D154" s="88"/>
      <c r="E154" s="105"/>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c r="AY154" s="90"/>
      <c r="AZ154" s="90"/>
      <c r="BA154" s="90"/>
      <c r="BB154" s="90"/>
      <c r="BC154" s="90"/>
      <c r="BD154" s="90"/>
      <c r="BE154" s="90"/>
      <c r="BF154" s="90"/>
      <c r="BG154" s="90"/>
      <c r="BH154" s="90"/>
      <c r="BI154" s="90"/>
      <c r="BJ154" s="90"/>
      <c r="BK154" s="90"/>
      <c r="BL154" s="90"/>
      <c r="BM154" s="90"/>
      <c r="BN154" s="90"/>
      <c r="BO154" s="90"/>
      <c r="BP154" s="90"/>
      <c r="BQ154" s="90"/>
      <c r="BR154" s="90"/>
      <c r="BS154" s="90"/>
      <c r="BT154" s="90"/>
      <c r="BU154" s="90"/>
      <c r="BV154" s="90"/>
      <c r="BW154" s="90"/>
      <c r="BX154" s="90"/>
      <c r="BY154" s="90"/>
      <c r="BZ154" s="90"/>
      <c r="CA154" s="90"/>
      <c r="CB154" s="90"/>
      <c r="CC154" s="90"/>
      <c r="CD154" s="90"/>
      <c r="CE154" s="90"/>
      <c r="CF154" s="90"/>
      <c r="CG154" s="90"/>
      <c r="CH154" s="90"/>
      <c r="CI154" s="90"/>
    </row>
    <row r="155" spans="1:87" s="109" customFormat="1" x14ac:dyDescent="0.2">
      <c r="A155" s="88"/>
      <c r="B155" s="86"/>
      <c r="C155" s="88"/>
      <c r="D155" s="88"/>
      <c r="E155" s="105"/>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0"/>
      <c r="BF155" s="90"/>
      <c r="BG155" s="90"/>
      <c r="BH155" s="90"/>
      <c r="BI155" s="90"/>
      <c r="BJ155" s="90"/>
      <c r="BK155" s="90"/>
      <c r="BL155" s="90"/>
      <c r="BM155" s="90"/>
      <c r="BN155" s="90"/>
      <c r="BO155" s="90"/>
      <c r="BP155" s="90"/>
      <c r="BQ155" s="90"/>
      <c r="BR155" s="90"/>
      <c r="BS155" s="90"/>
      <c r="BT155" s="90"/>
      <c r="BU155" s="90"/>
      <c r="BV155" s="90"/>
      <c r="BW155" s="90"/>
      <c r="BX155" s="90"/>
      <c r="BY155" s="90"/>
      <c r="BZ155" s="90"/>
      <c r="CA155" s="90"/>
      <c r="CB155" s="90"/>
      <c r="CC155" s="90"/>
      <c r="CD155" s="90"/>
      <c r="CE155" s="90"/>
      <c r="CF155" s="90"/>
      <c r="CG155" s="90"/>
      <c r="CH155" s="90"/>
      <c r="CI155" s="90"/>
    </row>
    <row r="156" spans="1:87" s="109" customFormat="1" x14ac:dyDescent="0.2">
      <c r="A156" s="88"/>
      <c r="B156" s="86"/>
      <c r="C156" s="88"/>
      <c r="D156" s="88"/>
      <c r="E156" s="105"/>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c r="AY156" s="90"/>
      <c r="AZ156" s="90"/>
      <c r="BA156" s="90"/>
      <c r="BB156" s="90"/>
      <c r="BC156" s="90"/>
      <c r="BD156" s="90"/>
      <c r="BE156" s="90"/>
      <c r="BF156" s="90"/>
      <c r="BG156" s="90"/>
      <c r="BH156" s="90"/>
      <c r="BI156" s="90"/>
      <c r="BJ156" s="90"/>
      <c r="BK156" s="90"/>
      <c r="BL156" s="90"/>
      <c r="BM156" s="90"/>
      <c r="BN156" s="90"/>
      <c r="BO156" s="90"/>
      <c r="BP156" s="90"/>
      <c r="BQ156" s="90"/>
      <c r="BR156" s="90"/>
      <c r="BS156" s="90"/>
      <c r="BT156" s="90"/>
      <c r="BU156" s="90"/>
      <c r="BV156" s="90"/>
      <c r="BW156" s="90"/>
      <c r="BX156" s="90"/>
      <c r="BY156" s="90"/>
      <c r="BZ156" s="90"/>
      <c r="CA156" s="90"/>
      <c r="CB156" s="90"/>
      <c r="CC156" s="90"/>
      <c r="CD156" s="90"/>
      <c r="CE156" s="90"/>
      <c r="CF156" s="90"/>
      <c r="CG156" s="90"/>
      <c r="CH156" s="90"/>
      <c r="CI156" s="90"/>
    </row>
    <row r="157" spans="1:87" s="109" customFormat="1" x14ac:dyDescent="0.2">
      <c r="A157" s="88"/>
      <c r="B157" s="86"/>
      <c r="C157" s="88"/>
      <c r="D157" s="88"/>
      <c r="E157" s="105"/>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c r="AY157" s="90"/>
      <c r="AZ157" s="90"/>
      <c r="BA157" s="90"/>
      <c r="BB157" s="90"/>
      <c r="BC157" s="90"/>
      <c r="BD157" s="90"/>
      <c r="BE157" s="90"/>
      <c r="BF157" s="90"/>
      <c r="BG157" s="90"/>
      <c r="BH157" s="90"/>
      <c r="BI157" s="90"/>
      <c r="BJ157" s="90"/>
      <c r="BK157" s="90"/>
      <c r="BL157" s="90"/>
      <c r="BM157" s="90"/>
      <c r="BN157" s="90"/>
      <c r="BO157" s="90"/>
      <c r="BP157" s="90"/>
      <c r="BQ157" s="90"/>
      <c r="BR157" s="90"/>
      <c r="BS157" s="90"/>
      <c r="BT157" s="90"/>
      <c r="BU157" s="90"/>
      <c r="BV157" s="90"/>
      <c r="BW157" s="90"/>
      <c r="BX157" s="90"/>
      <c r="BY157" s="90"/>
      <c r="BZ157" s="90"/>
      <c r="CA157" s="90"/>
      <c r="CB157" s="90"/>
      <c r="CC157" s="90"/>
      <c r="CD157" s="90"/>
      <c r="CE157" s="90"/>
      <c r="CF157" s="90"/>
      <c r="CG157" s="90"/>
      <c r="CH157" s="90"/>
      <c r="CI157" s="90"/>
    </row>
    <row r="158" spans="1:87" s="109" customFormat="1" x14ac:dyDescent="0.2">
      <c r="A158" s="88"/>
      <c r="B158" s="86"/>
      <c r="C158" s="88"/>
      <c r="D158" s="88"/>
      <c r="E158" s="105"/>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90"/>
      <c r="BF158" s="90"/>
      <c r="BG158" s="90"/>
      <c r="BH158" s="90"/>
      <c r="BI158" s="90"/>
      <c r="BJ158" s="90"/>
      <c r="BK158" s="90"/>
      <c r="BL158" s="90"/>
      <c r="BM158" s="90"/>
      <c r="BN158" s="90"/>
      <c r="BO158" s="90"/>
      <c r="BP158" s="90"/>
      <c r="BQ158" s="90"/>
      <c r="BR158" s="90"/>
      <c r="BS158" s="90"/>
      <c r="BT158" s="90"/>
      <c r="BU158" s="90"/>
      <c r="BV158" s="90"/>
      <c r="BW158" s="90"/>
      <c r="BX158" s="90"/>
      <c r="BY158" s="90"/>
      <c r="BZ158" s="90"/>
      <c r="CA158" s="90"/>
      <c r="CB158" s="90"/>
      <c r="CC158" s="90"/>
      <c r="CD158" s="90"/>
      <c r="CE158" s="90"/>
      <c r="CF158" s="90"/>
      <c r="CG158" s="90"/>
      <c r="CH158" s="90"/>
      <c r="CI158" s="90"/>
    </row>
    <row r="159" spans="1:87" s="109" customFormat="1" x14ac:dyDescent="0.2">
      <c r="A159" s="88"/>
      <c r="B159" s="86"/>
      <c r="C159" s="88"/>
      <c r="D159" s="88"/>
      <c r="E159" s="105"/>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90"/>
      <c r="BF159" s="90"/>
      <c r="BG159" s="90"/>
      <c r="BH159" s="90"/>
      <c r="BI159" s="90"/>
      <c r="BJ159" s="90"/>
      <c r="BK159" s="90"/>
      <c r="BL159" s="90"/>
      <c r="BM159" s="90"/>
      <c r="BN159" s="90"/>
      <c r="BO159" s="90"/>
      <c r="BP159" s="90"/>
      <c r="BQ159" s="90"/>
      <c r="BR159" s="90"/>
      <c r="BS159" s="90"/>
      <c r="BT159" s="90"/>
      <c r="BU159" s="90"/>
      <c r="BV159" s="90"/>
      <c r="BW159" s="90"/>
      <c r="BX159" s="90"/>
      <c r="BY159" s="90"/>
      <c r="BZ159" s="90"/>
      <c r="CA159" s="90"/>
      <c r="CB159" s="90"/>
      <c r="CC159" s="90"/>
      <c r="CD159" s="90"/>
      <c r="CE159" s="90"/>
      <c r="CF159" s="90"/>
      <c r="CG159" s="90"/>
      <c r="CH159" s="90"/>
      <c r="CI159" s="90"/>
    </row>
    <row r="160" spans="1:87" s="109" customFormat="1" x14ac:dyDescent="0.2">
      <c r="A160" s="88"/>
      <c r="B160" s="86"/>
      <c r="C160" s="88"/>
      <c r="D160" s="88"/>
      <c r="E160" s="105"/>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0"/>
      <c r="BS160" s="90"/>
      <c r="BT160" s="90"/>
      <c r="BU160" s="90"/>
      <c r="BV160" s="90"/>
      <c r="BW160" s="90"/>
      <c r="BX160" s="90"/>
      <c r="BY160" s="90"/>
      <c r="BZ160" s="90"/>
      <c r="CA160" s="90"/>
      <c r="CB160" s="90"/>
      <c r="CC160" s="90"/>
      <c r="CD160" s="90"/>
      <c r="CE160" s="90"/>
      <c r="CF160" s="90"/>
      <c r="CG160" s="90"/>
      <c r="CH160" s="90"/>
      <c r="CI160" s="90"/>
    </row>
    <row r="161" spans="1:87" s="109" customFormat="1" x14ac:dyDescent="0.2">
      <c r="A161" s="88"/>
      <c r="B161" s="86"/>
      <c r="C161" s="88"/>
      <c r="D161" s="88"/>
      <c r="E161" s="105"/>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0"/>
      <c r="BS161" s="90"/>
      <c r="BT161" s="90"/>
      <c r="BU161" s="90"/>
      <c r="BV161" s="90"/>
      <c r="BW161" s="90"/>
      <c r="BX161" s="90"/>
      <c r="BY161" s="90"/>
      <c r="BZ161" s="90"/>
      <c r="CA161" s="90"/>
      <c r="CB161" s="90"/>
      <c r="CC161" s="90"/>
      <c r="CD161" s="90"/>
      <c r="CE161" s="90"/>
      <c r="CF161" s="90"/>
      <c r="CG161" s="90"/>
      <c r="CH161" s="90"/>
      <c r="CI161" s="90"/>
    </row>
    <row r="162" spans="1:87" s="109" customFormat="1" x14ac:dyDescent="0.2">
      <c r="A162" s="88"/>
      <c r="B162" s="86"/>
      <c r="C162" s="88"/>
      <c r="D162" s="88"/>
      <c r="E162" s="105"/>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0"/>
      <c r="BS162" s="90"/>
      <c r="BT162" s="90"/>
      <c r="BU162" s="90"/>
      <c r="BV162" s="90"/>
      <c r="BW162" s="90"/>
      <c r="BX162" s="90"/>
      <c r="BY162" s="90"/>
      <c r="BZ162" s="90"/>
      <c r="CA162" s="90"/>
      <c r="CB162" s="90"/>
      <c r="CC162" s="90"/>
      <c r="CD162" s="90"/>
      <c r="CE162" s="90"/>
      <c r="CF162" s="90"/>
      <c r="CG162" s="90"/>
      <c r="CH162" s="90"/>
      <c r="CI162" s="90"/>
    </row>
    <row r="163" spans="1:87" s="109" customFormat="1" x14ac:dyDescent="0.2">
      <c r="A163" s="88"/>
      <c r="B163" s="86"/>
      <c r="C163" s="88"/>
      <c r="D163" s="88"/>
      <c r="E163" s="105"/>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90"/>
      <c r="BF163" s="90"/>
      <c r="BG163" s="90"/>
      <c r="BH163" s="90"/>
      <c r="BI163" s="90"/>
      <c r="BJ163" s="90"/>
      <c r="BK163" s="90"/>
      <c r="BL163" s="90"/>
      <c r="BM163" s="90"/>
      <c r="BN163" s="90"/>
      <c r="BO163" s="90"/>
      <c r="BP163" s="90"/>
      <c r="BQ163" s="90"/>
      <c r="BR163" s="90"/>
      <c r="BS163" s="90"/>
      <c r="BT163" s="90"/>
      <c r="BU163" s="90"/>
      <c r="BV163" s="90"/>
      <c r="BW163" s="90"/>
      <c r="BX163" s="90"/>
      <c r="BY163" s="90"/>
      <c r="BZ163" s="90"/>
      <c r="CA163" s="90"/>
      <c r="CB163" s="90"/>
      <c r="CC163" s="90"/>
      <c r="CD163" s="90"/>
      <c r="CE163" s="90"/>
      <c r="CF163" s="90"/>
      <c r="CG163" s="90"/>
      <c r="CH163" s="90"/>
      <c r="CI163" s="90"/>
    </row>
    <row r="164" spans="1:87" s="109" customFormat="1" x14ac:dyDescent="0.2">
      <c r="A164" s="88"/>
      <c r="B164" s="86"/>
      <c r="C164" s="88"/>
      <c r="D164" s="88"/>
      <c r="E164" s="105"/>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90"/>
      <c r="BF164" s="90"/>
      <c r="BG164" s="90"/>
      <c r="BH164" s="90"/>
      <c r="BI164" s="90"/>
      <c r="BJ164" s="90"/>
      <c r="BK164" s="90"/>
      <c r="BL164" s="90"/>
      <c r="BM164" s="90"/>
      <c r="BN164" s="90"/>
      <c r="BO164" s="90"/>
      <c r="BP164" s="90"/>
      <c r="BQ164" s="90"/>
      <c r="BR164" s="90"/>
      <c r="BS164" s="90"/>
      <c r="BT164" s="90"/>
      <c r="BU164" s="90"/>
      <c r="BV164" s="90"/>
      <c r="BW164" s="90"/>
      <c r="BX164" s="90"/>
      <c r="BY164" s="90"/>
      <c r="BZ164" s="90"/>
      <c r="CA164" s="90"/>
      <c r="CB164" s="90"/>
      <c r="CC164" s="90"/>
      <c r="CD164" s="90"/>
      <c r="CE164" s="90"/>
      <c r="CF164" s="90"/>
      <c r="CG164" s="90"/>
      <c r="CH164" s="90"/>
      <c r="CI164" s="90"/>
    </row>
    <row r="165" spans="1:87" s="109" customFormat="1" x14ac:dyDescent="0.2">
      <c r="A165" s="88"/>
      <c r="B165" s="86"/>
      <c r="C165" s="88"/>
      <c r="D165" s="88"/>
      <c r="E165" s="105"/>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90"/>
      <c r="BF165" s="90"/>
      <c r="BG165" s="90"/>
      <c r="BH165" s="90"/>
      <c r="BI165" s="90"/>
      <c r="BJ165" s="90"/>
      <c r="BK165" s="90"/>
      <c r="BL165" s="90"/>
      <c r="BM165" s="90"/>
      <c r="BN165" s="90"/>
      <c r="BO165" s="90"/>
      <c r="BP165" s="90"/>
      <c r="BQ165" s="90"/>
      <c r="BR165" s="90"/>
      <c r="BS165" s="90"/>
      <c r="BT165" s="90"/>
      <c r="BU165" s="90"/>
      <c r="BV165" s="90"/>
      <c r="BW165" s="90"/>
      <c r="BX165" s="90"/>
      <c r="BY165" s="90"/>
      <c r="BZ165" s="90"/>
      <c r="CA165" s="90"/>
      <c r="CB165" s="90"/>
      <c r="CC165" s="90"/>
      <c r="CD165" s="90"/>
      <c r="CE165" s="90"/>
      <c r="CF165" s="90"/>
      <c r="CG165" s="90"/>
      <c r="CH165" s="90"/>
      <c r="CI165" s="90"/>
    </row>
    <row r="166" spans="1:87" s="109" customFormat="1" x14ac:dyDescent="0.2">
      <c r="A166" s="88"/>
      <c r="B166" s="86"/>
      <c r="C166" s="88"/>
      <c r="D166" s="88"/>
      <c r="E166" s="105"/>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0"/>
      <c r="BJ166" s="90"/>
      <c r="BK166" s="90"/>
      <c r="BL166" s="90"/>
      <c r="BM166" s="90"/>
      <c r="BN166" s="90"/>
      <c r="BO166" s="90"/>
      <c r="BP166" s="90"/>
      <c r="BQ166" s="90"/>
      <c r="BR166" s="90"/>
      <c r="BS166" s="90"/>
      <c r="BT166" s="90"/>
      <c r="BU166" s="90"/>
      <c r="BV166" s="90"/>
      <c r="BW166" s="90"/>
      <c r="BX166" s="90"/>
      <c r="BY166" s="90"/>
      <c r="BZ166" s="90"/>
      <c r="CA166" s="90"/>
      <c r="CB166" s="90"/>
      <c r="CC166" s="90"/>
      <c r="CD166" s="90"/>
      <c r="CE166" s="90"/>
      <c r="CF166" s="90"/>
      <c r="CG166" s="90"/>
      <c r="CH166" s="90"/>
      <c r="CI166" s="90"/>
    </row>
    <row r="167" spans="1:87" s="109" customFormat="1" x14ac:dyDescent="0.2">
      <c r="A167" s="88"/>
      <c r="B167" s="86"/>
      <c r="C167" s="88"/>
      <c r="D167" s="88"/>
      <c r="E167" s="105"/>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90"/>
      <c r="BF167" s="90"/>
      <c r="BG167" s="90"/>
      <c r="BH167" s="90"/>
      <c r="BI167" s="90"/>
      <c r="BJ167" s="90"/>
      <c r="BK167" s="90"/>
      <c r="BL167" s="90"/>
      <c r="BM167" s="90"/>
      <c r="BN167" s="90"/>
      <c r="BO167" s="90"/>
      <c r="BP167" s="90"/>
      <c r="BQ167" s="90"/>
      <c r="BR167" s="90"/>
      <c r="BS167" s="90"/>
      <c r="BT167" s="90"/>
      <c r="BU167" s="90"/>
      <c r="BV167" s="90"/>
      <c r="BW167" s="90"/>
      <c r="BX167" s="90"/>
      <c r="BY167" s="90"/>
      <c r="BZ167" s="90"/>
      <c r="CA167" s="90"/>
      <c r="CB167" s="90"/>
      <c r="CC167" s="90"/>
      <c r="CD167" s="90"/>
      <c r="CE167" s="90"/>
      <c r="CF167" s="90"/>
      <c r="CG167" s="90"/>
      <c r="CH167" s="90"/>
      <c r="CI167" s="90"/>
    </row>
    <row r="168" spans="1:87" s="109" customFormat="1" x14ac:dyDescent="0.2">
      <c r="A168" s="88"/>
      <c r="B168" s="86"/>
      <c r="C168" s="88"/>
      <c r="D168" s="88"/>
      <c r="E168" s="105"/>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90"/>
      <c r="BF168" s="90"/>
      <c r="BG168" s="90"/>
      <c r="BH168" s="90"/>
      <c r="BI168" s="90"/>
      <c r="BJ168" s="90"/>
      <c r="BK168" s="90"/>
      <c r="BL168" s="90"/>
      <c r="BM168" s="90"/>
      <c r="BN168" s="90"/>
      <c r="BO168" s="90"/>
      <c r="BP168" s="90"/>
      <c r="BQ168" s="90"/>
      <c r="BR168" s="90"/>
      <c r="BS168" s="90"/>
      <c r="BT168" s="90"/>
      <c r="BU168" s="90"/>
      <c r="BV168" s="90"/>
      <c r="BW168" s="90"/>
      <c r="BX168" s="90"/>
      <c r="BY168" s="90"/>
      <c r="BZ168" s="90"/>
      <c r="CA168" s="90"/>
      <c r="CB168" s="90"/>
      <c r="CC168" s="90"/>
      <c r="CD168" s="90"/>
      <c r="CE168" s="90"/>
      <c r="CF168" s="90"/>
      <c r="CG168" s="90"/>
      <c r="CH168" s="90"/>
      <c r="CI168" s="90"/>
    </row>
    <row r="169" spans="1:87" s="109" customFormat="1" x14ac:dyDescent="0.2">
      <c r="A169" s="88"/>
      <c r="B169" s="86"/>
      <c r="C169" s="88"/>
      <c r="D169" s="88"/>
      <c r="E169" s="105"/>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90"/>
      <c r="BF169" s="90"/>
      <c r="BG169" s="90"/>
      <c r="BH169" s="90"/>
      <c r="BI169" s="90"/>
      <c r="BJ169" s="90"/>
      <c r="BK169" s="90"/>
      <c r="BL169" s="90"/>
      <c r="BM169" s="90"/>
      <c r="BN169" s="90"/>
      <c r="BO169" s="90"/>
      <c r="BP169" s="90"/>
      <c r="BQ169" s="90"/>
      <c r="BR169" s="90"/>
      <c r="BS169" s="90"/>
      <c r="BT169" s="90"/>
      <c r="BU169" s="90"/>
      <c r="BV169" s="90"/>
      <c r="BW169" s="90"/>
      <c r="BX169" s="90"/>
      <c r="BY169" s="90"/>
      <c r="BZ169" s="90"/>
      <c r="CA169" s="90"/>
      <c r="CB169" s="90"/>
      <c r="CC169" s="90"/>
      <c r="CD169" s="90"/>
      <c r="CE169" s="90"/>
      <c r="CF169" s="90"/>
      <c r="CG169" s="90"/>
      <c r="CH169" s="90"/>
      <c r="CI169" s="90"/>
    </row>
    <row r="170" spans="1:87" s="109" customFormat="1" x14ac:dyDescent="0.2">
      <c r="A170" s="88"/>
      <c r="B170" s="86"/>
      <c r="C170" s="88"/>
      <c r="D170" s="88"/>
      <c r="E170" s="105"/>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c r="AY170" s="90"/>
      <c r="AZ170" s="90"/>
      <c r="BA170" s="90"/>
      <c r="BB170" s="90"/>
      <c r="BC170" s="90"/>
      <c r="BD170" s="90"/>
      <c r="BE170" s="90"/>
      <c r="BF170" s="90"/>
      <c r="BG170" s="90"/>
      <c r="BH170" s="90"/>
      <c r="BI170" s="90"/>
      <c r="BJ170" s="90"/>
      <c r="BK170" s="90"/>
      <c r="BL170" s="90"/>
      <c r="BM170" s="90"/>
      <c r="BN170" s="90"/>
      <c r="BO170" s="90"/>
      <c r="BP170" s="90"/>
      <c r="BQ170" s="90"/>
      <c r="BR170" s="90"/>
      <c r="BS170" s="90"/>
      <c r="BT170" s="90"/>
      <c r="BU170" s="90"/>
      <c r="BV170" s="90"/>
      <c r="BW170" s="90"/>
      <c r="BX170" s="90"/>
      <c r="BY170" s="90"/>
      <c r="BZ170" s="90"/>
      <c r="CA170" s="90"/>
      <c r="CB170" s="90"/>
      <c r="CC170" s="90"/>
      <c r="CD170" s="90"/>
      <c r="CE170" s="90"/>
      <c r="CF170" s="90"/>
      <c r="CG170" s="90"/>
      <c r="CH170" s="90"/>
      <c r="CI170" s="90"/>
    </row>
    <row r="171" spans="1:87" s="109" customFormat="1" x14ac:dyDescent="0.2">
      <c r="A171" s="88"/>
      <c r="B171" s="86"/>
      <c r="C171" s="88"/>
      <c r="D171" s="88"/>
      <c r="E171" s="105"/>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c r="AY171" s="90"/>
      <c r="AZ171" s="90"/>
      <c r="BA171" s="90"/>
      <c r="BB171" s="90"/>
      <c r="BC171" s="90"/>
      <c r="BD171" s="90"/>
      <c r="BE171" s="90"/>
      <c r="BF171" s="90"/>
      <c r="BG171" s="90"/>
      <c r="BH171" s="90"/>
      <c r="BI171" s="90"/>
      <c r="BJ171" s="90"/>
      <c r="BK171" s="90"/>
      <c r="BL171" s="90"/>
      <c r="BM171" s="90"/>
      <c r="BN171" s="90"/>
      <c r="BO171" s="90"/>
      <c r="BP171" s="90"/>
      <c r="BQ171" s="90"/>
      <c r="BR171" s="90"/>
      <c r="BS171" s="90"/>
      <c r="BT171" s="90"/>
      <c r="BU171" s="90"/>
      <c r="BV171" s="90"/>
      <c r="BW171" s="90"/>
      <c r="BX171" s="90"/>
      <c r="BY171" s="90"/>
      <c r="BZ171" s="90"/>
      <c r="CA171" s="90"/>
      <c r="CB171" s="90"/>
      <c r="CC171" s="90"/>
      <c r="CD171" s="90"/>
      <c r="CE171" s="90"/>
      <c r="CF171" s="90"/>
      <c r="CG171" s="90"/>
      <c r="CH171" s="90"/>
      <c r="CI171" s="90"/>
    </row>
    <row r="172" spans="1:87" s="109" customFormat="1" x14ac:dyDescent="0.2">
      <c r="A172" s="88"/>
      <c r="B172" s="86"/>
      <c r="C172" s="88"/>
      <c r="D172" s="88"/>
      <c r="E172" s="105"/>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90"/>
      <c r="BF172" s="90"/>
      <c r="BG172" s="90"/>
      <c r="BH172" s="90"/>
      <c r="BI172" s="90"/>
      <c r="BJ172" s="90"/>
      <c r="BK172" s="90"/>
      <c r="BL172" s="90"/>
      <c r="BM172" s="90"/>
      <c r="BN172" s="90"/>
      <c r="BO172" s="90"/>
      <c r="BP172" s="90"/>
      <c r="BQ172" s="90"/>
      <c r="BR172" s="90"/>
      <c r="BS172" s="90"/>
      <c r="BT172" s="90"/>
      <c r="BU172" s="90"/>
      <c r="BV172" s="90"/>
      <c r="BW172" s="90"/>
      <c r="BX172" s="90"/>
      <c r="BY172" s="90"/>
      <c r="BZ172" s="90"/>
      <c r="CA172" s="90"/>
      <c r="CB172" s="90"/>
      <c r="CC172" s="90"/>
      <c r="CD172" s="90"/>
      <c r="CE172" s="90"/>
      <c r="CF172" s="90"/>
      <c r="CG172" s="90"/>
      <c r="CH172" s="90"/>
      <c r="CI172" s="90"/>
    </row>
    <row r="173" spans="1:87" s="109" customFormat="1" x14ac:dyDescent="0.2">
      <c r="A173" s="88"/>
      <c r="B173" s="86"/>
      <c r="C173" s="88"/>
      <c r="D173" s="88"/>
      <c r="E173" s="105"/>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c r="AY173" s="90"/>
      <c r="AZ173" s="90"/>
      <c r="BA173" s="90"/>
      <c r="BB173" s="90"/>
      <c r="BC173" s="90"/>
      <c r="BD173" s="90"/>
      <c r="BE173" s="90"/>
      <c r="BF173" s="90"/>
      <c r="BG173" s="90"/>
      <c r="BH173" s="90"/>
      <c r="BI173" s="90"/>
      <c r="BJ173" s="90"/>
      <c r="BK173" s="90"/>
      <c r="BL173" s="90"/>
      <c r="BM173" s="90"/>
      <c r="BN173" s="90"/>
      <c r="BO173" s="90"/>
      <c r="BP173" s="90"/>
      <c r="BQ173" s="90"/>
      <c r="BR173" s="90"/>
      <c r="BS173" s="90"/>
      <c r="BT173" s="90"/>
      <c r="BU173" s="90"/>
      <c r="BV173" s="90"/>
      <c r="BW173" s="90"/>
      <c r="BX173" s="90"/>
      <c r="BY173" s="90"/>
      <c r="BZ173" s="90"/>
      <c r="CA173" s="90"/>
      <c r="CB173" s="90"/>
      <c r="CC173" s="90"/>
      <c r="CD173" s="90"/>
      <c r="CE173" s="90"/>
      <c r="CF173" s="90"/>
      <c r="CG173" s="90"/>
      <c r="CH173" s="90"/>
      <c r="CI173" s="90"/>
    </row>
    <row r="174" spans="1:87" s="109" customFormat="1" x14ac:dyDescent="0.2">
      <c r="A174" s="88"/>
      <c r="B174" s="86"/>
      <c r="C174" s="88"/>
      <c r="D174" s="88"/>
      <c r="E174" s="105"/>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90"/>
      <c r="BA174" s="90"/>
      <c r="BB174" s="90"/>
      <c r="BC174" s="90"/>
      <c r="BD174" s="90"/>
      <c r="BE174" s="90"/>
      <c r="BF174" s="90"/>
      <c r="BG174" s="90"/>
      <c r="BH174" s="90"/>
      <c r="BI174" s="90"/>
      <c r="BJ174" s="90"/>
      <c r="BK174" s="90"/>
      <c r="BL174" s="90"/>
      <c r="BM174" s="90"/>
      <c r="BN174" s="90"/>
      <c r="BO174" s="90"/>
      <c r="BP174" s="90"/>
      <c r="BQ174" s="90"/>
      <c r="BR174" s="90"/>
      <c r="BS174" s="90"/>
      <c r="BT174" s="90"/>
      <c r="BU174" s="90"/>
      <c r="BV174" s="90"/>
      <c r="BW174" s="90"/>
      <c r="BX174" s="90"/>
      <c r="BY174" s="90"/>
      <c r="BZ174" s="90"/>
      <c r="CA174" s="90"/>
      <c r="CB174" s="90"/>
      <c r="CC174" s="90"/>
      <c r="CD174" s="90"/>
      <c r="CE174" s="90"/>
      <c r="CF174" s="90"/>
      <c r="CG174" s="90"/>
      <c r="CH174" s="90"/>
      <c r="CI174" s="90"/>
    </row>
    <row r="175" spans="1:87" s="109" customFormat="1" x14ac:dyDescent="0.2">
      <c r="A175" s="88"/>
      <c r="B175" s="86"/>
      <c r="C175" s="88"/>
      <c r="D175" s="88"/>
      <c r="E175" s="105"/>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90"/>
      <c r="BF175" s="90"/>
      <c r="BG175" s="90"/>
      <c r="BH175" s="90"/>
      <c r="BI175" s="90"/>
      <c r="BJ175" s="90"/>
      <c r="BK175" s="90"/>
      <c r="BL175" s="90"/>
      <c r="BM175" s="90"/>
      <c r="BN175" s="90"/>
      <c r="BO175" s="90"/>
      <c r="BP175" s="90"/>
      <c r="BQ175" s="90"/>
      <c r="BR175" s="90"/>
      <c r="BS175" s="90"/>
      <c r="BT175" s="90"/>
      <c r="BU175" s="90"/>
      <c r="BV175" s="90"/>
      <c r="BW175" s="90"/>
      <c r="BX175" s="90"/>
      <c r="BY175" s="90"/>
      <c r="BZ175" s="90"/>
      <c r="CA175" s="90"/>
      <c r="CB175" s="90"/>
      <c r="CC175" s="90"/>
      <c r="CD175" s="90"/>
      <c r="CE175" s="90"/>
      <c r="CF175" s="90"/>
      <c r="CG175" s="90"/>
      <c r="CH175" s="90"/>
      <c r="CI175" s="90"/>
    </row>
    <row r="176" spans="1:87" s="109" customFormat="1" x14ac:dyDescent="0.2">
      <c r="A176" s="88"/>
      <c r="B176" s="86"/>
      <c r="C176" s="88"/>
      <c r="D176" s="88"/>
      <c r="E176" s="105"/>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90"/>
      <c r="BF176" s="90"/>
      <c r="BG176" s="90"/>
      <c r="BH176" s="90"/>
      <c r="BI176" s="90"/>
      <c r="BJ176" s="90"/>
      <c r="BK176" s="90"/>
      <c r="BL176" s="90"/>
      <c r="BM176" s="90"/>
      <c r="BN176" s="90"/>
      <c r="BO176" s="90"/>
      <c r="BP176" s="90"/>
      <c r="BQ176" s="90"/>
      <c r="BR176" s="90"/>
      <c r="BS176" s="90"/>
      <c r="BT176" s="90"/>
      <c r="BU176" s="90"/>
      <c r="BV176" s="90"/>
      <c r="BW176" s="90"/>
      <c r="BX176" s="90"/>
      <c r="BY176" s="90"/>
      <c r="BZ176" s="90"/>
      <c r="CA176" s="90"/>
      <c r="CB176" s="90"/>
      <c r="CC176" s="90"/>
      <c r="CD176" s="90"/>
      <c r="CE176" s="90"/>
      <c r="CF176" s="90"/>
      <c r="CG176" s="90"/>
      <c r="CH176" s="90"/>
      <c r="CI176" s="90"/>
    </row>
    <row r="177" spans="1:87" s="109" customFormat="1" x14ac:dyDescent="0.2">
      <c r="A177" s="88"/>
      <c r="B177" s="86"/>
      <c r="C177" s="88"/>
      <c r="D177" s="88"/>
      <c r="E177" s="105"/>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90"/>
      <c r="BF177" s="90"/>
      <c r="BG177" s="90"/>
      <c r="BH177" s="90"/>
      <c r="BI177" s="90"/>
      <c r="BJ177" s="90"/>
      <c r="BK177" s="90"/>
      <c r="BL177" s="90"/>
      <c r="BM177" s="90"/>
      <c r="BN177" s="90"/>
      <c r="BO177" s="90"/>
      <c r="BP177" s="90"/>
      <c r="BQ177" s="90"/>
      <c r="BR177" s="90"/>
      <c r="BS177" s="90"/>
      <c r="BT177" s="90"/>
      <c r="BU177" s="90"/>
      <c r="BV177" s="90"/>
      <c r="BW177" s="90"/>
      <c r="BX177" s="90"/>
      <c r="BY177" s="90"/>
      <c r="BZ177" s="90"/>
      <c r="CA177" s="90"/>
      <c r="CB177" s="90"/>
      <c r="CC177" s="90"/>
      <c r="CD177" s="90"/>
      <c r="CE177" s="90"/>
      <c r="CF177" s="90"/>
      <c r="CG177" s="90"/>
      <c r="CH177" s="90"/>
      <c r="CI177" s="90"/>
    </row>
    <row r="178" spans="1:87" s="109" customFormat="1" x14ac:dyDescent="0.2">
      <c r="A178" s="88"/>
      <c r="B178" s="86"/>
      <c r="C178" s="88"/>
      <c r="D178" s="88"/>
      <c r="E178" s="105"/>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c r="AY178" s="90"/>
      <c r="AZ178" s="90"/>
      <c r="BA178" s="90"/>
      <c r="BB178" s="90"/>
      <c r="BC178" s="90"/>
      <c r="BD178" s="90"/>
      <c r="BE178" s="90"/>
      <c r="BF178" s="90"/>
      <c r="BG178" s="90"/>
      <c r="BH178" s="90"/>
      <c r="BI178" s="90"/>
      <c r="BJ178" s="90"/>
      <c r="BK178" s="90"/>
      <c r="BL178" s="90"/>
      <c r="BM178" s="90"/>
      <c r="BN178" s="90"/>
      <c r="BO178" s="90"/>
      <c r="BP178" s="90"/>
      <c r="BQ178" s="90"/>
      <c r="BR178" s="90"/>
      <c r="BS178" s="90"/>
      <c r="BT178" s="90"/>
      <c r="BU178" s="90"/>
      <c r="BV178" s="90"/>
      <c r="BW178" s="90"/>
      <c r="BX178" s="90"/>
      <c r="BY178" s="90"/>
      <c r="BZ178" s="90"/>
      <c r="CA178" s="90"/>
      <c r="CB178" s="90"/>
      <c r="CC178" s="90"/>
      <c r="CD178" s="90"/>
      <c r="CE178" s="90"/>
      <c r="CF178" s="90"/>
      <c r="CG178" s="90"/>
      <c r="CH178" s="90"/>
      <c r="CI178" s="90"/>
    </row>
    <row r="179" spans="1:87" s="109" customFormat="1" x14ac:dyDescent="0.2">
      <c r="A179" s="88"/>
      <c r="B179" s="86"/>
      <c r="C179" s="88"/>
      <c r="D179" s="88"/>
      <c r="E179" s="105"/>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c r="AY179" s="90"/>
      <c r="AZ179" s="90"/>
      <c r="BA179" s="90"/>
      <c r="BB179" s="90"/>
      <c r="BC179" s="90"/>
      <c r="BD179" s="90"/>
      <c r="BE179" s="90"/>
      <c r="BF179" s="90"/>
      <c r="BG179" s="90"/>
      <c r="BH179" s="90"/>
      <c r="BI179" s="90"/>
      <c r="BJ179" s="90"/>
      <c r="BK179" s="90"/>
      <c r="BL179" s="90"/>
      <c r="BM179" s="90"/>
      <c r="BN179" s="90"/>
      <c r="BO179" s="90"/>
      <c r="BP179" s="90"/>
      <c r="BQ179" s="90"/>
      <c r="BR179" s="90"/>
      <c r="BS179" s="90"/>
      <c r="BT179" s="90"/>
      <c r="BU179" s="90"/>
      <c r="BV179" s="90"/>
      <c r="BW179" s="90"/>
      <c r="BX179" s="90"/>
      <c r="BY179" s="90"/>
      <c r="BZ179" s="90"/>
      <c r="CA179" s="90"/>
      <c r="CB179" s="90"/>
      <c r="CC179" s="90"/>
      <c r="CD179" s="90"/>
      <c r="CE179" s="90"/>
      <c r="CF179" s="90"/>
      <c r="CG179" s="90"/>
      <c r="CH179" s="90"/>
      <c r="CI179" s="90"/>
    </row>
    <row r="180" spans="1:87" s="109" customFormat="1" x14ac:dyDescent="0.2">
      <c r="A180" s="88"/>
      <c r="B180" s="86"/>
      <c r="C180" s="88"/>
      <c r="D180" s="88"/>
      <c r="E180" s="105"/>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c r="AY180" s="90"/>
      <c r="AZ180" s="90"/>
      <c r="BA180" s="90"/>
      <c r="BB180" s="90"/>
      <c r="BC180" s="90"/>
      <c r="BD180" s="90"/>
      <c r="BE180" s="90"/>
      <c r="BF180" s="90"/>
      <c r="BG180" s="90"/>
      <c r="BH180" s="90"/>
      <c r="BI180" s="90"/>
      <c r="BJ180" s="90"/>
      <c r="BK180" s="90"/>
      <c r="BL180" s="90"/>
      <c r="BM180" s="90"/>
      <c r="BN180" s="90"/>
      <c r="BO180" s="90"/>
      <c r="BP180" s="90"/>
      <c r="BQ180" s="90"/>
      <c r="BR180" s="90"/>
      <c r="BS180" s="90"/>
      <c r="BT180" s="90"/>
      <c r="BU180" s="90"/>
      <c r="BV180" s="90"/>
      <c r="BW180" s="90"/>
      <c r="BX180" s="90"/>
      <c r="BY180" s="90"/>
      <c r="BZ180" s="90"/>
      <c r="CA180" s="90"/>
      <c r="CB180" s="90"/>
      <c r="CC180" s="90"/>
      <c r="CD180" s="90"/>
      <c r="CE180" s="90"/>
      <c r="CF180" s="90"/>
      <c r="CG180" s="90"/>
      <c r="CH180" s="90"/>
      <c r="CI180" s="90"/>
    </row>
    <row r="181" spans="1:87" s="109" customFormat="1" x14ac:dyDescent="0.2">
      <c r="A181" s="88"/>
      <c r="B181" s="86"/>
      <c r="C181" s="88"/>
      <c r="D181" s="88"/>
      <c r="E181" s="105"/>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c r="AY181" s="90"/>
      <c r="AZ181" s="90"/>
      <c r="BA181" s="90"/>
      <c r="BB181" s="90"/>
      <c r="BC181" s="90"/>
      <c r="BD181" s="90"/>
      <c r="BE181" s="90"/>
      <c r="BF181" s="90"/>
      <c r="BG181" s="90"/>
      <c r="BH181" s="90"/>
      <c r="BI181" s="90"/>
      <c r="BJ181" s="90"/>
      <c r="BK181" s="90"/>
      <c r="BL181" s="90"/>
      <c r="BM181" s="90"/>
      <c r="BN181" s="90"/>
      <c r="BO181" s="90"/>
      <c r="BP181" s="90"/>
      <c r="BQ181" s="90"/>
      <c r="BR181" s="90"/>
      <c r="BS181" s="90"/>
      <c r="BT181" s="90"/>
      <c r="BU181" s="90"/>
      <c r="BV181" s="90"/>
      <c r="BW181" s="90"/>
      <c r="BX181" s="90"/>
      <c r="BY181" s="90"/>
      <c r="BZ181" s="90"/>
      <c r="CA181" s="90"/>
      <c r="CB181" s="90"/>
      <c r="CC181" s="90"/>
      <c r="CD181" s="90"/>
      <c r="CE181" s="90"/>
      <c r="CF181" s="90"/>
      <c r="CG181" s="90"/>
      <c r="CH181" s="90"/>
      <c r="CI181" s="90"/>
    </row>
    <row r="182" spans="1:87" s="109" customFormat="1" x14ac:dyDescent="0.2">
      <c r="A182" s="88"/>
      <c r="B182" s="86"/>
      <c r="C182" s="88"/>
      <c r="D182" s="88"/>
      <c r="E182" s="105"/>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c r="AY182" s="90"/>
      <c r="AZ182" s="90"/>
      <c r="BA182" s="90"/>
      <c r="BB182" s="90"/>
      <c r="BC182" s="90"/>
      <c r="BD182" s="90"/>
      <c r="BE182" s="90"/>
      <c r="BF182" s="90"/>
      <c r="BG182" s="90"/>
      <c r="BH182" s="90"/>
      <c r="BI182" s="90"/>
      <c r="BJ182" s="90"/>
      <c r="BK182" s="90"/>
      <c r="BL182" s="90"/>
      <c r="BM182" s="90"/>
      <c r="BN182" s="90"/>
      <c r="BO182" s="90"/>
      <c r="BP182" s="90"/>
      <c r="BQ182" s="90"/>
      <c r="BR182" s="90"/>
      <c r="BS182" s="90"/>
      <c r="BT182" s="90"/>
      <c r="BU182" s="90"/>
      <c r="BV182" s="90"/>
      <c r="BW182" s="90"/>
      <c r="BX182" s="90"/>
      <c r="BY182" s="90"/>
      <c r="BZ182" s="90"/>
      <c r="CA182" s="90"/>
      <c r="CB182" s="90"/>
      <c r="CC182" s="90"/>
      <c r="CD182" s="90"/>
      <c r="CE182" s="90"/>
      <c r="CF182" s="90"/>
      <c r="CG182" s="90"/>
      <c r="CH182" s="90"/>
      <c r="CI182" s="90"/>
    </row>
    <row r="183" spans="1:87" s="109" customFormat="1" x14ac:dyDescent="0.2">
      <c r="A183" s="88"/>
      <c r="B183" s="86"/>
      <c r="C183" s="88"/>
      <c r="D183" s="88"/>
      <c r="E183" s="105"/>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c r="AY183" s="90"/>
      <c r="AZ183" s="90"/>
      <c r="BA183" s="90"/>
      <c r="BB183" s="90"/>
      <c r="BC183" s="90"/>
      <c r="BD183" s="90"/>
      <c r="BE183" s="90"/>
      <c r="BF183" s="90"/>
      <c r="BG183" s="90"/>
      <c r="BH183" s="90"/>
      <c r="BI183" s="90"/>
      <c r="BJ183" s="90"/>
      <c r="BK183" s="90"/>
      <c r="BL183" s="90"/>
      <c r="BM183" s="90"/>
      <c r="BN183" s="90"/>
      <c r="BO183" s="90"/>
      <c r="BP183" s="90"/>
      <c r="BQ183" s="90"/>
      <c r="BR183" s="90"/>
      <c r="BS183" s="90"/>
      <c r="BT183" s="90"/>
      <c r="BU183" s="90"/>
      <c r="BV183" s="90"/>
      <c r="BW183" s="90"/>
      <c r="BX183" s="90"/>
      <c r="BY183" s="90"/>
      <c r="BZ183" s="90"/>
      <c r="CA183" s="90"/>
      <c r="CB183" s="90"/>
      <c r="CC183" s="90"/>
      <c r="CD183" s="90"/>
      <c r="CE183" s="90"/>
      <c r="CF183" s="90"/>
      <c r="CG183" s="90"/>
      <c r="CH183" s="90"/>
      <c r="CI183" s="90"/>
    </row>
    <row r="184" spans="1:87" s="109" customFormat="1" x14ac:dyDescent="0.2">
      <c r="A184" s="88"/>
      <c r="B184" s="86"/>
      <c r="C184" s="88"/>
      <c r="D184" s="88"/>
      <c r="E184" s="105"/>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c r="AY184" s="90"/>
      <c r="AZ184" s="90"/>
      <c r="BA184" s="90"/>
      <c r="BB184" s="90"/>
      <c r="BC184" s="90"/>
      <c r="BD184" s="90"/>
      <c r="BE184" s="90"/>
      <c r="BF184" s="90"/>
      <c r="BG184" s="90"/>
      <c r="BH184" s="90"/>
      <c r="BI184" s="90"/>
      <c r="BJ184" s="90"/>
      <c r="BK184" s="90"/>
      <c r="BL184" s="90"/>
      <c r="BM184" s="90"/>
      <c r="BN184" s="90"/>
      <c r="BO184" s="90"/>
      <c r="BP184" s="90"/>
      <c r="BQ184" s="90"/>
      <c r="BR184" s="90"/>
      <c r="BS184" s="90"/>
      <c r="BT184" s="90"/>
      <c r="BU184" s="90"/>
      <c r="BV184" s="90"/>
      <c r="BW184" s="90"/>
      <c r="BX184" s="90"/>
      <c r="BY184" s="90"/>
      <c r="BZ184" s="90"/>
      <c r="CA184" s="90"/>
      <c r="CB184" s="90"/>
      <c r="CC184" s="90"/>
      <c r="CD184" s="90"/>
      <c r="CE184" s="90"/>
      <c r="CF184" s="90"/>
      <c r="CG184" s="90"/>
      <c r="CH184" s="90"/>
      <c r="CI184" s="90"/>
    </row>
    <row r="185" spans="1:87" s="109" customFormat="1" x14ac:dyDescent="0.2">
      <c r="A185" s="88"/>
      <c r="B185" s="86"/>
      <c r="C185" s="88"/>
      <c r="D185" s="88"/>
      <c r="E185" s="105"/>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c r="AY185" s="90"/>
      <c r="AZ185" s="90"/>
      <c r="BA185" s="90"/>
      <c r="BB185" s="90"/>
      <c r="BC185" s="90"/>
      <c r="BD185" s="90"/>
      <c r="BE185" s="90"/>
      <c r="BF185" s="90"/>
      <c r="BG185" s="90"/>
      <c r="BH185" s="90"/>
      <c r="BI185" s="90"/>
      <c r="BJ185" s="90"/>
      <c r="BK185" s="90"/>
      <c r="BL185" s="90"/>
      <c r="BM185" s="90"/>
      <c r="BN185" s="90"/>
      <c r="BO185" s="90"/>
      <c r="BP185" s="90"/>
      <c r="BQ185" s="90"/>
      <c r="BR185" s="90"/>
      <c r="BS185" s="90"/>
      <c r="BT185" s="90"/>
      <c r="BU185" s="90"/>
      <c r="BV185" s="90"/>
      <c r="BW185" s="90"/>
      <c r="BX185" s="90"/>
      <c r="BY185" s="90"/>
      <c r="BZ185" s="90"/>
      <c r="CA185" s="90"/>
      <c r="CB185" s="90"/>
      <c r="CC185" s="90"/>
      <c r="CD185" s="90"/>
      <c r="CE185" s="90"/>
      <c r="CF185" s="90"/>
      <c r="CG185" s="90"/>
      <c r="CH185" s="90"/>
      <c r="CI185" s="90"/>
    </row>
    <row r="186" spans="1:87" s="109" customFormat="1" x14ac:dyDescent="0.2">
      <c r="A186" s="88"/>
      <c r="B186" s="86"/>
      <c r="C186" s="88"/>
      <c r="D186" s="88"/>
      <c r="E186" s="105"/>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c r="AY186" s="90"/>
      <c r="AZ186" s="90"/>
      <c r="BA186" s="90"/>
      <c r="BB186" s="90"/>
      <c r="BC186" s="90"/>
      <c r="BD186" s="90"/>
      <c r="BE186" s="90"/>
      <c r="BF186" s="90"/>
      <c r="BG186" s="90"/>
      <c r="BH186" s="90"/>
      <c r="BI186" s="90"/>
      <c r="BJ186" s="90"/>
      <c r="BK186" s="90"/>
      <c r="BL186" s="90"/>
      <c r="BM186" s="90"/>
      <c r="BN186" s="90"/>
      <c r="BO186" s="90"/>
      <c r="BP186" s="90"/>
      <c r="BQ186" s="90"/>
      <c r="BR186" s="90"/>
      <c r="BS186" s="90"/>
      <c r="BT186" s="90"/>
      <c r="BU186" s="90"/>
      <c r="BV186" s="90"/>
      <c r="BW186" s="90"/>
      <c r="BX186" s="90"/>
      <c r="BY186" s="90"/>
      <c r="BZ186" s="90"/>
      <c r="CA186" s="90"/>
      <c r="CB186" s="90"/>
      <c r="CC186" s="90"/>
      <c r="CD186" s="90"/>
      <c r="CE186" s="90"/>
      <c r="CF186" s="90"/>
      <c r="CG186" s="90"/>
      <c r="CH186" s="90"/>
      <c r="CI186" s="90"/>
    </row>
    <row r="187" spans="1:87" s="109" customFormat="1" x14ac:dyDescent="0.2">
      <c r="A187" s="88"/>
      <c r="B187" s="86"/>
      <c r="C187" s="88"/>
      <c r="D187" s="88"/>
      <c r="E187" s="105"/>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c r="AY187" s="90"/>
      <c r="AZ187" s="90"/>
      <c r="BA187" s="90"/>
      <c r="BB187" s="90"/>
      <c r="BC187" s="90"/>
      <c r="BD187" s="90"/>
      <c r="BE187" s="90"/>
      <c r="BF187" s="90"/>
      <c r="BG187" s="90"/>
      <c r="BH187" s="90"/>
      <c r="BI187" s="90"/>
      <c r="BJ187" s="90"/>
      <c r="BK187" s="90"/>
      <c r="BL187" s="90"/>
      <c r="BM187" s="90"/>
      <c r="BN187" s="90"/>
      <c r="BO187" s="90"/>
      <c r="BP187" s="90"/>
      <c r="BQ187" s="90"/>
      <c r="BR187" s="90"/>
      <c r="BS187" s="90"/>
      <c r="BT187" s="90"/>
      <c r="BU187" s="90"/>
      <c r="BV187" s="90"/>
      <c r="BW187" s="90"/>
      <c r="BX187" s="90"/>
      <c r="BY187" s="90"/>
      <c r="BZ187" s="90"/>
      <c r="CA187" s="90"/>
      <c r="CB187" s="90"/>
      <c r="CC187" s="90"/>
      <c r="CD187" s="90"/>
      <c r="CE187" s="90"/>
      <c r="CF187" s="90"/>
      <c r="CG187" s="90"/>
      <c r="CH187" s="90"/>
      <c r="CI187" s="90"/>
    </row>
    <row r="188" spans="1:87" s="109" customFormat="1" x14ac:dyDescent="0.2">
      <c r="A188" s="88"/>
      <c r="B188" s="86"/>
      <c r="C188" s="88"/>
      <c r="D188" s="88"/>
      <c r="E188" s="105"/>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c r="AW188" s="90"/>
      <c r="AX188" s="90"/>
      <c r="AY188" s="90"/>
      <c r="AZ188" s="90"/>
      <c r="BA188" s="90"/>
      <c r="BB188" s="90"/>
      <c r="BC188" s="90"/>
      <c r="BD188" s="90"/>
      <c r="BE188" s="90"/>
      <c r="BF188" s="90"/>
      <c r="BG188" s="90"/>
      <c r="BH188" s="90"/>
      <c r="BI188" s="90"/>
      <c r="BJ188" s="90"/>
      <c r="BK188" s="90"/>
      <c r="BL188" s="90"/>
      <c r="BM188" s="90"/>
      <c r="BN188" s="90"/>
      <c r="BO188" s="90"/>
      <c r="BP188" s="90"/>
      <c r="BQ188" s="90"/>
      <c r="BR188" s="90"/>
      <c r="BS188" s="90"/>
      <c r="BT188" s="90"/>
      <c r="BU188" s="90"/>
      <c r="BV188" s="90"/>
      <c r="BW188" s="90"/>
      <c r="BX188" s="90"/>
      <c r="BY188" s="90"/>
      <c r="BZ188" s="90"/>
      <c r="CA188" s="90"/>
      <c r="CB188" s="90"/>
      <c r="CC188" s="90"/>
      <c r="CD188" s="90"/>
      <c r="CE188" s="90"/>
      <c r="CF188" s="90"/>
      <c r="CG188" s="90"/>
      <c r="CH188" s="90"/>
      <c r="CI188" s="90"/>
    </row>
    <row r="189" spans="1:87" s="109" customFormat="1" x14ac:dyDescent="0.2">
      <c r="A189" s="88"/>
      <c r="B189" s="86"/>
      <c r="C189" s="88"/>
      <c r="D189" s="88"/>
      <c r="E189" s="105"/>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c r="AW189" s="90"/>
      <c r="AX189" s="90"/>
      <c r="AY189" s="90"/>
      <c r="AZ189" s="90"/>
      <c r="BA189" s="90"/>
      <c r="BB189" s="90"/>
      <c r="BC189" s="90"/>
      <c r="BD189" s="90"/>
      <c r="BE189" s="90"/>
      <c r="BF189" s="90"/>
      <c r="BG189" s="90"/>
      <c r="BH189" s="90"/>
      <c r="BI189" s="90"/>
      <c r="BJ189" s="90"/>
      <c r="BK189" s="90"/>
      <c r="BL189" s="90"/>
      <c r="BM189" s="90"/>
      <c r="BN189" s="90"/>
      <c r="BO189" s="90"/>
      <c r="BP189" s="90"/>
      <c r="BQ189" s="90"/>
      <c r="BR189" s="90"/>
      <c r="BS189" s="90"/>
      <c r="BT189" s="90"/>
      <c r="BU189" s="90"/>
      <c r="BV189" s="90"/>
      <c r="BW189" s="90"/>
      <c r="BX189" s="90"/>
      <c r="BY189" s="90"/>
      <c r="BZ189" s="90"/>
      <c r="CA189" s="90"/>
      <c r="CB189" s="90"/>
      <c r="CC189" s="90"/>
      <c r="CD189" s="90"/>
      <c r="CE189" s="90"/>
      <c r="CF189" s="90"/>
      <c r="CG189" s="90"/>
      <c r="CH189" s="90"/>
      <c r="CI189" s="90"/>
    </row>
    <row r="190" spans="1:87" s="109" customFormat="1" x14ac:dyDescent="0.2">
      <c r="A190" s="88"/>
      <c r="B190" s="86"/>
      <c r="C190" s="88"/>
      <c r="D190" s="88"/>
      <c r="E190" s="105"/>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c r="AW190" s="90"/>
      <c r="AX190" s="90"/>
      <c r="AY190" s="90"/>
      <c r="AZ190" s="90"/>
      <c r="BA190" s="90"/>
      <c r="BB190" s="90"/>
      <c r="BC190" s="90"/>
      <c r="BD190" s="90"/>
      <c r="BE190" s="90"/>
      <c r="BF190" s="90"/>
      <c r="BG190" s="90"/>
      <c r="BH190" s="90"/>
      <c r="BI190" s="90"/>
      <c r="BJ190" s="90"/>
      <c r="BK190" s="90"/>
      <c r="BL190" s="90"/>
      <c r="BM190" s="90"/>
      <c r="BN190" s="90"/>
      <c r="BO190" s="90"/>
      <c r="BP190" s="90"/>
      <c r="BQ190" s="90"/>
      <c r="BR190" s="90"/>
      <c r="BS190" s="90"/>
      <c r="BT190" s="90"/>
      <c r="BU190" s="90"/>
      <c r="BV190" s="90"/>
      <c r="BW190" s="90"/>
      <c r="BX190" s="90"/>
      <c r="BY190" s="90"/>
      <c r="BZ190" s="90"/>
      <c r="CA190" s="90"/>
      <c r="CB190" s="90"/>
      <c r="CC190" s="90"/>
      <c r="CD190" s="90"/>
      <c r="CE190" s="90"/>
      <c r="CF190" s="90"/>
      <c r="CG190" s="90"/>
      <c r="CH190" s="90"/>
      <c r="CI190" s="90"/>
    </row>
    <row r="191" spans="1:87" s="109" customFormat="1" x14ac:dyDescent="0.2">
      <c r="A191" s="88"/>
      <c r="B191" s="86"/>
      <c r="C191" s="88"/>
      <c r="D191" s="88"/>
      <c r="E191" s="105"/>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c r="AW191" s="90"/>
      <c r="AX191" s="90"/>
      <c r="AY191" s="90"/>
      <c r="AZ191" s="90"/>
      <c r="BA191" s="90"/>
      <c r="BB191" s="90"/>
      <c r="BC191" s="90"/>
      <c r="BD191" s="90"/>
      <c r="BE191" s="90"/>
      <c r="BF191" s="90"/>
      <c r="BG191" s="90"/>
      <c r="BH191" s="90"/>
      <c r="BI191" s="90"/>
      <c r="BJ191" s="90"/>
      <c r="BK191" s="90"/>
      <c r="BL191" s="90"/>
      <c r="BM191" s="90"/>
      <c r="BN191" s="90"/>
      <c r="BO191" s="90"/>
      <c r="BP191" s="90"/>
      <c r="BQ191" s="90"/>
      <c r="BR191" s="90"/>
      <c r="BS191" s="90"/>
      <c r="BT191" s="90"/>
      <c r="BU191" s="90"/>
      <c r="BV191" s="90"/>
      <c r="BW191" s="90"/>
      <c r="BX191" s="90"/>
      <c r="BY191" s="90"/>
      <c r="BZ191" s="90"/>
      <c r="CA191" s="90"/>
      <c r="CB191" s="90"/>
      <c r="CC191" s="90"/>
      <c r="CD191" s="90"/>
      <c r="CE191" s="90"/>
      <c r="CF191" s="90"/>
      <c r="CG191" s="90"/>
      <c r="CH191" s="90"/>
      <c r="CI191" s="90"/>
    </row>
    <row r="192" spans="1:87" s="109" customFormat="1" x14ac:dyDescent="0.2">
      <c r="A192" s="88"/>
      <c r="B192" s="86"/>
      <c r="C192" s="88"/>
      <c r="D192" s="88"/>
      <c r="E192" s="105"/>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c r="AW192" s="90"/>
      <c r="AX192" s="90"/>
      <c r="AY192" s="90"/>
      <c r="AZ192" s="90"/>
      <c r="BA192" s="90"/>
      <c r="BB192" s="90"/>
      <c r="BC192" s="90"/>
      <c r="BD192" s="90"/>
      <c r="BE192" s="90"/>
      <c r="BF192" s="90"/>
      <c r="BG192" s="90"/>
      <c r="BH192" s="90"/>
      <c r="BI192" s="90"/>
      <c r="BJ192" s="90"/>
      <c r="BK192" s="90"/>
      <c r="BL192" s="90"/>
      <c r="BM192" s="90"/>
      <c r="BN192" s="90"/>
      <c r="BO192" s="90"/>
      <c r="BP192" s="90"/>
      <c r="BQ192" s="90"/>
      <c r="BR192" s="90"/>
      <c r="BS192" s="90"/>
      <c r="BT192" s="90"/>
      <c r="BU192" s="90"/>
      <c r="BV192" s="90"/>
      <c r="BW192" s="90"/>
      <c r="BX192" s="90"/>
      <c r="BY192" s="90"/>
      <c r="BZ192" s="90"/>
      <c r="CA192" s="90"/>
      <c r="CB192" s="90"/>
      <c r="CC192" s="90"/>
      <c r="CD192" s="90"/>
      <c r="CE192" s="90"/>
      <c r="CF192" s="90"/>
      <c r="CG192" s="90"/>
      <c r="CH192" s="90"/>
      <c r="CI192" s="90"/>
    </row>
    <row r="193" spans="1:87" s="109" customFormat="1" x14ac:dyDescent="0.2">
      <c r="A193" s="88"/>
      <c r="B193" s="86"/>
      <c r="C193" s="88"/>
      <c r="D193" s="88"/>
      <c r="E193" s="105"/>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c r="AW193" s="90"/>
      <c r="AX193" s="90"/>
      <c r="AY193" s="90"/>
      <c r="AZ193" s="90"/>
      <c r="BA193" s="90"/>
      <c r="BB193" s="90"/>
      <c r="BC193" s="90"/>
      <c r="BD193" s="90"/>
      <c r="BE193" s="90"/>
      <c r="BF193" s="90"/>
      <c r="BG193" s="90"/>
      <c r="BH193" s="90"/>
      <c r="BI193" s="90"/>
      <c r="BJ193" s="90"/>
      <c r="BK193" s="90"/>
      <c r="BL193" s="90"/>
      <c r="BM193" s="90"/>
      <c r="BN193" s="90"/>
      <c r="BO193" s="90"/>
      <c r="BP193" s="90"/>
      <c r="BQ193" s="90"/>
      <c r="BR193" s="90"/>
      <c r="BS193" s="90"/>
      <c r="BT193" s="90"/>
      <c r="BU193" s="90"/>
      <c r="BV193" s="90"/>
      <c r="BW193" s="90"/>
      <c r="BX193" s="90"/>
      <c r="BY193" s="90"/>
      <c r="BZ193" s="90"/>
      <c r="CA193" s="90"/>
      <c r="CB193" s="90"/>
      <c r="CC193" s="90"/>
      <c r="CD193" s="90"/>
      <c r="CE193" s="90"/>
      <c r="CF193" s="90"/>
      <c r="CG193" s="90"/>
      <c r="CH193" s="90"/>
      <c r="CI193" s="90"/>
    </row>
    <row r="194" spans="1:87" s="109" customFormat="1" x14ac:dyDescent="0.2">
      <c r="A194" s="88"/>
      <c r="B194" s="86"/>
      <c r="C194" s="88"/>
      <c r="D194" s="88"/>
      <c r="E194" s="105"/>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c r="AW194" s="90"/>
      <c r="AX194" s="90"/>
      <c r="AY194" s="90"/>
      <c r="AZ194" s="90"/>
      <c r="BA194" s="90"/>
      <c r="BB194" s="90"/>
      <c r="BC194" s="90"/>
      <c r="BD194" s="90"/>
      <c r="BE194" s="90"/>
      <c r="BF194" s="90"/>
      <c r="BG194" s="90"/>
      <c r="BH194" s="90"/>
      <c r="BI194" s="90"/>
      <c r="BJ194" s="90"/>
      <c r="BK194" s="90"/>
      <c r="BL194" s="90"/>
      <c r="BM194" s="90"/>
      <c r="BN194" s="90"/>
      <c r="BO194" s="90"/>
      <c r="BP194" s="90"/>
      <c r="BQ194" s="90"/>
      <c r="BR194" s="90"/>
      <c r="BS194" s="90"/>
      <c r="BT194" s="90"/>
      <c r="BU194" s="90"/>
      <c r="BV194" s="90"/>
      <c r="BW194" s="90"/>
      <c r="BX194" s="90"/>
      <c r="BY194" s="90"/>
      <c r="BZ194" s="90"/>
      <c r="CA194" s="90"/>
      <c r="CB194" s="90"/>
      <c r="CC194" s="90"/>
      <c r="CD194" s="90"/>
      <c r="CE194" s="90"/>
      <c r="CF194" s="90"/>
      <c r="CG194" s="90"/>
      <c r="CH194" s="90"/>
      <c r="CI194" s="90"/>
    </row>
    <row r="195" spans="1:87" s="109" customFormat="1" x14ac:dyDescent="0.2">
      <c r="A195" s="88"/>
      <c r="B195" s="86"/>
      <c r="C195" s="88"/>
      <c r="D195" s="88"/>
      <c r="E195" s="105"/>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c r="AY195" s="90"/>
      <c r="AZ195" s="90"/>
      <c r="BA195" s="90"/>
      <c r="BB195" s="90"/>
      <c r="BC195" s="90"/>
      <c r="BD195" s="90"/>
      <c r="BE195" s="90"/>
      <c r="BF195" s="90"/>
      <c r="BG195" s="90"/>
      <c r="BH195" s="90"/>
      <c r="BI195" s="90"/>
      <c r="BJ195" s="90"/>
      <c r="BK195" s="90"/>
      <c r="BL195" s="90"/>
      <c r="BM195" s="90"/>
      <c r="BN195" s="90"/>
      <c r="BO195" s="90"/>
      <c r="BP195" s="90"/>
      <c r="BQ195" s="90"/>
      <c r="BR195" s="90"/>
      <c r="BS195" s="90"/>
      <c r="BT195" s="90"/>
      <c r="BU195" s="90"/>
      <c r="BV195" s="90"/>
      <c r="BW195" s="90"/>
      <c r="BX195" s="90"/>
      <c r="BY195" s="90"/>
      <c r="BZ195" s="90"/>
      <c r="CA195" s="90"/>
      <c r="CB195" s="90"/>
      <c r="CC195" s="90"/>
      <c r="CD195" s="90"/>
      <c r="CE195" s="90"/>
      <c r="CF195" s="90"/>
      <c r="CG195" s="90"/>
      <c r="CH195" s="90"/>
      <c r="CI195" s="90"/>
    </row>
    <row r="196" spans="1:87" s="109" customFormat="1" x14ac:dyDescent="0.2">
      <c r="A196" s="88"/>
      <c r="B196" s="86"/>
      <c r="C196" s="88"/>
      <c r="D196" s="88"/>
      <c r="E196" s="105"/>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c r="AW196" s="90"/>
      <c r="AX196" s="90"/>
      <c r="AY196" s="90"/>
      <c r="AZ196" s="90"/>
      <c r="BA196" s="90"/>
      <c r="BB196" s="90"/>
      <c r="BC196" s="90"/>
      <c r="BD196" s="90"/>
      <c r="BE196" s="90"/>
      <c r="BF196" s="90"/>
      <c r="BG196" s="90"/>
      <c r="BH196" s="90"/>
      <c r="BI196" s="90"/>
      <c r="BJ196" s="90"/>
      <c r="BK196" s="90"/>
      <c r="BL196" s="90"/>
      <c r="BM196" s="90"/>
      <c r="BN196" s="90"/>
      <c r="BO196" s="90"/>
      <c r="BP196" s="90"/>
      <c r="BQ196" s="90"/>
      <c r="BR196" s="90"/>
      <c r="BS196" s="90"/>
      <c r="BT196" s="90"/>
      <c r="BU196" s="90"/>
      <c r="BV196" s="90"/>
      <c r="BW196" s="90"/>
      <c r="BX196" s="90"/>
      <c r="BY196" s="90"/>
      <c r="BZ196" s="90"/>
      <c r="CA196" s="90"/>
      <c r="CB196" s="90"/>
      <c r="CC196" s="90"/>
      <c r="CD196" s="90"/>
      <c r="CE196" s="90"/>
      <c r="CF196" s="90"/>
      <c r="CG196" s="90"/>
      <c r="CH196" s="90"/>
      <c r="CI196" s="90"/>
    </row>
  </sheetData>
  <sheetProtection formatCells="0" formatColumns="0" formatRows="0" insertColumns="0" insertRows="0" insertHyperlinks="0" deleteColumns="0" deleteRows="0" sort="0" autoFilter="0" pivotTables="0"/>
  <protectedRanges>
    <protectedRange sqref="F47" name="Range1_1_1"/>
  </protectedRanges>
  <autoFilter ref="A6:CI47" xr:uid="{9AF35C31-E5ED-4608-A2E7-A26D541074E0}"/>
  <pageMargins left="0.47244094488188981" right="0.47244094488188981" top="0.74803149606299213" bottom="0.74803149606299213" header="0.31496062992125984" footer="0.31496062992125984"/>
  <pageSetup paperSize="9" scale="97" fitToHeight="0" orientation="landscape" r:id="rId1"/>
  <headerFooter>
    <oddFooter>&amp;C&amp;"Arial,Bold"&amp;16&amp;P/&amp;N</oddFooter>
  </headerFooter>
  <rowBreaks count="2" manualBreakCount="2">
    <brk id="29" max="5" man="1"/>
    <brk id="39"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EAC3-A23F-4827-97D7-54ADE4F32DA3}">
  <dimension ref="A1:CO122"/>
  <sheetViews>
    <sheetView view="pageBreakPreview" topLeftCell="C11" zoomScale="40" zoomScaleNormal="100" zoomScaleSheetLayoutView="40" workbookViewId="0">
      <selection activeCell="C3" sqref="C3"/>
    </sheetView>
  </sheetViews>
  <sheetFormatPr defaultColWidth="9.140625" defaultRowHeight="15" x14ac:dyDescent="0.2"/>
  <cols>
    <col min="1" max="1" width="9.140625" style="88"/>
    <col min="2" max="2" width="75.28515625" style="86" customWidth="1"/>
    <col min="3" max="3" width="13.28515625" style="88" customWidth="1"/>
    <col min="4" max="4" width="14.28515625" style="88" customWidth="1"/>
    <col min="5" max="5" width="16.85546875" style="109" customWidth="1"/>
    <col min="6" max="6" width="19.5703125" style="109" customWidth="1"/>
    <col min="7" max="16384" width="9.140625" style="90"/>
  </cols>
  <sheetData>
    <row r="1" spans="1:93" x14ac:dyDescent="0.2">
      <c r="A1" s="86"/>
      <c r="B1" s="87"/>
      <c r="C1" s="88" t="s">
        <v>645</v>
      </c>
      <c r="E1" s="89"/>
      <c r="F1" s="89"/>
    </row>
    <row r="2" spans="1:93" x14ac:dyDescent="0.2">
      <c r="A2" s="86"/>
      <c r="B2" s="87"/>
      <c r="E2" s="89"/>
      <c r="F2" s="89"/>
    </row>
    <row r="3" spans="1:93" ht="12" customHeight="1" thickBot="1" x14ac:dyDescent="0.25">
      <c r="A3" s="86"/>
      <c r="B3" s="273"/>
      <c r="C3" s="274"/>
      <c r="E3" s="89"/>
      <c r="F3" s="89"/>
    </row>
    <row r="4" spans="1:93" ht="33.950000000000003" customHeight="1" x14ac:dyDescent="0.2">
      <c r="A4" s="86"/>
      <c r="B4" s="87"/>
      <c r="E4" s="89"/>
      <c r="F4" s="89"/>
    </row>
    <row r="5" spans="1:93" s="95" customFormat="1" ht="15.75" x14ac:dyDescent="0.2">
      <c r="A5" s="91"/>
      <c r="B5" s="92" t="s">
        <v>89</v>
      </c>
      <c r="C5" s="93"/>
      <c r="D5" s="93"/>
      <c r="E5" s="94"/>
      <c r="F5" s="94"/>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row>
    <row r="6" spans="1:93" s="100" customFormat="1" ht="48" customHeight="1" x14ac:dyDescent="0.2">
      <c r="A6" s="96" t="s">
        <v>14</v>
      </c>
      <c r="B6" s="97" t="s">
        <v>0</v>
      </c>
      <c r="C6" s="96" t="s">
        <v>15</v>
      </c>
      <c r="D6" s="98" t="s">
        <v>16</v>
      </c>
      <c r="E6" s="99" t="s">
        <v>17</v>
      </c>
      <c r="F6" s="99" t="s">
        <v>90</v>
      </c>
    </row>
    <row r="7" spans="1:93" s="100" customFormat="1" ht="24" customHeight="1" x14ac:dyDescent="0.2">
      <c r="A7" s="169"/>
      <c r="B7" s="170" t="s">
        <v>91</v>
      </c>
      <c r="C7" s="169"/>
      <c r="D7" s="171"/>
      <c r="E7" s="99"/>
      <c r="F7" s="99"/>
    </row>
    <row r="8" spans="1:93" s="100" customFormat="1" x14ac:dyDescent="0.2">
      <c r="A8" s="172">
        <v>2.0009999999999999</v>
      </c>
      <c r="B8" s="173" t="s">
        <v>91</v>
      </c>
      <c r="C8" s="172" t="s">
        <v>659</v>
      </c>
      <c r="D8" s="174">
        <v>1</v>
      </c>
      <c r="E8" s="224">
        <v>6512.0007698935578</v>
      </c>
      <c r="F8" s="224">
        <f>$D8*E8</f>
        <v>6512.0007698935578</v>
      </c>
    </row>
    <row r="9" spans="1:93" s="104" customFormat="1" ht="15.75" x14ac:dyDescent="0.25">
      <c r="A9" s="169"/>
      <c r="B9" s="170" t="s">
        <v>92</v>
      </c>
      <c r="C9" s="169"/>
      <c r="D9" s="169"/>
      <c r="E9" s="225"/>
      <c r="F9" s="225"/>
    </row>
    <row r="10" spans="1:93" s="104" customFormat="1" ht="34.5" customHeight="1" x14ac:dyDescent="0.25">
      <c r="A10" s="169"/>
      <c r="B10" s="170" t="s">
        <v>93</v>
      </c>
      <c r="C10" s="169"/>
      <c r="D10" s="169"/>
      <c r="E10" s="225"/>
      <c r="F10" s="225"/>
    </row>
    <row r="11" spans="1:93" s="104" customFormat="1" ht="70.150000000000006" customHeight="1" x14ac:dyDescent="0.25">
      <c r="A11" s="169"/>
      <c r="B11" s="170" t="s">
        <v>94</v>
      </c>
      <c r="C11" s="169"/>
      <c r="D11" s="169"/>
      <c r="F11" s="225"/>
    </row>
    <row r="12" spans="1:93" s="104" customFormat="1" ht="15.75" x14ac:dyDescent="0.25">
      <c r="A12" s="169"/>
      <c r="B12" s="170" t="s">
        <v>95</v>
      </c>
      <c r="C12" s="169"/>
      <c r="D12" s="169"/>
      <c r="E12" s="225"/>
      <c r="F12" s="225"/>
    </row>
    <row r="13" spans="1:93" x14ac:dyDescent="0.2">
      <c r="A13" s="172">
        <v>2.0019999999999998</v>
      </c>
      <c r="B13" s="173" t="s">
        <v>95</v>
      </c>
      <c r="C13" s="172" t="s">
        <v>659</v>
      </c>
      <c r="D13" s="172">
        <v>1</v>
      </c>
      <c r="E13" s="224">
        <v>16716.137112330554</v>
      </c>
      <c r="F13" s="224">
        <f>$D13*E13</f>
        <v>16716.137112330554</v>
      </c>
    </row>
    <row r="14" spans="1:93" s="104" customFormat="1" ht="15.75" x14ac:dyDescent="0.25">
      <c r="A14" s="169"/>
      <c r="B14" s="170" t="s">
        <v>96</v>
      </c>
      <c r="C14" s="169"/>
      <c r="D14" s="169"/>
      <c r="E14" s="225"/>
      <c r="F14" s="225"/>
    </row>
    <row r="15" spans="1:93" x14ac:dyDescent="0.2">
      <c r="A15" s="172">
        <v>2.0029999999999997</v>
      </c>
      <c r="B15" s="173" t="s">
        <v>97</v>
      </c>
      <c r="C15" s="172" t="s">
        <v>659</v>
      </c>
      <c r="D15" s="172">
        <v>1</v>
      </c>
      <c r="E15" s="224">
        <v>69669.434570614059</v>
      </c>
      <c r="F15" s="224">
        <f>$D15*E15</f>
        <v>69669.434570614059</v>
      </c>
    </row>
    <row r="16" spans="1:93" s="104" customFormat="1" ht="15.75" x14ac:dyDescent="0.25">
      <c r="A16" s="169"/>
      <c r="B16" s="170" t="s">
        <v>98</v>
      </c>
      <c r="C16" s="169"/>
      <c r="D16" s="169"/>
      <c r="E16" s="225"/>
      <c r="F16" s="225"/>
    </row>
    <row r="17" spans="1:6" x14ac:dyDescent="0.2">
      <c r="A17" s="172">
        <v>2.0039999999999996</v>
      </c>
      <c r="B17" s="173" t="s">
        <v>98</v>
      </c>
      <c r="C17" s="172" t="s">
        <v>659</v>
      </c>
      <c r="D17" s="172">
        <v>1</v>
      </c>
      <c r="E17" s="224">
        <v>85982.061749706132</v>
      </c>
      <c r="F17" s="224">
        <f>$D17*E17</f>
        <v>85982.061749706132</v>
      </c>
    </row>
    <row r="18" spans="1:6" ht="15.75" x14ac:dyDescent="0.2">
      <c r="A18" s="172"/>
      <c r="B18" s="170" t="s">
        <v>99</v>
      </c>
      <c r="C18" s="172"/>
      <c r="D18" s="172"/>
      <c r="E18" s="223"/>
      <c r="F18" s="223"/>
    </row>
    <row r="19" spans="1:6" x14ac:dyDescent="0.2">
      <c r="A19" s="172">
        <v>2.0049999999999994</v>
      </c>
      <c r="B19" s="173" t="s">
        <v>100</v>
      </c>
      <c r="C19" s="172" t="s">
        <v>659</v>
      </c>
      <c r="D19" s="172">
        <v>1</v>
      </c>
      <c r="E19" s="224">
        <v>19225.772062960103</v>
      </c>
      <c r="F19" s="224">
        <f>$D19*E19</f>
        <v>19225.772062960103</v>
      </c>
    </row>
    <row r="20" spans="1:6" ht="15.75" x14ac:dyDescent="0.2">
      <c r="A20" s="172"/>
      <c r="B20" s="170" t="s">
        <v>101</v>
      </c>
      <c r="C20" s="172"/>
      <c r="D20" s="172"/>
      <c r="E20" s="223"/>
      <c r="F20" s="223"/>
    </row>
    <row r="21" spans="1:6" x14ac:dyDescent="0.2">
      <c r="A21" s="172">
        <v>2.0059999999999993</v>
      </c>
      <c r="B21" s="173" t="s">
        <v>100</v>
      </c>
      <c r="C21" s="172" t="s">
        <v>659</v>
      </c>
      <c r="D21" s="172">
        <v>1</v>
      </c>
      <c r="E21" s="224">
        <v>16716.137112330554</v>
      </c>
      <c r="F21" s="224">
        <f>$D21*E21</f>
        <v>16716.137112330554</v>
      </c>
    </row>
    <row r="22" spans="1:6" s="104" customFormat="1" ht="15.75" x14ac:dyDescent="0.25">
      <c r="A22" s="169"/>
      <c r="B22" s="170" t="s">
        <v>102</v>
      </c>
      <c r="C22" s="169"/>
      <c r="D22" s="169"/>
      <c r="E22" s="225"/>
      <c r="F22" s="225"/>
    </row>
    <row r="23" spans="1:6" s="104" customFormat="1" ht="67.900000000000006" customHeight="1" x14ac:dyDescent="0.25">
      <c r="A23" s="169"/>
      <c r="B23" s="170" t="s">
        <v>103</v>
      </c>
      <c r="C23" s="169"/>
      <c r="D23" s="169"/>
      <c r="E23" s="225"/>
      <c r="F23" s="225"/>
    </row>
    <row r="24" spans="1:6" s="104" customFormat="1" ht="15.75" x14ac:dyDescent="0.25">
      <c r="A24" s="169"/>
      <c r="B24" s="170" t="s">
        <v>95</v>
      </c>
      <c r="C24" s="169"/>
      <c r="D24" s="169"/>
      <c r="E24" s="225"/>
      <c r="F24" s="225"/>
    </row>
    <row r="25" spans="1:6" x14ac:dyDescent="0.2">
      <c r="A25" s="172">
        <v>2.0069999999999992</v>
      </c>
      <c r="B25" s="173" t="s">
        <v>104</v>
      </c>
      <c r="C25" s="172" t="s">
        <v>659</v>
      </c>
      <c r="D25" s="172">
        <v>1</v>
      </c>
      <c r="E25" s="224">
        <v>4920.8528443716668</v>
      </c>
      <c r="F25" s="224">
        <f>$D25*E25</f>
        <v>4920.8528443716668</v>
      </c>
    </row>
    <row r="26" spans="1:6" s="104" customFormat="1" ht="15.75" x14ac:dyDescent="0.25">
      <c r="A26" s="169"/>
      <c r="B26" s="170" t="s">
        <v>96</v>
      </c>
      <c r="C26" s="169"/>
      <c r="D26" s="169"/>
      <c r="E26" s="225"/>
      <c r="F26" s="225"/>
    </row>
    <row r="27" spans="1:6" x14ac:dyDescent="0.2">
      <c r="A27" s="176">
        <v>2.0079999999999991</v>
      </c>
      <c r="B27" s="173" t="s">
        <v>97</v>
      </c>
      <c r="C27" s="172" t="s">
        <v>659</v>
      </c>
      <c r="D27" s="172">
        <v>1</v>
      </c>
      <c r="E27" s="224">
        <v>4920.8528443716668</v>
      </c>
      <c r="F27" s="224">
        <f>$D27*E27</f>
        <v>4920.8528443716668</v>
      </c>
    </row>
    <row r="28" spans="1:6" s="104" customFormat="1" ht="15.75" x14ac:dyDescent="0.25">
      <c r="A28" s="169"/>
      <c r="B28" s="170" t="s">
        <v>98</v>
      </c>
      <c r="C28" s="169"/>
      <c r="D28" s="169"/>
      <c r="E28" s="225"/>
      <c r="F28" s="225"/>
    </row>
    <row r="29" spans="1:6" x14ac:dyDescent="0.2">
      <c r="A29" s="172">
        <v>2.008999999999999</v>
      </c>
      <c r="B29" s="173" t="s">
        <v>97</v>
      </c>
      <c r="C29" s="172" t="s">
        <v>659</v>
      </c>
      <c r="D29" s="172">
        <v>1</v>
      </c>
      <c r="E29" s="224">
        <v>4920.8528443716668</v>
      </c>
      <c r="F29" s="224">
        <f>$D29*E29</f>
        <v>4920.8528443716668</v>
      </c>
    </row>
    <row r="30" spans="1:6" ht="15.75" x14ac:dyDescent="0.2">
      <c r="A30" s="176"/>
      <c r="B30" s="170" t="s">
        <v>99</v>
      </c>
      <c r="C30" s="172"/>
      <c r="D30" s="172"/>
      <c r="E30" s="223"/>
      <c r="F30" s="223"/>
    </row>
    <row r="31" spans="1:6" x14ac:dyDescent="0.2">
      <c r="A31" s="176">
        <v>2.0099999999999989</v>
      </c>
      <c r="B31" s="173" t="s">
        <v>100</v>
      </c>
      <c r="C31" s="172" t="s">
        <v>659</v>
      </c>
      <c r="D31" s="172">
        <v>1</v>
      </c>
      <c r="E31" s="224">
        <v>4920.8528443716668</v>
      </c>
      <c r="F31" s="224">
        <f>$D31*E31</f>
        <v>4920.8528443716668</v>
      </c>
    </row>
    <row r="32" spans="1:6" ht="15.75" x14ac:dyDescent="0.2">
      <c r="A32" s="176"/>
      <c r="B32" s="170" t="s">
        <v>101</v>
      </c>
      <c r="C32" s="172"/>
      <c r="D32" s="172"/>
      <c r="E32" s="223"/>
      <c r="F32" s="223"/>
    </row>
    <row r="33" spans="1:6" x14ac:dyDescent="0.2">
      <c r="A33" s="176">
        <v>2.0109999999999988</v>
      </c>
      <c r="B33" s="173" t="s">
        <v>100</v>
      </c>
      <c r="C33" s="172" t="s">
        <v>659</v>
      </c>
      <c r="D33" s="172">
        <v>1</v>
      </c>
      <c r="E33" s="224">
        <v>4920.8528443716668</v>
      </c>
      <c r="F33" s="224">
        <f>$D33*E33</f>
        <v>4920.8528443716668</v>
      </c>
    </row>
    <row r="34" spans="1:6" s="104" customFormat="1" ht="67.5" customHeight="1" x14ac:dyDescent="0.25">
      <c r="A34" s="176">
        <v>2.0119999999999987</v>
      </c>
      <c r="B34" s="173" t="s">
        <v>105</v>
      </c>
      <c r="C34" s="172" t="s">
        <v>659</v>
      </c>
      <c r="D34" s="172">
        <v>1</v>
      </c>
      <c r="E34" s="224">
        <v>4920.8528443716668</v>
      </c>
      <c r="F34" s="224">
        <f>$D34*E34</f>
        <v>4920.8528443716668</v>
      </c>
    </row>
    <row r="35" spans="1:6" s="104" customFormat="1" ht="67.5" customHeight="1" x14ac:dyDescent="0.25">
      <c r="A35" s="176">
        <v>2.0129999999999986</v>
      </c>
      <c r="B35" s="173" t="s">
        <v>708</v>
      </c>
      <c r="C35" s="172" t="s">
        <v>659</v>
      </c>
      <c r="D35" s="172">
        <v>1</v>
      </c>
      <c r="E35" s="224">
        <v>4920.8528443716668</v>
      </c>
      <c r="F35" s="224">
        <f>$D35*E35</f>
        <v>4920.8528443716668</v>
      </c>
    </row>
    <row r="36" spans="1:6" s="104" customFormat="1" ht="49.5" customHeight="1" x14ac:dyDescent="0.25">
      <c r="A36" s="176">
        <v>2.0139999999999985</v>
      </c>
      <c r="B36" s="173" t="s">
        <v>709</v>
      </c>
      <c r="C36" s="172" t="s">
        <v>659</v>
      </c>
      <c r="D36" s="172">
        <v>1</v>
      </c>
      <c r="E36" s="224">
        <v>22741.229334979223</v>
      </c>
      <c r="F36" s="224">
        <f>$D36*E36</f>
        <v>22741.229334979223</v>
      </c>
    </row>
    <row r="37" spans="1:6" s="104" customFormat="1" ht="32.25" customHeight="1" x14ac:dyDescent="0.25">
      <c r="A37" s="179"/>
      <c r="B37" s="170" t="s">
        <v>106</v>
      </c>
      <c r="C37" s="169"/>
      <c r="D37" s="169"/>
      <c r="E37" s="225"/>
      <c r="F37" s="225"/>
    </row>
    <row r="38" spans="1:6" s="104" customFormat="1" ht="93" customHeight="1" x14ac:dyDescent="0.25">
      <c r="A38" s="176">
        <v>2.0149999999999983</v>
      </c>
      <c r="B38" s="173" t="s">
        <v>107</v>
      </c>
      <c r="C38" s="172" t="s">
        <v>659</v>
      </c>
      <c r="D38" s="172">
        <v>1</v>
      </c>
      <c r="E38" s="224">
        <v>77523.115710231243</v>
      </c>
      <c r="F38" s="224">
        <f>$D38*E38</f>
        <v>77523.115710231243</v>
      </c>
    </row>
    <row r="39" spans="1:6" s="104" customFormat="1" ht="31.5" x14ac:dyDescent="0.25">
      <c r="A39" s="176"/>
      <c r="B39" s="170" t="s">
        <v>108</v>
      </c>
      <c r="C39" s="172"/>
      <c r="D39" s="172"/>
      <c r="E39" s="223"/>
      <c r="F39" s="223"/>
    </row>
    <row r="40" spans="1:6" s="104" customFormat="1" ht="91.15" customHeight="1" x14ac:dyDescent="0.25">
      <c r="A40" s="172">
        <v>2.0159999999999982</v>
      </c>
      <c r="B40" s="173" t="s">
        <v>107</v>
      </c>
      <c r="C40" s="172" t="s">
        <v>659</v>
      </c>
      <c r="D40" s="172">
        <v>1</v>
      </c>
      <c r="E40" s="224">
        <v>91075.144443630808</v>
      </c>
      <c r="F40" s="224">
        <f>$D40*E40</f>
        <v>91075.144443630808</v>
      </c>
    </row>
    <row r="41" spans="1:6" s="104" customFormat="1" ht="60" customHeight="1" x14ac:dyDescent="0.25">
      <c r="A41" s="172">
        <v>2.0169999999999981</v>
      </c>
      <c r="B41" s="173" t="s">
        <v>109</v>
      </c>
      <c r="C41" s="172" t="s">
        <v>659</v>
      </c>
      <c r="D41" s="172">
        <v>1</v>
      </c>
      <c r="E41" s="224">
        <v>148452.33584919176</v>
      </c>
      <c r="F41" s="224">
        <f>$D41*E41</f>
        <v>148452.33584919176</v>
      </c>
    </row>
    <row r="42" spans="1:6" s="104" customFormat="1" ht="54" customHeight="1" x14ac:dyDescent="0.25">
      <c r="A42" s="172">
        <v>2.017999999999998</v>
      </c>
      <c r="B42" s="173" t="s">
        <v>110</v>
      </c>
      <c r="C42" s="172" t="s">
        <v>659</v>
      </c>
      <c r="D42" s="172">
        <v>1</v>
      </c>
      <c r="E42" s="224">
        <v>29690.467169838354</v>
      </c>
      <c r="F42" s="224">
        <f>$D42*E42</f>
        <v>29690.467169838354</v>
      </c>
    </row>
    <row r="43" spans="1:6" s="104" customFormat="1" ht="15.75" x14ac:dyDescent="0.25">
      <c r="A43" s="176"/>
      <c r="B43" s="170" t="s">
        <v>111</v>
      </c>
      <c r="C43" s="172"/>
      <c r="D43" s="172"/>
      <c r="E43" s="223"/>
      <c r="F43" s="223"/>
    </row>
    <row r="44" spans="1:6" s="104" customFormat="1" ht="34.9" customHeight="1" x14ac:dyDescent="0.25">
      <c r="A44" s="176">
        <v>2.0189999999999979</v>
      </c>
      <c r="B44" s="173" t="s">
        <v>112</v>
      </c>
      <c r="C44" s="172" t="s">
        <v>659</v>
      </c>
      <c r="D44" s="172">
        <v>1</v>
      </c>
      <c r="E44" s="224">
        <v>16730.89967086367</v>
      </c>
      <c r="F44" s="224">
        <f>$D44*E44</f>
        <v>16730.89967086367</v>
      </c>
    </row>
    <row r="45" spans="1:6" s="104" customFormat="1" ht="15.75" x14ac:dyDescent="0.25">
      <c r="A45" s="179"/>
      <c r="B45" s="170" t="s">
        <v>113</v>
      </c>
      <c r="C45" s="169"/>
      <c r="D45" s="169"/>
      <c r="E45" s="225"/>
      <c r="F45" s="225"/>
    </row>
    <row r="46" spans="1:6" s="104" customFormat="1" ht="15.75" x14ac:dyDescent="0.25">
      <c r="A46" s="176"/>
      <c r="B46" s="173" t="s">
        <v>114</v>
      </c>
      <c r="C46" s="172"/>
      <c r="D46" s="172"/>
      <c r="E46" s="223"/>
      <c r="F46" s="223"/>
    </row>
    <row r="47" spans="1:6" s="104" customFormat="1" ht="189.6" customHeight="1" x14ac:dyDescent="0.25">
      <c r="A47" s="176"/>
      <c r="B47" s="173" t="s">
        <v>710</v>
      </c>
      <c r="C47" s="169"/>
      <c r="D47" s="169"/>
      <c r="E47" s="225"/>
      <c r="F47" s="225"/>
    </row>
    <row r="48" spans="1:6" x14ac:dyDescent="0.2">
      <c r="A48" s="176">
        <v>2.0199999999999978</v>
      </c>
      <c r="B48" s="173" t="s">
        <v>115</v>
      </c>
      <c r="C48" s="172" t="s">
        <v>659</v>
      </c>
      <c r="D48" s="172">
        <v>1</v>
      </c>
      <c r="E48" s="224">
        <v>21651.752515235334</v>
      </c>
      <c r="F48" s="224">
        <f t="shared" ref="F48:F53" si="0">$D48*E48</f>
        <v>21651.752515235334</v>
      </c>
    </row>
    <row r="49" spans="1:6" x14ac:dyDescent="0.2">
      <c r="A49" s="176">
        <v>2.0209999999999977</v>
      </c>
      <c r="B49" s="173" t="s">
        <v>116</v>
      </c>
      <c r="C49" s="172" t="s">
        <v>659</v>
      </c>
      <c r="D49" s="172">
        <v>1</v>
      </c>
      <c r="E49" s="224">
        <v>21651.752515235334</v>
      </c>
      <c r="F49" s="224">
        <f t="shared" si="0"/>
        <v>21651.752515235334</v>
      </c>
    </row>
    <row r="50" spans="1:6" x14ac:dyDescent="0.2">
      <c r="A50" s="176">
        <v>2.0219999999999976</v>
      </c>
      <c r="B50" s="173" t="s">
        <v>117</v>
      </c>
      <c r="C50" s="172" t="s">
        <v>659</v>
      </c>
      <c r="D50" s="172">
        <v>1</v>
      </c>
      <c r="E50" s="224">
        <v>21651.752515235334</v>
      </c>
      <c r="F50" s="224">
        <f t="shared" si="0"/>
        <v>21651.752515235334</v>
      </c>
    </row>
    <row r="51" spans="1:6" x14ac:dyDescent="0.2">
      <c r="A51" s="176">
        <v>2.0229999999999975</v>
      </c>
      <c r="B51" s="173" t="s">
        <v>118</v>
      </c>
      <c r="C51" s="172" t="s">
        <v>659</v>
      </c>
      <c r="D51" s="172">
        <v>1</v>
      </c>
      <c r="E51" s="224">
        <v>21651.752515235334</v>
      </c>
      <c r="F51" s="224">
        <f t="shared" si="0"/>
        <v>21651.752515235334</v>
      </c>
    </row>
    <row r="52" spans="1:6" x14ac:dyDescent="0.2">
      <c r="A52" s="176">
        <v>2.0239999999999974</v>
      </c>
      <c r="B52" s="173" t="s">
        <v>119</v>
      </c>
      <c r="C52" s="172" t="s">
        <v>659</v>
      </c>
      <c r="D52" s="172">
        <v>1</v>
      </c>
      <c r="E52" s="224">
        <v>30017.202350667169</v>
      </c>
      <c r="F52" s="224">
        <f t="shared" si="0"/>
        <v>30017.202350667169</v>
      </c>
    </row>
    <row r="53" spans="1:6" x14ac:dyDescent="0.2">
      <c r="A53" s="176">
        <v>2.0249999999999972</v>
      </c>
      <c r="B53" s="173" t="s">
        <v>120</v>
      </c>
      <c r="C53" s="172" t="s">
        <v>659</v>
      </c>
      <c r="D53" s="172">
        <v>1</v>
      </c>
      <c r="E53" s="224">
        <v>21651.752515235334</v>
      </c>
      <c r="F53" s="224">
        <f t="shared" si="0"/>
        <v>21651.752515235334</v>
      </c>
    </row>
    <row r="54" spans="1:6" ht="15.75" x14ac:dyDescent="0.2">
      <c r="A54" s="176"/>
      <c r="B54" s="170" t="s">
        <v>121</v>
      </c>
      <c r="C54" s="172"/>
      <c r="D54" s="172"/>
      <c r="E54" s="223"/>
      <c r="F54" s="223"/>
    </row>
    <row r="55" spans="1:6" ht="45" x14ac:dyDescent="0.2">
      <c r="A55" s="176">
        <v>2.0259999999999971</v>
      </c>
      <c r="B55" s="173" t="s">
        <v>122</v>
      </c>
      <c r="C55" s="172" t="s">
        <v>659</v>
      </c>
      <c r="D55" s="172">
        <v>1</v>
      </c>
      <c r="E55" s="224">
        <v>6023.12388151092</v>
      </c>
      <c r="F55" s="224">
        <f>$D55*E55</f>
        <v>6023.12388151092</v>
      </c>
    </row>
    <row r="56" spans="1:6" ht="54.6" customHeight="1" x14ac:dyDescent="0.2">
      <c r="A56" s="176">
        <v>2.026999999999997</v>
      </c>
      <c r="B56" s="173" t="s">
        <v>123</v>
      </c>
      <c r="C56" s="172" t="s">
        <v>659</v>
      </c>
      <c r="D56" s="172">
        <v>1</v>
      </c>
      <c r="E56" s="224">
        <v>4015.4159210072808</v>
      </c>
      <c r="F56" s="224">
        <f>$D56*E56</f>
        <v>4015.4159210072808</v>
      </c>
    </row>
    <row r="57" spans="1:6" ht="15.75" x14ac:dyDescent="0.2">
      <c r="A57" s="209"/>
      <c r="B57" s="210" t="s">
        <v>646</v>
      </c>
      <c r="C57" s="211"/>
      <c r="D57" s="211"/>
      <c r="E57" s="223"/>
      <c r="F57" s="223"/>
    </row>
    <row r="58" spans="1:6" ht="101.45" customHeight="1" x14ac:dyDescent="0.2">
      <c r="A58" s="209">
        <v>2.0279999999999969</v>
      </c>
      <c r="B58" s="212" t="s">
        <v>647</v>
      </c>
      <c r="C58" s="211" t="s">
        <v>659</v>
      </c>
      <c r="D58" s="211">
        <v>1</v>
      </c>
      <c r="E58" s="224">
        <v>116091.36042248252</v>
      </c>
      <c r="F58" s="224">
        <f>$D58*E58</f>
        <v>116091.36042248252</v>
      </c>
    </row>
    <row r="59" spans="1:6" ht="15.75" x14ac:dyDescent="0.2">
      <c r="A59" s="176"/>
      <c r="B59" s="170" t="s">
        <v>124</v>
      </c>
      <c r="C59" s="172"/>
      <c r="D59" s="172"/>
      <c r="E59" s="223"/>
      <c r="F59" s="223"/>
    </row>
    <row r="60" spans="1:6" ht="30" x14ac:dyDescent="0.2">
      <c r="A60" s="176">
        <v>2.0289999999999968</v>
      </c>
      <c r="B60" s="173" t="s">
        <v>125</v>
      </c>
      <c r="C60" s="172" t="s">
        <v>659</v>
      </c>
      <c r="D60" s="172">
        <v>1</v>
      </c>
      <c r="E60" s="224">
        <v>62510.732535182884</v>
      </c>
      <c r="F60" s="224">
        <f>$D60*E60</f>
        <v>62510.732535182884</v>
      </c>
    </row>
    <row r="61" spans="1:6" ht="15.75" x14ac:dyDescent="0.2">
      <c r="A61" s="176"/>
      <c r="B61" s="170" t="s">
        <v>126</v>
      </c>
      <c r="C61" s="172"/>
      <c r="D61" s="172"/>
      <c r="E61" s="223"/>
      <c r="F61" s="223"/>
    </row>
    <row r="62" spans="1:6" ht="30" x14ac:dyDescent="0.2">
      <c r="A62" s="176">
        <v>2.0299999999999967</v>
      </c>
      <c r="B62" s="173" t="s">
        <v>127</v>
      </c>
      <c r="C62" s="172" t="s">
        <v>659</v>
      </c>
      <c r="D62" s="172">
        <v>1</v>
      </c>
      <c r="E62" s="224">
        <v>33461.799341727339</v>
      </c>
      <c r="F62" s="224">
        <f>$D62*E62</f>
        <v>33461.799341727339</v>
      </c>
    </row>
    <row r="63" spans="1:6" s="104" customFormat="1" ht="15.75" x14ac:dyDescent="0.25">
      <c r="A63" s="176"/>
      <c r="B63" s="170" t="s">
        <v>128</v>
      </c>
      <c r="C63" s="172"/>
      <c r="D63" s="172"/>
      <c r="E63" s="223"/>
      <c r="F63" s="223"/>
    </row>
    <row r="64" spans="1:6" ht="30" x14ac:dyDescent="0.2">
      <c r="A64" s="176">
        <v>2.0309999999999966</v>
      </c>
      <c r="B64" s="173" t="s">
        <v>129</v>
      </c>
      <c r="C64" s="172" t="s">
        <v>659</v>
      </c>
      <c r="D64" s="172">
        <v>1</v>
      </c>
      <c r="E64" s="224">
        <v>1806.9371644532764</v>
      </c>
      <c r="F64" s="224">
        <f>$D64*E64</f>
        <v>1806.9371644532764</v>
      </c>
    </row>
    <row r="65" spans="1:6" s="104" customFormat="1" ht="15.75" x14ac:dyDescent="0.25">
      <c r="A65" s="179"/>
      <c r="B65" s="170" t="s">
        <v>130</v>
      </c>
      <c r="C65" s="169"/>
      <c r="D65" s="169"/>
      <c r="E65" s="225"/>
      <c r="F65" s="225"/>
    </row>
    <row r="66" spans="1:6" s="104" customFormat="1" ht="15.75" x14ac:dyDescent="0.25">
      <c r="A66" s="176"/>
      <c r="B66" s="173" t="s">
        <v>131</v>
      </c>
      <c r="C66" s="172"/>
      <c r="D66" s="172"/>
      <c r="E66" s="223"/>
      <c r="F66" s="223"/>
    </row>
    <row r="67" spans="1:6" ht="60" x14ac:dyDescent="0.2">
      <c r="A67" s="176">
        <v>2.0319999999999965</v>
      </c>
      <c r="B67" s="173" t="s">
        <v>132</v>
      </c>
      <c r="C67" s="172" t="s">
        <v>659</v>
      </c>
      <c r="D67" s="172">
        <v>1</v>
      </c>
      <c r="E67" s="224">
        <v>6451.4349130850314</v>
      </c>
      <c r="F67" s="224">
        <f>$D67*E67</f>
        <v>6451.4349130850314</v>
      </c>
    </row>
    <row r="68" spans="1:6" s="104" customFormat="1" ht="15.75" x14ac:dyDescent="0.25">
      <c r="A68" s="179"/>
      <c r="B68" s="170" t="s">
        <v>133</v>
      </c>
      <c r="C68" s="169"/>
      <c r="D68" s="169"/>
      <c r="E68" s="225"/>
      <c r="F68" s="225"/>
    </row>
    <row r="69" spans="1:6" ht="68.45" customHeight="1" x14ac:dyDescent="0.2">
      <c r="A69" s="176">
        <v>2.0329999999999964</v>
      </c>
      <c r="B69" s="173" t="s">
        <v>134</v>
      </c>
      <c r="C69" s="172" t="s">
        <v>659</v>
      </c>
      <c r="D69" s="172">
        <v>1</v>
      </c>
      <c r="E69" s="224">
        <v>8833.9150262160165</v>
      </c>
      <c r="F69" s="224">
        <f>$D69*E69</f>
        <v>8833.9150262160165</v>
      </c>
    </row>
    <row r="70" spans="1:6" ht="69.599999999999994" customHeight="1" x14ac:dyDescent="0.2">
      <c r="A70" s="176">
        <v>2.0339999999999963</v>
      </c>
      <c r="B70" s="173" t="s">
        <v>135</v>
      </c>
      <c r="C70" s="172" t="s">
        <v>659</v>
      </c>
      <c r="D70" s="172">
        <v>1</v>
      </c>
      <c r="E70" s="224">
        <v>18738.607631367307</v>
      </c>
      <c r="F70" s="224">
        <f>$D70*E70</f>
        <v>18738.607631367307</v>
      </c>
    </row>
    <row r="71" spans="1:6" s="104" customFormat="1" ht="15.75" x14ac:dyDescent="0.25">
      <c r="A71" s="179"/>
      <c r="B71" s="170" t="s">
        <v>138</v>
      </c>
      <c r="C71" s="169"/>
      <c r="D71" s="169"/>
      <c r="E71" s="225"/>
      <c r="F71" s="225"/>
    </row>
    <row r="72" spans="1:6" s="104" customFormat="1" ht="30" x14ac:dyDescent="0.25">
      <c r="A72" s="176">
        <v>2.0349999999999961</v>
      </c>
      <c r="B72" s="173" t="s">
        <v>139</v>
      </c>
      <c r="C72" s="172" t="s">
        <v>659</v>
      </c>
      <c r="D72" s="172">
        <v>1</v>
      </c>
      <c r="E72" s="224">
        <v>100385.39802518202</v>
      </c>
      <c r="F72" s="224">
        <f t="shared" ref="F72:F85" si="1">$D72*E72</f>
        <v>100385.39802518202</v>
      </c>
    </row>
    <row r="73" spans="1:6" ht="45" x14ac:dyDescent="0.2">
      <c r="A73" s="176">
        <v>2.0349999999999961</v>
      </c>
      <c r="B73" s="173" t="s">
        <v>140</v>
      </c>
      <c r="C73" s="172" t="s">
        <v>659</v>
      </c>
      <c r="D73" s="172">
        <v>1</v>
      </c>
      <c r="E73" s="224">
        <v>20077.079605036401</v>
      </c>
      <c r="F73" s="224">
        <f t="shared" si="1"/>
        <v>20077.079605036401</v>
      </c>
    </row>
    <row r="74" spans="1:6" x14ac:dyDescent="0.2">
      <c r="A74" s="176">
        <v>2.035999999999996</v>
      </c>
      <c r="B74" s="173" t="s">
        <v>141</v>
      </c>
      <c r="C74" s="172" t="s">
        <v>659</v>
      </c>
      <c r="D74" s="172">
        <v>1</v>
      </c>
      <c r="E74" s="224">
        <v>14303.403784873119</v>
      </c>
      <c r="F74" s="224">
        <f t="shared" si="1"/>
        <v>14303.403784873119</v>
      </c>
    </row>
    <row r="75" spans="1:6" x14ac:dyDescent="0.2">
      <c r="A75" s="176">
        <v>2.0369999999999959</v>
      </c>
      <c r="B75" s="173" t="s">
        <v>142</v>
      </c>
      <c r="C75" s="172" t="s">
        <v>659</v>
      </c>
      <c r="D75" s="172">
        <v>1</v>
      </c>
      <c r="E75" s="224">
        <v>30115.619407554605</v>
      </c>
      <c r="F75" s="224">
        <f t="shared" si="1"/>
        <v>30115.619407554605</v>
      </c>
    </row>
    <row r="76" spans="1:6" ht="33.75" customHeight="1" x14ac:dyDescent="0.2">
      <c r="A76" s="176">
        <v>2.0379999999999958</v>
      </c>
      <c r="B76" s="173" t="s">
        <v>143</v>
      </c>
      <c r="C76" s="172" t="s">
        <v>659</v>
      </c>
      <c r="D76" s="172">
        <v>1</v>
      </c>
      <c r="E76" s="224">
        <v>176657.14195936063</v>
      </c>
      <c r="F76" s="224">
        <f t="shared" si="1"/>
        <v>176657.14195936063</v>
      </c>
    </row>
    <row r="77" spans="1:6" ht="30" x14ac:dyDescent="0.2">
      <c r="A77" s="176">
        <v>2.0369999999999959</v>
      </c>
      <c r="B77" s="173" t="s">
        <v>144</v>
      </c>
      <c r="C77" s="172" t="s">
        <v>659</v>
      </c>
      <c r="D77" s="172">
        <v>1</v>
      </c>
      <c r="E77" s="224">
        <v>181331.16372278752</v>
      </c>
      <c r="F77" s="224">
        <f>$D77*E77</f>
        <v>181331.16372278752</v>
      </c>
    </row>
    <row r="78" spans="1:6" ht="30" x14ac:dyDescent="0.2">
      <c r="A78" s="176">
        <v>2.0389999999999957</v>
      </c>
      <c r="B78" s="173" t="s">
        <v>145</v>
      </c>
      <c r="C78" s="172" t="s">
        <v>659</v>
      </c>
      <c r="D78" s="172">
        <v>1</v>
      </c>
      <c r="E78" s="224">
        <v>18403.989637950035</v>
      </c>
      <c r="F78" s="224">
        <f>$D78*E78</f>
        <v>18403.989637950035</v>
      </c>
    </row>
    <row r="79" spans="1:6" ht="30" x14ac:dyDescent="0.2">
      <c r="A79" s="176">
        <v>2.0399999999999956</v>
      </c>
      <c r="B79" s="173" t="s">
        <v>146</v>
      </c>
      <c r="C79" s="172" t="s">
        <v>659</v>
      </c>
      <c r="D79" s="172">
        <v>1</v>
      </c>
      <c r="E79" s="224">
        <v>18403.989637950035</v>
      </c>
      <c r="F79" s="224">
        <f t="shared" ref="F79:F80" si="2">$D79*E79</f>
        <v>18403.989637950035</v>
      </c>
    </row>
    <row r="80" spans="1:6" ht="30" x14ac:dyDescent="0.2">
      <c r="A80" s="176">
        <v>2.0409999999999955</v>
      </c>
      <c r="B80" s="173" t="s">
        <v>147</v>
      </c>
      <c r="C80" s="172" t="s">
        <v>659</v>
      </c>
      <c r="D80" s="172">
        <v>1</v>
      </c>
      <c r="E80" s="224">
        <v>24969.194668796939</v>
      </c>
      <c r="F80" s="224">
        <f t="shared" si="2"/>
        <v>24969.194668796939</v>
      </c>
    </row>
    <row r="81" spans="1:6" ht="30" x14ac:dyDescent="0.2">
      <c r="A81" s="176">
        <v>2.0419999999999954</v>
      </c>
      <c r="B81" s="173" t="s">
        <v>148</v>
      </c>
      <c r="C81" s="172" t="s">
        <v>659</v>
      </c>
      <c r="D81" s="172">
        <v>1</v>
      </c>
      <c r="E81" s="224">
        <v>24969.194668796939</v>
      </c>
      <c r="F81" s="224">
        <f t="shared" si="1"/>
        <v>24969.194668796939</v>
      </c>
    </row>
    <row r="82" spans="1:6" ht="30" x14ac:dyDescent="0.2">
      <c r="A82" s="176">
        <v>2.0429999999999953</v>
      </c>
      <c r="B82" s="173" t="s">
        <v>149</v>
      </c>
      <c r="C82" s="172" t="s">
        <v>659</v>
      </c>
      <c r="D82" s="172">
        <v>1</v>
      </c>
      <c r="E82" s="224">
        <v>7602.520810440451</v>
      </c>
      <c r="F82" s="224">
        <f t="shared" si="1"/>
        <v>7602.520810440451</v>
      </c>
    </row>
    <row r="83" spans="1:6" ht="60" x14ac:dyDescent="0.2">
      <c r="A83" s="176">
        <v>2.0439999999999952</v>
      </c>
      <c r="B83" s="173" t="s">
        <v>150</v>
      </c>
      <c r="C83" s="172" t="s">
        <v>659</v>
      </c>
      <c r="D83" s="172">
        <v>1</v>
      </c>
      <c r="E83" s="224">
        <v>7602.520810440451</v>
      </c>
      <c r="F83" s="224">
        <f t="shared" si="1"/>
        <v>7602.520810440451</v>
      </c>
    </row>
    <row r="84" spans="1:6" ht="30" x14ac:dyDescent="0.2">
      <c r="A84" s="176">
        <v>2.044999999999995</v>
      </c>
      <c r="B84" s="173" t="s">
        <v>151</v>
      </c>
      <c r="C84" s="172" t="s">
        <v>659</v>
      </c>
      <c r="D84" s="172">
        <v>1</v>
      </c>
      <c r="E84" s="224">
        <v>3445.2268602242466</v>
      </c>
      <c r="F84" s="224">
        <f t="shared" si="1"/>
        <v>3445.2268602242466</v>
      </c>
    </row>
    <row r="85" spans="1:6" ht="45" x14ac:dyDescent="0.2">
      <c r="A85" s="176">
        <v>2.0459999999999949</v>
      </c>
      <c r="B85" s="173" t="s">
        <v>152</v>
      </c>
      <c r="C85" s="172" t="s">
        <v>659</v>
      </c>
      <c r="D85" s="172">
        <v>1</v>
      </c>
      <c r="E85" s="224">
        <v>2871.0223835202055</v>
      </c>
      <c r="F85" s="224">
        <f t="shared" si="1"/>
        <v>2871.0223835202055</v>
      </c>
    </row>
    <row r="86" spans="1:6" ht="15.75" x14ac:dyDescent="0.2">
      <c r="A86" s="209"/>
      <c r="B86" s="216" t="s">
        <v>657</v>
      </c>
      <c r="C86" s="217"/>
      <c r="D86" s="218"/>
      <c r="E86" s="182"/>
      <c r="F86" s="223"/>
    </row>
    <row r="87" spans="1:6" s="104" customFormat="1" ht="105" x14ac:dyDescent="0.25">
      <c r="A87" s="209">
        <v>2.0469999999999948</v>
      </c>
      <c r="B87" s="212" t="s">
        <v>658</v>
      </c>
      <c r="C87" s="219" t="s">
        <v>659</v>
      </c>
      <c r="D87" s="218">
        <v>1</v>
      </c>
      <c r="E87" s="224">
        <v>84855.186448345034</v>
      </c>
      <c r="F87" s="224">
        <f>$D87*E87</f>
        <v>84855.186448345034</v>
      </c>
    </row>
    <row r="88" spans="1:6" ht="15.75" x14ac:dyDescent="0.2">
      <c r="A88" s="176"/>
      <c r="B88" s="170" t="s">
        <v>153</v>
      </c>
      <c r="C88" s="172"/>
      <c r="D88" s="172"/>
      <c r="E88" s="223"/>
      <c r="F88" s="223"/>
    </row>
    <row r="89" spans="1:6" ht="90" x14ac:dyDescent="0.2">
      <c r="A89" s="176"/>
      <c r="B89" s="173" t="s">
        <v>154</v>
      </c>
      <c r="C89" s="172"/>
      <c r="D89" s="172"/>
      <c r="E89" s="223"/>
      <c r="F89" s="223"/>
    </row>
    <row r="90" spans="1:6" x14ac:dyDescent="0.2">
      <c r="A90" s="176">
        <v>2.0479999999999947</v>
      </c>
      <c r="B90" s="173" t="s">
        <v>155</v>
      </c>
      <c r="C90" s="172" t="s">
        <v>659</v>
      </c>
      <c r="D90" s="172">
        <v>1</v>
      </c>
      <c r="E90" s="224">
        <v>1429819.339692075</v>
      </c>
      <c r="F90" s="224">
        <f>$D90*E90</f>
        <v>1429819.339692075</v>
      </c>
    </row>
    <row r="91" spans="1:6" ht="15.75" x14ac:dyDescent="0.2">
      <c r="A91" s="176"/>
      <c r="B91" s="170" t="s">
        <v>156</v>
      </c>
      <c r="C91" s="172"/>
      <c r="D91" s="172"/>
      <c r="E91" s="223"/>
      <c r="F91" s="223"/>
    </row>
    <row r="92" spans="1:6" s="104" customFormat="1" ht="15.75" x14ac:dyDescent="0.25">
      <c r="A92" s="176">
        <v>2.0489999999999946</v>
      </c>
      <c r="B92" s="173" t="s">
        <v>157</v>
      </c>
      <c r="C92" s="172" t="s">
        <v>659</v>
      </c>
      <c r="D92" s="172">
        <v>1</v>
      </c>
      <c r="E92" s="224">
        <v>60231.238815109209</v>
      </c>
      <c r="F92" s="224">
        <f>$D92*E92</f>
        <v>60231.238815109209</v>
      </c>
    </row>
    <row r="93" spans="1:6" s="104" customFormat="1" ht="30" x14ac:dyDescent="0.25">
      <c r="A93" s="176">
        <v>2.0499999999999945</v>
      </c>
      <c r="B93" s="173" t="s">
        <v>158</v>
      </c>
      <c r="C93" s="172" t="s">
        <v>659</v>
      </c>
      <c r="D93" s="172">
        <v>1</v>
      </c>
      <c r="E93" s="224">
        <v>21750.16957212277</v>
      </c>
      <c r="F93" s="224">
        <f>$D93*E93</f>
        <v>21750.16957212277</v>
      </c>
    </row>
    <row r="94" spans="1:6" ht="31.5" x14ac:dyDescent="0.2">
      <c r="A94" s="179"/>
      <c r="B94" s="170" t="s">
        <v>159</v>
      </c>
      <c r="C94" s="169"/>
      <c r="D94" s="169"/>
      <c r="E94" s="225"/>
      <c r="F94" s="225"/>
    </row>
    <row r="95" spans="1:6" ht="15.75" x14ac:dyDescent="0.2">
      <c r="A95" s="179"/>
      <c r="B95" s="173" t="s">
        <v>160</v>
      </c>
      <c r="C95" s="169"/>
      <c r="D95" s="169"/>
      <c r="E95" s="225"/>
      <c r="F95" s="225"/>
    </row>
    <row r="96" spans="1:6" ht="30" x14ac:dyDescent="0.2">
      <c r="A96" s="176">
        <v>2.0509999999999944</v>
      </c>
      <c r="B96" s="173" t="s">
        <v>161</v>
      </c>
      <c r="C96" s="172" t="s">
        <v>659</v>
      </c>
      <c r="D96" s="172">
        <v>1</v>
      </c>
      <c r="E96" s="224">
        <v>18305.572581062603</v>
      </c>
      <c r="F96" s="224">
        <f t="shared" ref="F96:F109" si="3">$D96*E96</f>
        <v>18305.572581062603</v>
      </c>
    </row>
    <row r="97" spans="1:6" x14ac:dyDescent="0.2">
      <c r="A97" s="176">
        <v>2.0519999999999943</v>
      </c>
      <c r="B97" s="173" t="s">
        <v>162</v>
      </c>
      <c r="C97" s="172" t="s">
        <v>659</v>
      </c>
      <c r="D97" s="172">
        <v>1</v>
      </c>
      <c r="E97" s="224">
        <v>21532.667876401541</v>
      </c>
      <c r="F97" s="224">
        <f t="shared" si="3"/>
        <v>21532.667876401541</v>
      </c>
    </row>
    <row r="98" spans="1:6" ht="30" x14ac:dyDescent="0.2">
      <c r="A98" s="176">
        <v>2.0529999999999942</v>
      </c>
      <c r="B98" s="173" t="s">
        <v>163</v>
      </c>
      <c r="C98" s="172" t="s">
        <v>659</v>
      </c>
      <c r="D98" s="172">
        <v>1</v>
      </c>
      <c r="E98" s="224">
        <v>90572.725368220461</v>
      </c>
      <c r="F98" s="224">
        <f t="shared" si="3"/>
        <v>90572.725368220461</v>
      </c>
    </row>
    <row r="99" spans="1:6" ht="30" x14ac:dyDescent="0.2">
      <c r="A99" s="176">
        <v>2.0539999999999941</v>
      </c>
      <c r="B99" s="173" t="s">
        <v>164</v>
      </c>
      <c r="C99" s="172" t="s">
        <v>659</v>
      </c>
      <c r="D99" s="172">
        <v>1</v>
      </c>
      <c r="E99" s="224">
        <v>16730.89967086367</v>
      </c>
      <c r="F99" s="224">
        <f t="shared" si="3"/>
        <v>16730.89967086367</v>
      </c>
    </row>
    <row r="100" spans="1:6" ht="30" x14ac:dyDescent="0.2">
      <c r="A100" s="176">
        <v>2.0549999999999939</v>
      </c>
      <c r="B100" s="173" t="s">
        <v>165</v>
      </c>
      <c r="C100" s="172" t="s">
        <v>659</v>
      </c>
      <c r="D100" s="172">
        <v>1</v>
      </c>
      <c r="E100" s="224">
        <v>2278.7485351716318</v>
      </c>
      <c r="F100" s="224">
        <f t="shared" si="3"/>
        <v>2278.7485351716318</v>
      </c>
    </row>
    <row r="101" spans="1:6" ht="30" x14ac:dyDescent="0.2">
      <c r="A101" s="176">
        <v>2.0559999999999938</v>
      </c>
      <c r="B101" s="173" t="s">
        <v>166</v>
      </c>
      <c r="C101" s="172" t="s">
        <v>659</v>
      </c>
      <c r="D101" s="172">
        <v>1</v>
      </c>
      <c r="E101" s="224">
        <v>5814.2828867957869</v>
      </c>
      <c r="F101" s="224">
        <f t="shared" si="3"/>
        <v>5814.2828867957869</v>
      </c>
    </row>
    <row r="102" spans="1:6" ht="30" x14ac:dyDescent="0.2">
      <c r="A102" s="176">
        <v>2.0569999999999937</v>
      </c>
      <c r="B102" s="173" t="s">
        <v>167</v>
      </c>
      <c r="C102" s="172" t="s">
        <v>659</v>
      </c>
      <c r="D102" s="172">
        <v>1</v>
      </c>
      <c r="E102" s="224">
        <v>17968.986246507578</v>
      </c>
      <c r="F102" s="224">
        <f t="shared" si="3"/>
        <v>17968.986246507578</v>
      </c>
    </row>
    <row r="103" spans="1:6" ht="30" x14ac:dyDescent="0.2">
      <c r="A103" s="176">
        <v>2.0579999999999936</v>
      </c>
      <c r="B103" s="173" t="s">
        <v>168</v>
      </c>
      <c r="C103" s="172" t="s">
        <v>659</v>
      </c>
      <c r="D103" s="172">
        <v>1</v>
      </c>
      <c r="E103" s="224">
        <v>6692.3598683454684</v>
      </c>
      <c r="F103" s="224">
        <f t="shared" si="3"/>
        <v>6692.3598683454684</v>
      </c>
    </row>
    <row r="104" spans="1:6" x14ac:dyDescent="0.2">
      <c r="A104" s="176">
        <v>2.0589999999999935</v>
      </c>
      <c r="B104" s="173" t="s">
        <v>169</v>
      </c>
      <c r="C104" s="172" t="s">
        <v>659</v>
      </c>
      <c r="D104" s="172">
        <v>1</v>
      </c>
      <c r="E104" s="224">
        <v>3346.1799341727342</v>
      </c>
      <c r="F104" s="224">
        <f t="shared" si="3"/>
        <v>3346.1799341727342</v>
      </c>
    </row>
    <row r="105" spans="1:6" ht="30" x14ac:dyDescent="0.2">
      <c r="A105" s="176">
        <v>2.0599999999999934</v>
      </c>
      <c r="B105" s="173" t="s">
        <v>170</v>
      </c>
      <c r="C105" s="172" t="s">
        <v>659</v>
      </c>
      <c r="D105" s="172">
        <v>1</v>
      </c>
      <c r="E105" s="224">
        <v>16730.89967086367</v>
      </c>
      <c r="F105" s="224">
        <f t="shared" si="3"/>
        <v>16730.89967086367</v>
      </c>
    </row>
    <row r="106" spans="1:6" x14ac:dyDescent="0.2">
      <c r="A106" s="176">
        <v>2.0609999999999933</v>
      </c>
      <c r="B106" s="173" t="s">
        <v>171</v>
      </c>
      <c r="C106" s="172" t="s">
        <v>659</v>
      </c>
      <c r="D106" s="172">
        <v>1</v>
      </c>
      <c r="E106" s="224">
        <v>6692.3598683454684</v>
      </c>
      <c r="F106" s="224">
        <f t="shared" si="3"/>
        <v>6692.3598683454684</v>
      </c>
    </row>
    <row r="107" spans="1:6" x14ac:dyDescent="0.2">
      <c r="A107" s="176">
        <v>2.0619999999999932</v>
      </c>
      <c r="B107" s="173" t="s">
        <v>172</v>
      </c>
      <c r="C107" s="172" t="s">
        <v>659</v>
      </c>
      <c r="D107" s="172">
        <v>1</v>
      </c>
      <c r="E107" s="224">
        <v>8365.4498354318348</v>
      </c>
      <c r="F107" s="224">
        <f t="shared" si="3"/>
        <v>8365.4498354318348</v>
      </c>
    </row>
    <row r="108" spans="1:6" x14ac:dyDescent="0.2">
      <c r="A108" s="176">
        <v>2.0629999999999931</v>
      </c>
      <c r="B108" s="173" t="s">
        <v>173</v>
      </c>
      <c r="C108" s="172" t="s">
        <v>659</v>
      </c>
      <c r="D108" s="172">
        <v>1</v>
      </c>
      <c r="E108" s="224">
        <v>1003.8539802518202</v>
      </c>
      <c r="F108" s="224">
        <f t="shared" si="3"/>
        <v>1003.8539802518202</v>
      </c>
    </row>
    <row r="109" spans="1:6" x14ac:dyDescent="0.2">
      <c r="A109" s="176">
        <v>2.063999999999993</v>
      </c>
      <c r="B109" s="173" t="s">
        <v>174</v>
      </c>
      <c r="C109" s="172" t="s">
        <v>659</v>
      </c>
      <c r="D109" s="172">
        <v>1</v>
      </c>
      <c r="E109" s="224">
        <v>1673.0899670863671</v>
      </c>
      <c r="F109" s="224">
        <f t="shared" si="3"/>
        <v>1673.0899670863671</v>
      </c>
    </row>
    <row r="110" spans="1:6" ht="30" customHeight="1" x14ac:dyDescent="0.2">
      <c r="A110" s="176"/>
      <c r="B110" s="170" t="s">
        <v>175</v>
      </c>
      <c r="C110" s="172"/>
      <c r="D110" s="172"/>
      <c r="E110" s="223"/>
      <c r="F110" s="223"/>
    </row>
    <row r="111" spans="1:6" ht="30" customHeight="1" x14ac:dyDescent="0.2">
      <c r="A111" s="176"/>
      <c r="B111" s="170" t="s">
        <v>176</v>
      </c>
      <c r="C111" s="172"/>
      <c r="D111" s="172"/>
      <c r="E111" s="223"/>
      <c r="F111" s="223"/>
    </row>
    <row r="112" spans="1:6" x14ac:dyDescent="0.2">
      <c r="A112" s="176">
        <v>2.0649999999999928</v>
      </c>
      <c r="B112" s="173" t="s">
        <v>177</v>
      </c>
      <c r="C112" s="172" t="s">
        <v>659</v>
      </c>
      <c r="D112" s="172">
        <v>1</v>
      </c>
      <c r="E112" s="224">
        <v>6739.2063874238856</v>
      </c>
      <c r="F112" s="224">
        <f t="shared" ref="F112:F120" si="4">$D112*E112</f>
        <v>6739.2063874238856</v>
      </c>
    </row>
    <row r="113" spans="1:93" x14ac:dyDescent="0.2">
      <c r="A113" s="176">
        <v>2.0659999999999927</v>
      </c>
      <c r="B113" s="173" t="s">
        <v>178</v>
      </c>
      <c r="C113" s="172" t="s">
        <v>659</v>
      </c>
      <c r="D113" s="172">
        <v>1</v>
      </c>
      <c r="E113" s="224">
        <v>6739.2063874238856</v>
      </c>
      <c r="F113" s="224">
        <f t="shared" si="4"/>
        <v>6739.2063874238856</v>
      </c>
    </row>
    <row r="114" spans="1:93" x14ac:dyDescent="0.2">
      <c r="A114" s="176">
        <v>2.0669999999999926</v>
      </c>
      <c r="B114" s="173" t="s">
        <v>179</v>
      </c>
      <c r="C114" s="172" t="s">
        <v>659</v>
      </c>
      <c r="D114" s="172">
        <v>1</v>
      </c>
      <c r="E114" s="224">
        <v>12046.24776302184</v>
      </c>
      <c r="F114" s="224">
        <f t="shared" si="4"/>
        <v>12046.24776302184</v>
      </c>
    </row>
    <row r="115" spans="1:93" x14ac:dyDescent="0.2">
      <c r="A115" s="176">
        <v>2.0679999999999925</v>
      </c>
      <c r="B115" s="173" t="s">
        <v>180</v>
      </c>
      <c r="C115" s="172" t="s">
        <v>659</v>
      </c>
      <c r="D115" s="172">
        <v>1</v>
      </c>
      <c r="E115" s="224">
        <v>4015.4159210072808</v>
      </c>
      <c r="F115" s="224">
        <f t="shared" si="4"/>
        <v>4015.4159210072808</v>
      </c>
    </row>
    <row r="116" spans="1:93" x14ac:dyDescent="0.2">
      <c r="A116" s="176">
        <v>2.0689999999999924</v>
      </c>
      <c r="B116" s="173" t="s">
        <v>181</v>
      </c>
      <c r="C116" s="172" t="s">
        <v>659</v>
      </c>
      <c r="D116" s="172">
        <v>1</v>
      </c>
      <c r="E116" s="224">
        <v>2342.3259539209134</v>
      </c>
      <c r="F116" s="224">
        <f t="shared" si="4"/>
        <v>2342.3259539209134</v>
      </c>
    </row>
    <row r="117" spans="1:93" x14ac:dyDescent="0.2">
      <c r="A117" s="176">
        <v>2.0699999999999923</v>
      </c>
      <c r="B117" s="173" t="s">
        <v>182</v>
      </c>
      <c r="C117" s="172" t="s">
        <v>659</v>
      </c>
      <c r="D117" s="172">
        <v>1</v>
      </c>
      <c r="E117" s="224">
        <v>1204.624776302184</v>
      </c>
      <c r="F117" s="224">
        <f t="shared" si="4"/>
        <v>1204.624776302184</v>
      </c>
    </row>
    <row r="118" spans="1:93" x14ac:dyDescent="0.2">
      <c r="A118" s="176">
        <v>2.0709999999999922</v>
      </c>
      <c r="B118" s="173" t="s">
        <v>183</v>
      </c>
      <c r="C118" s="172" t="s">
        <v>659</v>
      </c>
      <c r="D118" s="172">
        <v>1</v>
      </c>
      <c r="E118" s="224">
        <v>2141.5551578705495</v>
      </c>
      <c r="F118" s="224">
        <f t="shared" si="4"/>
        <v>2141.5551578705495</v>
      </c>
    </row>
    <row r="119" spans="1:93" s="139" customFormat="1" ht="25.5" customHeight="1" x14ac:dyDescent="0.25">
      <c r="A119" s="176">
        <v>2.0719999999999921</v>
      </c>
      <c r="B119" s="173" t="s">
        <v>184</v>
      </c>
      <c r="C119" s="172" t="s">
        <v>659</v>
      </c>
      <c r="D119" s="172">
        <v>1</v>
      </c>
      <c r="E119" s="224">
        <v>803.08318420145622</v>
      </c>
      <c r="F119" s="224">
        <f t="shared" si="4"/>
        <v>803.08318420145622</v>
      </c>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row>
    <row r="120" spans="1:93" ht="30" x14ac:dyDescent="0.2">
      <c r="A120" s="176">
        <v>2.072999999999992</v>
      </c>
      <c r="B120" s="173" t="s">
        <v>185</v>
      </c>
      <c r="C120" s="172" t="s">
        <v>659</v>
      </c>
      <c r="D120" s="172">
        <v>1</v>
      </c>
      <c r="E120" s="224">
        <v>30115.619407554605</v>
      </c>
      <c r="F120" s="224">
        <f t="shared" si="4"/>
        <v>30115.619407554605</v>
      </c>
    </row>
    <row r="121" spans="1:93" ht="15.75" x14ac:dyDescent="0.25">
      <c r="A121" s="183"/>
      <c r="B121" s="171" t="s">
        <v>186</v>
      </c>
      <c r="C121" s="171"/>
      <c r="D121" s="184"/>
      <c r="E121" s="226"/>
      <c r="F121" s="225">
        <f>SUM(F8:F120)</f>
        <v>3543338.7589698597</v>
      </c>
    </row>
    <row r="122" spans="1:93" x14ac:dyDescent="0.2">
      <c r="E122" s="88"/>
    </row>
  </sheetData>
  <sheetProtection formatCells="0" formatColumns="0" formatRows="0" insertColumns="0" insertRows="0" insertHyperlinks="0" deleteColumns="0" deleteRows="0" sort="0" autoFilter="0" pivotTables="0"/>
  <protectedRanges>
    <protectedRange sqref="F14" name="Range1_3_5_1_1"/>
    <protectedRange sqref="F14" name="Range2_2_5_1_1"/>
    <protectedRange sqref="F16" name="Range1_3_5_1_2"/>
    <protectedRange sqref="F16" name="Range2_2_5_1_2"/>
    <protectedRange sqref="F28" name="Range1_3_5_1_3"/>
    <protectedRange sqref="F28" name="Range2_2_5_1_3"/>
    <protectedRange sqref="E65" name="Range1_3_1_1"/>
    <protectedRange sqref="E68" name="Range1_2_1_1"/>
    <protectedRange sqref="E71" name="Range1_5_1"/>
    <protectedRange sqref="F121" name="Range1_1_1_1"/>
  </protectedRanges>
  <autoFilter ref="A6:F121" xr:uid="{8650EAC3-A23F-4827-97D7-54ADE4F32DA3}"/>
  <pageMargins left="0.47244094488188981" right="0.47244094488188981" top="0.74803149606299213" bottom="0.74803149606299213" header="0.31496062992125984" footer="0.31496062992125984"/>
  <pageSetup paperSize="9" scale="94" fitToHeight="0" orientation="landscape" r:id="rId1"/>
  <headerFooter>
    <oddFooter>&amp;C&amp;"Arial,Bold"&amp;16&amp;P/&amp;N</oddFooter>
  </headerFooter>
  <rowBreaks count="12" manualBreakCount="12">
    <brk id="21" max="5" man="1"/>
    <brk id="31" max="5" man="1"/>
    <brk id="36" max="5" man="1"/>
    <brk id="42" max="5" man="1"/>
    <brk id="44" max="5" man="1"/>
    <brk id="53" max="5" man="1"/>
    <brk id="64" max="5" man="1"/>
    <brk id="70" max="5" man="1"/>
    <brk id="78" max="5" man="1"/>
    <brk id="85" max="5" man="1"/>
    <brk id="93" max="5" man="1"/>
    <brk id="109"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D502-47DA-4834-8D09-495F57591A57}">
  <dimension ref="A1:CJ83"/>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88"/>
    <col min="2" max="2" width="84.28515625" style="86" customWidth="1"/>
    <col min="3" max="3" width="13.28515625" style="86" customWidth="1"/>
    <col min="4" max="4" width="14.28515625" style="88" customWidth="1"/>
    <col min="5" max="5" width="16.28515625" style="109" customWidth="1"/>
    <col min="6" max="6" width="19.5703125" style="125" customWidth="1"/>
    <col min="7" max="16384" width="9.140625" style="90"/>
  </cols>
  <sheetData>
    <row r="1" spans="1:87" x14ac:dyDescent="0.2">
      <c r="A1" s="86"/>
      <c r="B1" s="87"/>
      <c r="E1" s="89"/>
    </row>
    <row r="2" spans="1:87" x14ac:dyDescent="0.2">
      <c r="A2" s="86"/>
      <c r="B2" s="87"/>
      <c r="E2" s="89"/>
    </row>
    <row r="3" spans="1:87" ht="12" customHeight="1" thickBot="1" x14ac:dyDescent="0.25">
      <c r="A3" s="86"/>
      <c r="B3" s="273"/>
      <c r="C3" s="275"/>
      <c r="E3" s="89"/>
    </row>
    <row r="4" spans="1:87" ht="33.950000000000003" customHeight="1" x14ac:dyDescent="0.2">
      <c r="A4" s="86"/>
      <c r="B4" s="87"/>
      <c r="E4" s="89"/>
    </row>
    <row r="5" spans="1:87" s="95" customFormat="1" ht="15.75" x14ac:dyDescent="0.2">
      <c r="A5" s="91"/>
      <c r="B5" s="92" t="s">
        <v>187</v>
      </c>
      <c r="C5" s="91"/>
      <c r="D5" s="93"/>
      <c r="E5" s="94"/>
      <c r="F5" s="103"/>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row>
    <row r="6" spans="1:87" s="100" customFormat="1" ht="63" x14ac:dyDescent="0.2">
      <c r="A6" s="96" t="s">
        <v>14</v>
      </c>
      <c r="B6" s="97" t="s">
        <v>0</v>
      </c>
      <c r="C6" s="98" t="s">
        <v>15</v>
      </c>
      <c r="D6" s="98" t="s">
        <v>16</v>
      </c>
      <c r="E6" s="99" t="s">
        <v>17</v>
      </c>
      <c r="F6" s="99" t="s">
        <v>53</v>
      </c>
    </row>
    <row r="7" spans="1:87" s="104" customFormat="1" ht="15.75" x14ac:dyDescent="0.25">
      <c r="A7" s="169"/>
      <c r="B7" s="170" t="s">
        <v>188</v>
      </c>
      <c r="C7" s="171"/>
      <c r="D7" s="169"/>
      <c r="E7" s="106"/>
      <c r="F7" s="106"/>
    </row>
    <row r="8" spans="1:87" s="104" customFormat="1" ht="15.75" x14ac:dyDescent="0.25">
      <c r="A8" s="169"/>
      <c r="B8" s="170" t="s">
        <v>189</v>
      </c>
      <c r="C8" s="171"/>
      <c r="D8" s="169"/>
      <c r="E8" s="106"/>
      <c r="F8" s="106"/>
    </row>
    <row r="9" spans="1:87" s="104" customFormat="1" ht="15.75" x14ac:dyDescent="0.25">
      <c r="A9" s="172">
        <v>3.0009999999999999</v>
      </c>
      <c r="B9" s="173" t="s">
        <v>190</v>
      </c>
      <c r="C9" s="174" t="s">
        <v>659</v>
      </c>
      <c r="D9" s="172">
        <v>1</v>
      </c>
      <c r="E9" s="223">
        <v>25880.108501377112</v>
      </c>
      <c r="F9" s="223">
        <f>$D9*E9</f>
        <v>25880.108501377112</v>
      </c>
    </row>
    <row r="10" spans="1:87" s="104" customFormat="1" ht="15.75" x14ac:dyDescent="0.25">
      <c r="A10" s="172">
        <v>3.0019999999999998</v>
      </c>
      <c r="B10" s="173" t="s">
        <v>191</v>
      </c>
      <c r="C10" s="174" t="s">
        <v>659</v>
      </c>
      <c r="D10" s="172">
        <v>1</v>
      </c>
      <c r="E10" s="223">
        <v>15528.065100826267</v>
      </c>
      <c r="F10" s="223">
        <f>$D10*E10</f>
        <v>15528.065100826267</v>
      </c>
    </row>
    <row r="11" spans="1:87" s="104" customFormat="1" ht="15.75" x14ac:dyDescent="0.25">
      <c r="A11" s="172"/>
      <c r="B11" s="170" t="s">
        <v>192</v>
      </c>
      <c r="C11" s="174"/>
      <c r="D11" s="172"/>
      <c r="E11" s="223"/>
      <c r="F11" s="223"/>
    </row>
    <row r="12" spans="1:87" s="104" customFormat="1" ht="15.75" x14ac:dyDescent="0.25">
      <c r="A12" s="172">
        <v>3.0029999999999997</v>
      </c>
      <c r="B12" s="173" t="s">
        <v>193</v>
      </c>
      <c r="C12" s="174" t="s">
        <v>659</v>
      </c>
      <c r="D12" s="172">
        <v>1</v>
      </c>
      <c r="E12" s="223">
        <v>14762.558533115001</v>
      </c>
      <c r="F12" s="223">
        <f>$D12*E12</f>
        <v>14762.558533115001</v>
      </c>
    </row>
    <row r="13" spans="1:87" s="104" customFormat="1" ht="15.75" x14ac:dyDescent="0.25">
      <c r="A13" s="172">
        <v>3.0039999999999996</v>
      </c>
      <c r="B13" s="173" t="s">
        <v>194</v>
      </c>
      <c r="C13" s="174" t="s">
        <v>659</v>
      </c>
      <c r="D13" s="172">
        <v>1</v>
      </c>
      <c r="E13" s="223">
        <v>4758.2678663936285</v>
      </c>
      <c r="F13" s="223">
        <f>$D13*E13</f>
        <v>4758.2678663936285</v>
      </c>
    </row>
    <row r="14" spans="1:87" s="104" customFormat="1" ht="15.75" x14ac:dyDescent="0.25">
      <c r="A14" s="169"/>
      <c r="B14" s="170" t="s">
        <v>195</v>
      </c>
      <c r="C14" s="171"/>
      <c r="D14" s="169"/>
      <c r="E14" s="223"/>
      <c r="F14" s="225"/>
    </row>
    <row r="15" spans="1:87" s="104" customFormat="1" ht="15.75" x14ac:dyDescent="0.25">
      <c r="A15" s="172">
        <v>3.0049999999999994</v>
      </c>
      <c r="B15" s="173" t="s">
        <v>196</v>
      </c>
      <c r="C15" s="174" t="s">
        <v>659</v>
      </c>
      <c r="D15" s="172">
        <v>1</v>
      </c>
      <c r="E15" s="223">
        <v>14762.558533115001</v>
      </c>
      <c r="F15" s="223">
        <f>$D15*E15</f>
        <v>14762.558533115001</v>
      </c>
    </row>
    <row r="16" spans="1:87" s="104" customFormat="1" ht="15.75" x14ac:dyDescent="0.25">
      <c r="A16" s="172">
        <v>3.0059999999999993</v>
      </c>
      <c r="B16" s="173" t="s">
        <v>197</v>
      </c>
      <c r="C16" s="174" t="s">
        <v>659</v>
      </c>
      <c r="D16" s="172">
        <v>1</v>
      </c>
      <c r="E16" s="223">
        <v>3172.1785775957524</v>
      </c>
      <c r="F16" s="223">
        <f>$D16*E16</f>
        <v>3172.1785775957524</v>
      </c>
    </row>
    <row r="17" spans="1:6" s="104" customFormat="1" ht="15.75" x14ac:dyDescent="0.25">
      <c r="A17" s="172"/>
      <c r="B17" s="170" t="s">
        <v>198</v>
      </c>
      <c r="C17" s="174"/>
      <c r="D17" s="172"/>
      <c r="E17" s="223"/>
      <c r="F17" s="225"/>
    </row>
    <row r="18" spans="1:6" s="104" customFormat="1" ht="55.9" customHeight="1" x14ac:dyDescent="0.25">
      <c r="A18" s="172">
        <v>3.0069999999999992</v>
      </c>
      <c r="B18" s="173" t="s">
        <v>199</v>
      </c>
      <c r="C18" s="174" t="s">
        <v>659</v>
      </c>
      <c r="D18" s="172">
        <v>1</v>
      </c>
      <c r="E18" s="223">
        <v>41827.249177159167</v>
      </c>
      <c r="F18" s="223">
        <f>$D18*E18</f>
        <v>41827.249177159167</v>
      </c>
    </row>
    <row r="19" spans="1:6" s="104" customFormat="1" ht="65.45" customHeight="1" x14ac:dyDescent="0.25">
      <c r="A19" s="172">
        <v>3.0079999999999991</v>
      </c>
      <c r="B19" s="173" t="s">
        <v>200</v>
      </c>
      <c r="C19" s="174" t="s">
        <v>659</v>
      </c>
      <c r="D19" s="172">
        <v>1</v>
      </c>
      <c r="E19" s="223">
        <v>17567.444654406852</v>
      </c>
      <c r="F19" s="223">
        <f>$D19*E19</f>
        <v>17567.444654406852</v>
      </c>
    </row>
    <row r="20" spans="1:6" s="104" customFormat="1" ht="15.75" x14ac:dyDescent="0.25">
      <c r="A20" s="169"/>
      <c r="B20" s="170" t="s">
        <v>201</v>
      </c>
      <c r="C20" s="171"/>
      <c r="D20" s="169"/>
      <c r="E20" s="223"/>
      <c r="F20" s="225"/>
    </row>
    <row r="21" spans="1:6" s="104" customFormat="1" ht="30" x14ac:dyDescent="0.25">
      <c r="A21" s="172">
        <v>3.008999999999999</v>
      </c>
      <c r="B21" s="173" t="s">
        <v>202</v>
      </c>
      <c r="C21" s="174" t="s">
        <v>659</v>
      </c>
      <c r="D21" s="172">
        <v>1</v>
      </c>
      <c r="E21" s="223">
        <v>20913.624588579583</v>
      </c>
      <c r="F21" s="223">
        <f>$D21*E21</f>
        <v>20913.624588579583</v>
      </c>
    </row>
    <row r="22" spans="1:6" s="104" customFormat="1" ht="74.45" customHeight="1" x14ac:dyDescent="0.25">
      <c r="A22" s="172">
        <v>3.0099999999999989</v>
      </c>
      <c r="B22" s="173" t="s">
        <v>203</v>
      </c>
      <c r="C22" s="174" t="s">
        <v>659</v>
      </c>
      <c r="D22" s="172">
        <v>1</v>
      </c>
      <c r="E22" s="223">
        <v>7528.9048518886511</v>
      </c>
      <c r="F22" s="223">
        <f>$D22*E22</f>
        <v>7528.9048518886511</v>
      </c>
    </row>
    <row r="23" spans="1:6" s="104" customFormat="1" ht="15.75" x14ac:dyDescent="0.25">
      <c r="A23" s="169"/>
      <c r="B23" s="170" t="s">
        <v>204</v>
      </c>
      <c r="C23" s="171"/>
      <c r="D23" s="169"/>
      <c r="E23" s="223"/>
      <c r="F23" s="225"/>
    </row>
    <row r="24" spans="1:6" s="104" customFormat="1" ht="60" x14ac:dyDescent="0.25">
      <c r="A24" s="176">
        <v>3.0109999999999988</v>
      </c>
      <c r="B24" s="173" t="s">
        <v>205</v>
      </c>
      <c r="C24" s="174" t="s">
        <v>659</v>
      </c>
      <c r="D24" s="172">
        <v>1</v>
      </c>
      <c r="E24" s="223">
        <v>101054.63401201657</v>
      </c>
      <c r="F24" s="223">
        <f>$D24*E24</f>
        <v>101054.63401201657</v>
      </c>
    </row>
    <row r="25" spans="1:6" s="104" customFormat="1" ht="15.75" x14ac:dyDescent="0.25">
      <c r="A25" s="176"/>
      <c r="B25" s="170" t="s">
        <v>206</v>
      </c>
      <c r="C25" s="174"/>
      <c r="D25" s="172"/>
      <c r="E25" s="223"/>
      <c r="F25" s="223"/>
    </row>
    <row r="26" spans="1:6" s="104" customFormat="1" ht="45" x14ac:dyDescent="0.25">
      <c r="A26" s="176">
        <v>3.0119999999999987</v>
      </c>
      <c r="B26" s="173" t="s">
        <v>207</v>
      </c>
      <c r="C26" s="174" t="s">
        <v>659</v>
      </c>
      <c r="D26" s="172">
        <v>1</v>
      </c>
      <c r="E26" s="223">
        <v>541293.81288088334</v>
      </c>
      <c r="F26" s="223">
        <f>$D26*E26</f>
        <v>541293.81288088334</v>
      </c>
    </row>
    <row r="27" spans="1:6" s="104" customFormat="1" ht="30" x14ac:dyDescent="0.25">
      <c r="A27" s="176">
        <v>3.0129999999999986</v>
      </c>
      <c r="B27" s="173" t="s">
        <v>208</v>
      </c>
      <c r="C27" s="171"/>
      <c r="D27" s="172">
        <v>1</v>
      </c>
      <c r="E27" s="223">
        <v>24604.264221858335</v>
      </c>
      <c r="F27" s="223">
        <f>$D27*E27</f>
        <v>24604.264221858335</v>
      </c>
    </row>
    <row r="28" spans="1:6" s="104" customFormat="1" ht="15.75" x14ac:dyDescent="0.25">
      <c r="A28" s="176"/>
      <c r="B28" s="170" t="s">
        <v>209</v>
      </c>
      <c r="C28" s="174"/>
      <c r="D28" s="172"/>
      <c r="E28" s="223"/>
      <c r="F28" s="223"/>
    </row>
    <row r="29" spans="1:6" s="104" customFormat="1" ht="36.6" customHeight="1" x14ac:dyDescent="0.25">
      <c r="A29" s="176">
        <v>3.0139999999999985</v>
      </c>
      <c r="B29" s="173" t="s">
        <v>210</v>
      </c>
      <c r="C29" s="174" t="s">
        <v>659</v>
      </c>
      <c r="D29" s="172">
        <v>1</v>
      </c>
      <c r="E29" s="223">
        <v>49208.52844371667</v>
      </c>
      <c r="F29" s="223">
        <f>$D29*E29</f>
        <v>49208.52844371667</v>
      </c>
    </row>
    <row r="30" spans="1:6" s="104" customFormat="1" ht="53.45" customHeight="1" x14ac:dyDescent="0.25">
      <c r="A30" s="176">
        <v>3.0149999999999983</v>
      </c>
      <c r="B30" s="173" t="s">
        <v>211</v>
      </c>
      <c r="C30" s="174" t="s">
        <v>659</v>
      </c>
      <c r="D30" s="172">
        <v>1</v>
      </c>
      <c r="E30" s="223">
        <v>12302.132110929168</v>
      </c>
      <c r="F30" s="223">
        <f>$D30*E30</f>
        <v>12302.132110929168</v>
      </c>
    </row>
    <row r="31" spans="1:6" s="104" customFormat="1" ht="15.75" x14ac:dyDescent="0.25">
      <c r="A31" s="179"/>
      <c r="B31" s="170" t="s">
        <v>212</v>
      </c>
      <c r="C31" s="171"/>
      <c r="D31" s="169"/>
      <c r="E31" s="223"/>
      <c r="F31" s="225"/>
    </row>
    <row r="32" spans="1:6" s="104" customFormat="1" ht="30" x14ac:dyDescent="0.25">
      <c r="A32" s="176">
        <v>3.0159999999999982</v>
      </c>
      <c r="B32" s="173" t="s">
        <v>213</v>
      </c>
      <c r="C32" s="174" t="s">
        <v>659</v>
      </c>
      <c r="D32" s="172">
        <v>1</v>
      </c>
      <c r="E32" s="223">
        <v>1505.78097037773</v>
      </c>
      <c r="F32" s="223">
        <f>$D32*E32</f>
        <v>1505.78097037773</v>
      </c>
    </row>
    <row r="33" spans="1:6" s="104" customFormat="1" ht="30" x14ac:dyDescent="0.25">
      <c r="A33" s="176">
        <v>3.0169999999999981</v>
      </c>
      <c r="B33" s="173" t="s">
        <v>214</v>
      </c>
      <c r="C33" s="174" t="s">
        <v>659</v>
      </c>
      <c r="D33" s="172">
        <v>1</v>
      </c>
      <c r="E33" s="223">
        <v>903.4685822266382</v>
      </c>
      <c r="F33" s="223">
        <f>$D33*E33</f>
        <v>903.4685822266382</v>
      </c>
    </row>
    <row r="34" spans="1:6" s="104" customFormat="1" ht="15.75" x14ac:dyDescent="0.25">
      <c r="A34" s="179"/>
      <c r="B34" s="213" t="s">
        <v>660</v>
      </c>
      <c r="C34" s="171"/>
      <c r="D34" s="169"/>
      <c r="E34" s="223"/>
      <c r="F34" s="225"/>
    </row>
    <row r="35" spans="1:6" s="104" customFormat="1" ht="30" x14ac:dyDescent="0.25">
      <c r="A35" s="176">
        <v>3.017999999999998</v>
      </c>
      <c r="B35" s="212" t="s">
        <v>661</v>
      </c>
      <c r="C35" s="174" t="s">
        <v>659</v>
      </c>
      <c r="D35" s="172">
        <v>1</v>
      </c>
      <c r="E35" s="223">
        <v>49208.52844371667</v>
      </c>
      <c r="F35" s="223">
        <f>$D35*E35</f>
        <v>49208.52844371667</v>
      </c>
    </row>
    <row r="36" spans="1:6" s="104" customFormat="1" ht="30" x14ac:dyDescent="0.25">
      <c r="A36" s="176">
        <v>3.0189999999999979</v>
      </c>
      <c r="B36" s="212" t="s">
        <v>662</v>
      </c>
      <c r="C36" s="174" t="s">
        <v>659</v>
      </c>
      <c r="D36" s="172">
        <v>1</v>
      </c>
      <c r="E36" s="223">
        <v>9841.7056887433337</v>
      </c>
      <c r="F36" s="223">
        <f>$D36*E36</f>
        <v>9841.7056887433337</v>
      </c>
    </row>
    <row r="37" spans="1:6" s="104" customFormat="1" ht="15.75" x14ac:dyDescent="0.25">
      <c r="A37" s="176"/>
      <c r="B37" s="170" t="s">
        <v>218</v>
      </c>
      <c r="C37" s="174"/>
      <c r="D37" s="172"/>
      <c r="E37" s="223"/>
      <c r="F37" s="223"/>
    </row>
    <row r="38" spans="1:6" s="104" customFormat="1" ht="39.6" customHeight="1" x14ac:dyDescent="0.25">
      <c r="A38" s="176">
        <v>3.0199999999999978</v>
      </c>
      <c r="B38" s="173" t="s">
        <v>219</v>
      </c>
      <c r="C38" s="174" t="s">
        <v>659</v>
      </c>
      <c r="D38" s="172">
        <v>1</v>
      </c>
      <c r="E38" s="223">
        <v>9841.7056887433337</v>
      </c>
      <c r="F38" s="223">
        <f>$D38*E38</f>
        <v>9841.7056887433337</v>
      </c>
    </row>
    <row r="39" spans="1:6" s="104" customFormat="1" ht="34.9" customHeight="1" x14ac:dyDescent="0.25">
      <c r="A39" s="176">
        <v>3.0209999999999977</v>
      </c>
      <c r="B39" s="173" t="s">
        <v>220</v>
      </c>
      <c r="C39" s="174" t="s">
        <v>659</v>
      </c>
      <c r="D39" s="172">
        <v>1</v>
      </c>
      <c r="E39" s="223">
        <v>2460.4264221858334</v>
      </c>
      <c r="F39" s="223">
        <f>$D39*E39</f>
        <v>2460.4264221858334</v>
      </c>
    </row>
    <row r="40" spans="1:6" s="104" customFormat="1" ht="15.75" x14ac:dyDescent="0.25">
      <c r="A40" s="176"/>
      <c r="B40" s="170" t="s">
        <v>221</v>
      </c>
      <c r="C40" s="174"/>
      <c r="D40" s="172"/>
      <c r="E40" s="223"/>
      <c r="F40" s="223"/>
    </row>
    <row r="41" spans="1:6" s="104" customFormat="1" ht="15.75" x14ac:dyDescent="0.25">
      <c r="A41" s="176">
        <v>3.0219999999999976</v>
      </c>
      <c r="B41" s="173" t="s">
        <v>222</v>
      </c>
      <c r="C41" s="174" t="s">
        <v>659</v>
      </c>
      <c r="D41" s="172">
        <v>1</v>
      </c>
      <c r="E41" s="223">
        <v>9841.7056887433337</v>
      </c>
      <c r="F41" s="223">
        <f>$D41*E41</f>
        <v>9841.7056887433337</v>
      </c>
    </row>
    <row r="42" spans="1:6" s="104" customFormat="1" ht="30" x14ac:dyDescent="0.25">
      <c r="A42" s="176">
        <v>3.0229999999999975</v>
      </c>
      <c r="B42" s="173" t="s">
        <v>223</v>
      </c>
      <c r="C42" s="174" t="s">
        <v>659</v>
      </c>
      <c r="D42" s="172">
        <v>1</v>
      </c>
      <c r="E42" s="223">
        <v>1279.9138248210706</v>
      </c>
      <c r="F42" s="223">
        <f>$D42*E42</f>
        <v>1279.9138248210706</v>
      </c>
    </row>
    <row r="43" spans="1:6" s="104" customFormat="1" ht="15.75" x14ac:dyDescent="0.25">
      <c r="A43" s="176"/>
      <c r="B43" s="170" t="s">
        <v>224</v>
      </c>
      <c r="C43" s="174"/>
      <c r="D43" s="172"/>
      <c r="E43" s="223"/>
      <c r="F43" s="223"/>
    </row>
    <row r="44" spans="1:6" s="104" customFormat="1" ht="30" x14ac:dyDescent="0.25">
      <c r="A44" s="176">
        <v>3.0239999999999974</v>
      </c>
      <c r="B44" s="173" t="s">
        <v>225</v>
      </c>
      <c r="C44" s="174" t="s">
        <v>659</v>
      </c>
      <c r="D44" s="172">
        <v>1</v>
      </c>
      <c r="E44" s="223">
        <v>3178.8709374640976</v>
      </c>
      <c r="F44" s="223">
        <f>$D44*E44</f>
        <v>3178.8709374640976</v>
      </c>
    </row>
    <row r="45" spans="1:6" s="104" customFormat="1" ht="45" x14ac:dyDescent="0.25">
      <c r="A45" s="176">
        <v>3.0249999999999972</v>
      </c>
      <c r="B45" s="173" t="s">
        <v>226</v>
      </c>
      <c r="C45" s="174" t="s">
        <v>659</v>
      </c>
      <c r="D45" s="172">
        <v>1</v>
      </c>
      <c r="E45" s="223">
        <v>1907.3225624784584</v>
      </c>
      <c r="F45" s="223">
        <f>$D45*E45</f>
        <v>1907.3225624784584</v>
      </c>
    </row>
    <row r="46" spans="1:6" s="104" customFormat="1" ht="15.75" x14ac:dyDescent="0.25">
      <c r="A46" s="176"/>
      <c r="B46" s="170" t="s">
        <v>227</v>
      </c>
      <c r="C46" s="174"/>
      <c r="D46" s="172"/>
      <c r="E46" s="223"/>
      <c r="F46" s="223"/>
    </row>
    <row r="47" spans="1:6" s="104" customFormat="1" ht="49.15" customHeight="1" x14ac:dyDescent="0.25">
      <c r="A47" s="176">
        <v>3.0259999999999971</v>
      </c>
      <c r="B47" s="173" t="s">
        <v>228</v>
      </c>
      <c r="C47" s="174" t="s">
        <v>659</v>
      </c>
      <c r="D47" s="172">
        <v>1</v>
      </c>
      <c r="E47" s="223">
        <v>29011.380029277603</v>
      </c>
      <c r="F47" s="223">
        <f>$D47*E47</f>
        <v>29011.380029277603</v>
      </c>
    </row>
    <row r="48" spans="1:6" s="104" customFormat="1" ht="15.75" x14ac:dyDescent="0.25">
      <c r="A48" s="176"/>
      <c r="B48" s="170" t="s">
        <v>229</v>
      </c>
      <c r="C48" s="174"/>
      <c r="D48" s="172"/>
      <c r="E48" s="223"/>
      <c r="F48" s="223"/>
    </row>
    <row r="49" spans="1:6" s="104" customFormat="1" ht="15.75" x14ac:dyDescent="0.25">
      <c r="A49" s="176">
        <v>3.026999999999997</v>
      </c>
      <c r="B49" s="173" t="s">
        <v>230</v>
      </c>
      <c r="C49" s="174" t="s">
        <v>659</v>
      </c>
      <c r="D49" s="172">
        <v>1</v>
      </c>
      <c r="E49" s="223">
        <v>75289.048518886499</v>
      </c>
      <c r="F49" s="223">
        <f>$D49*E49</f>
        <v>75289.048518886499</v>
      </c>
    </row>
    <row r="50" spans="1:6" s="104" customFormat="1" ht="30" x14ac:dyDescent="0.25">
      <c r="A50" s="176">
        <v>3.0279999999999969</v>
      </c>
      <c r="B50" s="173" t="s">
        <v>231</v>
      </c>
      <c r="C50" s="174" t="s">
        <v>659</v>
      </c>
      <c r="D50" s="172">
        <v>1</v>
      </c>
      <c r="E50" s="223">
        <v>45173.429111331905</v>
      </c>
      <c r="F50" s="223">
        <f>$D50*E50</f>
        <v>45173.429111331905</v>
      </c>
    </row>
    <row r="51" spans="1:6" s="104" customFormat="1" ht="15.75" x14ac:dyDescent="0.25">
      <c r="A51" s="179"/>
      <c r="B51" s="170" t="s">
        <v>232</v>
      </c>
      <c r="C51" s="171"/>
      <c r="D51" s="169"/>
      <c r="E51" s="223"/>
      <c r="F51" s="225"/>
    </row>
    <row r="52" spans="1:6" s="104" customFormat="1" ht="30" x14ac:dyDescent="0.25">
      <c r="A52" s="176">
        <v>3.0289999999999968</v>
      </c>
      <c r="B52" s="173" t="s">
        <v>233</v>
      </c>
      <c r="C52" s="174" t="s">
        <v>659</v>
      </c>
      <c r="D52" s="172">
        <v>1</v>
      </c>
      <c r="E52" s="223">
        <v>37644.524259443249</v>
      </c>
      <c r="F52" s="223">
        <f>$D52*E52</f>
        <v>37644.524259443249</v>
      </c>
    </row>
    <row r="53" spans="1:6" s="104" customFormat="1" ht="30" x14ac:dyDescent="0.25">
      <c r="A53" s="176">
        <v>3.0299999999999967</v>
      </c>
      <c r="B53" s="173" t="s">
        <v>234</v>
      </c>
      <c r="C53" s="174" t="s">
        <v>659</v>
      </c>
      <c r="D53" s="169">
        <v>1</v>
      </c>
      <c r="E53" s="223">
        <v>22586.714555665953</v>
      </c>
      <c r="F53" s="223">
        <f>$D53*E53</f>
        <v>22586.714555665953</v>
      </c>
    </row>
    <row r="54" spans="1:6" s="104" customFormat="1" ht="31.5" x14ac:dyDescent="0.25">
      <c r="A54" s="176"/>
      <c r="B54" s="170" t="s">
        <v>235</v>
      </c>
      <c r="C54" s="174"/>
      <c r="D54" s="172"/>
      <c r="E54" s="223"/>
      <c r="F54" s="223"/>
    </row>
    <row r="55" spans="1:6" s="104" customFormat="1" ht="39.6" customHeight="1" x14ac:dyDescent="0.25">
      <c r="A55" s="176">
        <v>3.0309999999999966</v>
      </c>
      <c r="B55" s="173" t="s">
        <v>236</v>
      </c>
      <c r="C55" s="174" t="s">
        <v>659</v>
      </c>
      <c r="D55" s="172">
        <v>1</v>
      </c>
      <c r="E55" s="223">
        <v>15039.405714139351</v>
      </c>
      <c r="F55" s="223">
        <f>$D55*E55</f>
        <v>15039.405714139351</v>
      </c>
    </row>
    <row r="56" spans="1:6" s="104" customFormat="1" ht="44.45" customHeight="1" x14ac:dyDescent="0.25">
      <c r="A56" s="176">
        <v>3.0319999999999965</v>
      </c>
      <c r="B56" s="173" t="s">
        <v>237</v>
      </c>
      <c r="C56" s="174" t="s">
        <v>659</v>
      </c>
      <c r="D56" s="172">
        <v>1</v>
      </c>
      <c r="E56" s="223">
        <v>9023.6434284836105</v>
      </c>
      <c r="F56" s="223">
        <f>$D56*E56</f>
        <v>9023.6434284836105</v>
      </c>
    </row>
    <row r="57" spans="1:6" s="104" customFormat="1" ht="15.75" x14ac:dyDescent="0.25">
      <c r="A57" s="176"/>
      <c r="B57" s="170" t="s">
        <v>238</v>
      </c>
      <c r="C57" s="174"/>
      <c r="D57" s="172"/>
      <c r="E57" s="223"/>
      <c r="F57" s="223"/>
    </row>
    <row r="58" spans="1:6" s="104" customFormat="1" ht="30" x14ac:dyDescent="0.25">
      <c r="A58" s="176">
        <v>3.0329999999999964</v>
      </c>
      <c r="B58" s="173" t="s">
        <v>239</v>
      </c>
      <c r="C58" s="174" t="s">
        <v>659</v>
      </c>
      <c r="D58" s="172">
        <v>1</v>
      </c>
      <c r="E58" s="223">
        <v>2927.9074424011419</v>
      </c>
      <c r="F58" s="223">
        <f>$D58*E58</f>
        <v>2927.9074424011419</v>
      </c>
    </row>
    <row r="59" spans="1:6" s="104" customFormat="1" ht="30" x14ac:dyDescent="0.25">
      <c r="A59" s="176">
        <v>3.0339999999999963</v>
      </c>
      <c r="B59" s="173" t="s">
        <v>240</v>
      </c>
      <c r="C59" s="174" t="s">
        <v>659</v>
      </c>
      <c r="D59" s="172">
        <v>1</v>
      </c>
      <c r="E59" s="223">
        <v>1756.7444654406854</v>
      </c>
      <c r="F59" s="223">
        <f>$D59*E59</f>
        <v>1756.7444654406854</v>
      </c>
    </row>
    <row r="60" spans="1:6" ht="15.75" x14ac:dyDescent="0.2">
      <c r="A60" s="176"/>
      <c r="B60" s="170" t="s">
        <v>241</v>
      </c>
      <c r="C60" s="174"/>
      <c r="D60" s="185"/>
      <c r="E60" s="223"/>
      <c r="F60" s="223"/>
    </row>
    <row r="61" spans="1:6" s="104" customFormat="1" ht="15.75" x14ac:dyDescent="0.25">
      <c r="A61" s="176">
        <v>3.0349999999999961</v>
      </c>
      <c r="B61" s="173" t="s">
        <v>242</v>
      </c>
      <c r="C61" s="174" t="s">
        <v>659</v>
      </c>
      <c r="D61" s="172">
        <v>1</v>
      </c>
      <c r="E61" s="223">
        <v>35553.161800585294</v>
      </c>
      <c r="F61" s="223">
        <f t="shared" ref="F61:F66" si="0">$D61*E61</f>
        <v>35553.161800585294</v>
      </c>
    </row>
    <row r="62" spans="1:6" s="104" customFormat="1" ht="30" x14ac:dyDescent="0.25">
      <c r="A62" s="176">
        <v>3.035999999999996</v>
      </c>
      <c r="B62" s="173" t="s">
        <v>243</v>
      </c>
      <c r="C62" s="174" t="s">
        <v>659</v>
      </c>
      <c r="D62" s="172">
        <v>1</v>
      </c>
      <c r="E62" s="223">
        <v>21331.897080351177</v>
      </c>
      <c r="F62" s="223">
        <f t="shared" si="0"/>
        <v>21331.897080351177</v>
      </c>
    </row>
    <row r="63" spans="1:6" s="104" customFormat="1" ht="30" x14ac:dyDescent="0.25">
      <c r="A63" s="176">
        <v>3.0369999999999959</v>
      </c>
      <c r="B63" s="173" t="s">
        <v>244</v>
      </c>
      <c r="C63" s="174" t="s">
        <v>659</v>
      </c>
      <c r="D63" s="172">
        <v>1</v>
      </c>
      <c r="E63" s="223">
        <v>39819.541216655532</v>
      </c>
      <c r="F63" s="223">
        <f t="shared" si="0"/>
        <v>39819.541216655532</v>
      </c>
    </row>
    <row r="64" spans="1:6" s="104" customFormat="1" ht="30" x14ac:dyDescent="0.25">
      <c r="A64" s="176">
        <v>3.0379999999999958</v>
      </c>
      <c r="B64" s="173" t="s">
        <v>245</v>
      </c>
      <c r="C64" s="174" t="s">
        <v>659</v>
      </c>
      <c r="D64" s="172">
        <v>1</v>
      </c>
      <c r="E64" s="223">
        <v>23891.724729993319</v>
      </c>
      <c r="F64" s="223">
        <f t="shared" si="0"/>
        <v>23891.724729993319</v>
      </c>
    </row>
    <row r="65" spans="1:87" s="104" customFormat="1" ht="30" x14ac:dyDescent="0.25">
      <c r="A65" s="176">
        <v>3.0389999999999957</v>
      </c>
      <c r="B65" s="173" t="s">
        <v>246</v>
      </c>
      <c r="C65" s="174" t="s">
        <v>659</v>
      </c>
      <c r="D65" s="172">
        <v>1</v>
      </c>
      <c r="E65" s="223">
        <v>120462.47763021842</v>
      </c>
      <c r="F65" s="223">
        <f t="shared" si="0"/>
        <v>120462.47763021842</v>
      </c>
    </row>
    <row r="66" spans="1:87" s="104" customFormat="1" ht="30" x14ac:dyDescent="0.25">
      <c r="A66" s="176">
        <v>3.0399999999999956</v>
      </c>
      <c r="B66" s="173" t="s">
        <v>247</v>
      </c>
      <c r="C66" s="174" t="s">
        <v>659</v>
      </c>
      <c r="D66" s="172">
        <v>1</v>
      </c>
      <c r="E66" s="223">
        <v>72277.486578131051</v>
      </c>
      <c r="F66" s="223">
        <f t="shared" si="0"/>
        <v>72277.486578131051</v>
      </c>
    </row>
    <row r="67" spans="1:87" s="104" customFormat="1" ht="15.75" x14ac:dyDescent="0.25">
      <c r="A67" s="176"/>
      <c r="B67" s="170" t="s">
        <v>248</v>
      </c>
      <c r="C67" s="174"/>
      <c r="D67" s="172"/>
      <c r="E67" s="223"/>
      <c r="F67" s="223"/>
    </row>
    <row r="68" spans="1:87" s="104" customFormat="1" ht="30" x14ac:dyDescent="0.25">
      <c r="A68" s="176">
        <v>3.0409999999999955</v>
      </c>
      <c r="B68" s="173" t="s">
        <v>225</v>
      </c>
      <c r="C68" s="174" t="s">
        <v>659</v>
      </c>
      <c r="D68" s="172">
        <v>1</v>
      </c>
      <c r="E68" s="223">
        <v>234826.54233040704</v>
      </c>
      <c r="F68" s="223">
        <f>$D68*E68</f>
        <v>234826.54233040704</v>
      </c>
    </row>
    <row r="69" spans="1:87" s="104" customFormat="1" ht="69.599999999999994" customHeight="1" x14ac:dyDescent="0.25">
      <c r="A69" s="176">
        <v>3.0419999999999954</v>
      </c>
      <c r="B69" s="173" t="s">
        <v>249</v>
      </c>
      <c r="C69" s="174" t="s">
        <v>659</v>
      </c>
      <c r="D69" s="172">
        <v>1</v>
      </c>
      <c r="E69" s="223">
        <v>140895.9253982442</v>
      </c>
      <c r="F69" s="223">
        <f>$D69*E69</f>
        <v>140895.9253982442</v>
      </c>
    </row>
    <row r="70" spans="1:87" s="104" customFormat="1" ht="15.75" x14ac:dyDescent="0.25">
      <c r="A70" s="172"/>
      <c r="B70" s="170" t="s">
        <v>250</v>
      </c>
      <c r="C70" s="174"/>
      <c r="D70" s="172"/>
      <c r="E70" s="223"/>
      <c r="F70" s="223"/>
    </row>
    <row r="71" spans="1:87" s="104" customFormat="1" ht="15.75" x14ac:dyDescent="0.25">
      <c r="A71" s="172">
        <v>3.0429999999999953</v>
      </c>
      <c r="B71" s="173" t="s">
        <v>251</v>
      </c>
      <c r="C71" s="174" t="s">
        <v>659</v>
      </c>
      <c r="D71" s="172">
        <v>1</v>
      </c>
      <c r="E71" s="223">
        <v>9841.7056887433337</v>
      </c>
      <c r="F71" s="223">
        <f>$D71*E71</f>
        <v>9841.7056887433337</v>
      </c>
    </row>
    <row r="72" spans="1:87" s="104" customFormat="1" ht="45" x14ac:dyDescent="0.25">
      <c r="A72" s="172">
        <v>3.0439999999999952</v>
      </c>
      <c r="B72" s="173" t="s">
        <v>252</v>
      </c>
      <c r="C72" s="174" t="s">
        <v>659</v>
      </c>
      <c r="D72" s="172">
        <v>1</v>
      </c>
      <c r="E72" s="223">
        <v>4920.8528443716668</v>
      </c>
      <c r="F72" s="223">
        <f>$D72*E72</f>
        <v>4920.8528443716668</v>
      </c>
    </row>
    <row r="73" spans="1:87" s="104" customFormat="1" ht="15.75" x14ac:dyDescent="0.25">
      <c r="A73" s="176"/>
      <c r="B73" s="170" t="s">
        <v>253</v>
      </c>
      <c r="C73" s="174"/>
      <c r="D73" s="172"/>
      <c r="E73" s="223"/>
      <c r="F73" s="223"/>
    </row>
    <row r="74" spans="1:87" s="104" customFormat="1" ht="45" x14ac:dyDescent="0.25">
      <c r="A74" s="176">
        <v>3.044999999999995</v>
      </c>
      <c r="B74" s="173" t="s">
        <v>254</v>
      </c>
      <c r="C74" s="174" t="s">
        <v>659</v>
      </c>
      <c r="D74" s="172">
        <v>1</v>
      </c>
      <c r="E74" s="223">
        <v>41827.249177159167</v>
      </c>
      <c r="F74" s="223">
        <f>$D74*E74</f>
        <v>41827.249177159167</v>
      </c>
    </row>
    <row r="75" spans="1:87" s="104" customFormat="1" ht="45" x14ac:dyDescent="0.25">
      <c r="A75" s="176">
        <v>3.0459999999999949</v>
      </c>
      <c r="B75" s="173" t="s">
        <v>255</v>
      </c>
      <c r="C75" s="174" t="s">
        <v>659</v>
      </c>
      <c r="D75" s="172">
        <v>1</v>
      </c>
      <c r="E75" s="223">
        <v>25096.349506295504</v>
      </c>
      <c r="F75" s="223">
        <f>$D75*E75</f>
        <v>25096.349506295504</v>
      </c>
    </row>
    <row r="76" spans="1:87" s="104" customFormat="1" ht="15.75" x14ac:dyDescent="0.25">
      <c r="A76" s="176"/>
      <c r="B76" s="170" t="s">
        <v>153</v>
      </c>
      <c r="C76" s="174"/>
      <c r="D76" s="172"/>
      <c r="E76" s="223"/>
      <c r="F76" s="223"/>
    </row>
    <row r="77" spans="1:87" s="104" customFormat="1" ht="56.45" customHeight="1" x14ac:dyDescent="0.25">
      <c r="A77" s="176">
        <v>3.0469999999999948</v>
      </c>
      <c r="B77" s="173" t="s">
        <v>256</v>
      </c>
      <c r="C77" s="174" t="s">
        <v>659</v>
      </c>
      <c r="D77" s="172">
        <v>1</v>
      </c>
      <c r="E77" s="223">
        <v>344459.69910601672</v>
      </c>
      <c r="F77" s="223">
        <f>$D77*E77</f>
        <v>344459.69910601672</v>
      </c>
    </row>
    <row r="78" spans="1:87" s="104" customFormat="1" ht="15.75" x14ac:dyDescent="0.25">
      <c r="A78" s="176"/>
      <c r="B78" s="140" t="s">
        <v>257</v>
      </c>
      <c r="C78" s="141"/>
      <c r="D78" s="181"/>
      <c r="E78" s="182"/>
      <c r="F78" s="223"/>
    </row>
    <row r="79" spans="1:87" s="104" customFormat="1" ht="15.75" x14ac:dyDescent="0.25">
      <c r="A79" s="176">
        <v>3.0479999999999947</v>
      </c>
      <c r="B79" s="142" t="s">
        <v>258</v>
      </c>
      <c r="C79" s="172" t="s">
        <v>659</v>
      </c>
      <c r="D79" s="181">
        <v>1</v>
      </c>
      <c r="E79" s="223">
        <v>41827.249177159167</v>
      </c>
      <c r="F79" s="223">
        <f>$D79*E79</f>
        <v>41827.249177159167</v>
      </c>
    </row>
    <row r="80" spans="1:87" s="95" customFormat="1" ht="15.75" x14ac:dyDescent="0.2">
      <c r="A80" s="207"/>
      <c r="B80" s="204" t="s">
        <v>648</v>
      </c>
      <c r="C80" s="205"/>
      <c r="D80" s="186"/>
      <c r="E80" s="131"/>
      <c r="F80" s="131"/>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row>
    <row r="81" spans="1:88" s="104" customFormat="1" ht="70.900000000000006" customHeight="1" x14ac:dyDescent="0.25">
      <c r="A81" s="207">
        <v>3.0489999999999946</v>
      </c>
      <c r="B81" s="206" t="s">
        <v>701</v>
      </c>
      <c r="C81" s="205" t="s">
        <v>659</v>
      </c>
      <c r="D81" s="186">
        <v>1</v>
      </c>
      <c r="E81" s="223">
        <v>123808.65756439116</v>
      </c>
      <c r="F81" s="223">
        <f>$D81*E81</f>
        <v>123808.65756439116</v>
      </c>
    </row>
    <row r="82" spans="1:88" s="139" customFormat="1" ht="25.5" customHeight="1" x14ac:dyDescent="0.25">
      <c r="A82" s="177"/>
      <c r="B82" s="171" t="s">
        <v>663</v>
      </c>
      <c r="C82" s="174"/>
      <c r="D82" s="178"/>
      <c r="E82" s="224"/>
      <c r="F82" s="225">
        <f>SUM(F9:F81)</f>
        <v>2504427.0782171553</v>
      </c>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c r="CI82" s="104"/>
      <c r="CJ82" s="104"/>
    </row>
    <row r="83" spans="1:88" x14ac:dyDescent="0.2">
      <c r="E83" s="88"/>
    </row>
  </sheetData>
  <sheetProtection formatCells="0" formatColumns="0" formatRows="0" insertColumns="0" insertRows="0" insertHyperlinks="0" deleteColumns="0" deleteRows="0" sort="0" autoFilter="0" pivotTables="0"/>
  <protectedRanges>
    <protectedRange sqref="F82" name="Range1_1_2"/>
  </protectedRanges>
  <autoFilter ref="A6:F82" xr:uid="{D366D502-47DA-4834-8D09-495F57591A57}"/>
  <pageMargins left="0.47244094488188981" right="0.47244094488188981" top="0.74803149606299213" bottom="0.74803149606299213" header="0.31496062992125984" footer="0.31496062992125984"/>
  <pageSetup paperSize="9" scale="89" fitToHeight="0" orientation="landscape" r:id="rId1"/>
  <headerFooter>
    <oddFooter>&amp;C&amp;"Arial,Bold"&amp;16&amp;P/&amp;N</oddFooter>
  </headerFooter>
  <rowBreaks count="7" manualBreakCount="7">
    <brk id="22" max="5" man="1"/>
    <brk id="30" max="5" man="1"/>
    <brk id="39" max="5" man="1"/>
    <brk id="47" max="5" man="1"/>
    <brk id="56" max="5" man="1"/>
    <brk id="66" max="5" man="1"/>
    <brk id="72"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B975-6C37-44AF-8551-8C5835AAFEF8}">
  <dimension ref="A1:CG49"/>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146"/>
    <col min="2" max="2" width="75.28515625" style="86" customWidth="1"/>
    <col min="3" max="3" width="14" style="86" customWidth="1"/>
    <col min="4" max="4" width="14.28515625" style="88" customWidth="1"/>
    <col min="5" max="5" width="16.28515625" style="109" customWidth="1"/>
    <col min="6" max="6" width="19.5703125" style="109" customWidth="1"/>
    <col min="7" max="16384" width="9.140625" style="90"/>
  </cols>
  <sheetData>
    <row r="1" spans="1:85" x14ac:dyDescent="0.2">
      <c r="A1" s="143"/>
      <c r="B1" s="87"/>
      <c r="E1" s="89"/>
      <c r="F1" s="89"/>
    </row>
    <row r="2" spans="1:85" x14ac:dyDescent="0.2">
      <c r="A2" s="143"/>
      <c r="B2" s="87"/>
      <c r="E2" s="89"/>
      <c r="F2" s="89"/>
    </row>
    <row r="3" spans="1:85" ht="12" customHeight="1" thickBot="1" x14ac:dyDescent="0.25">
      <c r="A3" s="143"/>
      <c r="B3" s="273"/>
      <c r="C3" s="275"/>
      <c r="E3" s="89"/>
      <c r="F3" s="89"/>
    </row>
    <row r="4" spans="1:85" ht="33.950000000000003" customHeight="1" x14ac:dyDescent="0.2">
      <c r="A4" s="143"/>
      <c r="B4" s="87"/>
      <c r="E4" s="89"/>
      <c r="F4" s="89"/>
    </row>
    <row r="5" spans="1:85" s="95" customFormat="1" ht="15.75" x14ac:dyDescent="0.2">
      <c r="A5" s="144"/>
      <c r="B5" s="92" t="s">
        <v>259</v>
      </c>
      <c r="C5" s="91"/>
      <c r="D5" s="93"/>
      <c r="E5" s="94"/>
      <c r="F5" s="94"/>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row>
    <row r="6" spans="1:85" s="100" customFormat="1" ht="56.25" customHeight="1" x14ac:dyDescent="0.2">
      <c r="A6" s="138" t="s">
        <v>14</v>
      </c>
      <c r="B6" s="97" t="s">
        <v>0</v>
      </c>
      <c r="C6" s="98" t="s">
        <v>15</v>
      </c>
      <c r="D6" s="136" t="s">
        <v>16</v>
      </c>
      <c r="E6" s="126" t="s">
        <v>17</v>
      </c>
      <c r="F6" s="126" t="s">
        <v>53</v>
      </c>
    </row>
    <row r="7" spans="1:85" s="104" customFormat="1" ht="15.75" x14ac:dyDescent="0.25">
      <c r="A7" s="179"/>
      <c r="B7" s="170" t="s">
        <v>260</v>
      </c>
      <c r="C7" s="171"/>
      <c r="D7" s="169"/>
      <c r="E7" s="106"/>
      <c r="F7" s="106"/>
    </row>
    <row r="8" spans="1:85" s="104" customFormat="1" ht="78.75" x14ac:dyDescent="0.25">
      <c r="A8" s="179"/>
      <c r="B8" s="170" t="s">
        <v>261</v>
      </c>
      <c r="C8" s="171"/>
      <c r="D8" s="169"/>
      <c r="E8" s="106"/>
      <c r="F8" s="106"/>
    </row>
    <row r="9" spans="1:85" s="104" customFormat="1" ht="15.75" x14ac:dyDescent="0.25">
      <c r="A9" s="179"/>
      <c r="B9" s="170" t="s">
        <v>262</v>
      </c>
      <c r="C9" s="171"/>
      <c r="D9" s="169"/>
      <c r="E9" s="106"/>
      <c r="F9" s="106"/>
    </row>
    <row r="10" spans="1:85" s="104" customFormat="1" ht="15.75" x14ac:dyDescent="0.25">
      <c r="A10" s="176">
        <v>4.0010000000000003</v>
      </c>
      <c r="B10" s="173" t="s">
        <v>263</v>
      </c>
      <c r="C10" s="174" t="s">
        <v>659</v>
      </c>
      <c r="D10" s="172">
        <v>1</v>
      </c>
      <c r="E10" s="223">
        <v>1169.3560397960034</v>
      </c>
      <c r="F10" s="223">
        <f>$D10*E10</f>
        <v>1169.3560397960034</v>
      </c>
    </row>
    <row r="11" spans="1:85" s="104" customFormat="1" ht="15.75" x14ac:dyDescent="0.25">
      <c r="A11" s="176">
        <v>4.0020000000000007</v>
      </c>
      <c r="B11" s="173" t="s">
        <v>264</v>
      </c>
      <c r="C11" s="174" t="s">
        <v>659</v>
      </c>
      <c r="D11" s="172">
        <v>1</v>
      </c>
      <c r="E11" s="223">
        <v>848.12945847528943</v>
      </c>
      <c r="F11" s="223">
        <f>$D11*E11</f>
        <v>848.12945847528943</v>
      </c>
    </row>
    <row r="12" spans="1:85" s="104" customFormat="1" ht="15.75" x14ac:dyDescent="0.25">
      <c r="A12" s="169"/>
      <c r="B12" s="170" t="s">
        <v>96</v>
      </c>
      <c r="C12" s="171"/>
      <c r="D12" s="169"/>
      <c r="E12" s="225"/>
      <c r="F12" s="225"/>
    </row>
    <row r="13" spans="1:85" s="104" customFormat="1" ht="159.6" customHeight="1" x14ac:dyDescent="0.25">
      <c r="A13" s="169"/>
      <c r="B13" s="170" t="s">
        <v>664</v>
      </c>
      <c r="C13" s="171"/>
      <c r="D13" s="169"/>
      <c r="E13" s="225"/>
      <c r="F13" s="225"/>
    </row>
    <row r="14" spans="1:85" s="104" customFormat="1" ht="15.75" x14ac:dyDescent="0.25">
      <c r="A14" s="172">
        <v>4.003000000000001</v>
      </c>
      <c r="B14" s="173" t="s">
        <v>96</v>
      </c>
      <c r="C14" s="174" t="s">
        <v>659</v>
      </c>
      <c r="D14" s="172">
        <v>1</v>
      </c>
      <c r="E14" s="223">
        <v>22044.479482052997</v>
      </c>
      <c r="F14" s="223">
        <f>$D14*E14</f>
        <v>22044.479482052997</v>
      </c>
    </row>
    <row r="15" spans="1:85" s="104" customFormat="1" ht="15.75" x14ac:dyDescent="0.25">
      <c r="A15" s="172"/>
      <c r="B15" s="170" t="s">
        <v>265</v>
      </c>
      <c r="C15" s="174"/>
      <c r="D15" s="172"/>
      <c r="E15" s="225"/>
      <c r="F15" s="225"/>
    </row>
    <row r="16" spans="1:85" s="104" customFormat="1" ht="78.75" x14ac:dyDescent="0.25">
      <c r="A16" s="172"/>
      <c r="B16" s="170" t="s">
        <v>266</v>
      </c>
      <c r="C16" s="174"/>
      <c r="D16" s="172"/>
      <c r="E16" s="225"/>
      <c r="F16" s="225"/>
    </row>
    <row r="17" spans="1:6" s="104" customFormat="1" ht="15.75" x14ac:dyDescent="0.25">
      <c r="A17" s="172">
        <v>4.0040000000000013</v>
      </c>
      <c r="B17" s="173" t="s">
        <v>267</v>
      </c>
      <c r="C17" s="174" t="s">
        <v>659</v>
      </c>
      <c r="D17" s="172">
        <v>1</v>
      </c>
      <c r="E17" s="223">
        <v>809.21338584086061</v>
      </c>
      <c r="F17" s="223">
        <f>$D17*E17</f>
        <v>809.21338584086061</v>
      </c>
    </row>
    <row r="18" spans="1:6" s="104" customFormat="1" ht="15.75" x14ac:dyDescent="0.25">
      <c r="A18" s="169"/>
      <c r="B18" s="170" t="s">
        <v>268</v>
      </c>
      <c r="C18" s="171"/>
      <c r="D18" s="169"/>
      <c r="E18" s="225"/>
      <c r="F18" s="225"/>
    </row>
    <row r="19" spans="1:6" s="104" customFormat="1" ht="126" x14ac:dyDescent="0.25">
      <c r="A19" s="169"/>
      <c r="B19" s="170" t="s">
        <v>665</v>
      </c>
      <c r="C19" s="171"/>
      <c r="D19" s="169"/>
      <c r="E19" s="225"/>
      <c r="F19" s="225"/>
    </row>
    <row r="20" spans="1:6" s="104" customFormat="1" ht="15.75" x14ac:dyDescent="0.25">
      <c r="A20" s="169"/>
      <c r="B20" s="170" t="s">
        <v>269</v>
      </c>
      <c r="C20" s="171"/>
      <c r="D20" s="169"/>
      <c r="E20" s="225"/>
      <c r="F20" s="223"/>
    </row>
    <row r="21" spans="1:6" s="104" customFormat="1" ht="15.75" x14ac:dyDescent="0.25">
      <c r="A21" s="172">
        <v>4.0050000000000017</v>
      </c>
      <c r="B21" s="173" t="s">
        <v>269</v>
      </c>
      <c r="C21" s="174" t="s">
        <v>659</v>
      </c>
      <c r="D21" s="172">
        <v>1</v>
      </c>
      <c r="E21" s="223">
        <v>19122.374315657711</v>
      </c>
      <c r="F21" s="223">
        <f>$D21*E21</f>
        <v>19122.374315657711</v>
      </c>
    </row>
    <row r="22" spans="1:6" s="104" customFormat="1" ht="141.75" x14ac:dyDescent="0.25">
      <c r="A22" s="169"/>
      <c r="B22" s="170" t="s">
        <v>666</v>
      </c>
      <c r="C22" s="171"/>
      <c r="D22" s="169"/>
      <c r="E22" s="225"/>
      <c r="F22" s="225"/>
    </row>
    <row r="23" spans="1:6" s="104" customFormat="1" ht="15.75" x14ac:dyDescent="0.25">
      <c r="A23" s="169"/>
      <c r="B23" s="170" t="s">
        <v>270</v>
      </c>
      <c r="C23" s="171"/>
      <c r="D23" s="169"/>
      <c r="E23" s="225"/>
      <c r="F23" s="223"/>
    </row>
    <row r="24" spans="1:6" s="104" customFormat="1" ht="15.75" x14ac:dyDescent="0.25">
      <c r="A24" s="172">
        <v>4.006000000000002</v>
      </c>
      <c r="B24" s="173" t="s">
        <v>271</v>
      </c>
      <c r="C24" s="174" t="s">
        <v>659</v>
      </c>
      <c r="D24" s="172">
        <v>1</v>
      </c>
      <c r="E24" s="223">
        <v>1595.5389009319797</v>
      </c>
      <c r="F24" s="223">
        <f>$D24*E24</f>
        <v>1595.5389009319797</v>
      </c>
    </row>
    <row r="25" spans="1:6" s="104" customFormat="1" ht="15.75" x14ac:dyDescent="0.25">
      <c r="A25" s="172">
        <v>4.0070000000000023</v>
      </c>
      <c r="B25" s="173" t="s">
        <v>272</v>
      </c>
      <c r="C25" s="174" t="s">
        <v>659</v>
      </c>
      <c r="D25" s="172">
        <v>1</v>
      </c>
      <c r="E25" s="223">
        <v>1060.1568038242108</v>
      </c>
      <c r="F25" s="223">
        <f>$D25*E25</f>
        <v>1060.1568038242108</v>
      </c>
    </row>
    <row r="26" spans="1:6" s="104" customFormat="1" ht="15.75" x14ac:dyDescent="0.25">
      <c r="A26" s="169"/>
      <c r="B26" s="170" t="s">
        <v>96</v>
      </c>
      <c r="C26" s="171"/>
      <c r="D26" s="169"/>
      <c r="E26" s="225"/>
      <c r="F26" s="223"/>
    </row>
    <row r="27" spans="1:6" s="104" customFormat="1" ht="15.75" x14ac:dyDescent="0.25">
      <c r="A27" s="172">
        <v>4.0080000000000027</v>
      </c>
      <c r="B27" s="173" t="s">
        <v>97</v>
      </c>
      <c r="C27" s="174" t="s">
        <v>659</v>
      </c>
      <c r="D27" s="172">
        <v>1</v>
      </c>
      <c r="E27" s="223">
        <v>13020.01958566545</v>
      </c>
      <c r="F27" s="223">
        <f>$D27*E27</f>
        <v>13020.01958566545</v>
      </c>
    </row>
    <row r="28" spans="1:6" s="104" customFormat="1" ht="15.75" x14ac:dyDescent="0.25">
      <c r="A28" s="172"/>
      <c r="B28" s="170" t="s">
        <v>95</v>
      </c>
      <c r="C28" s="174"/>
      <c r="D28" s="172"/>
      <c r="E28" s="223"/>
      <c r="F28" s="223"/>
    </row>
    <row r="29" spans="1:6" s="104" customFormat="1" ht="15.75" x14ac:dyDescent="0.25">
      <c r="A29" s="172">
        <v>4.009000000000003</v>
      </c>
      <c r="B29" s="173" t="s">
        <v>104</v>
      </c>
      <c r="C29" s="174" t="s">
        <v>659</v>
      </c>
      <c r="D29" s="172">
        <v>1</v>
      </c>
      <c r="E29" s="223">
        <v>1650.6370997280676</v>
      </c>
      <c r="F29" s="223">
        <f>$D29*E29</f>
        <v>1650.6370997280676</v>
      </c>
    </row>
    <row r="30" spans="1:6" s="104" customFormat="1" ht="15.75" x14ac:dyDescent="0.25">
      <c r="A30" s="169"/>
      <c r="B30" s="170" t="s">
        <v>269</v>
      </c>
      <c r="C30" s="171"/>
      <c r="D30" s="169"/>
      <c r="E30" s="225"/>
      <c r="F30" s="247"/>
    </row>
    <row r="31" spans="1:6" s="104" customFormat="1" ht="15.75" x14ac:dyDescent="0.25">
      <c r="A31" s="176">
        <v>4.0100000000000033</v>
      </c>
      <c r="B31" s="173" t="s">
        <v>269</v>
      </c>
      <c r="C31" s="174" t="s">
        <v>659</v>
      </c>
      <c r="D31" s="172">
        <v>1</v>
      </c>
      <c r="E31" s="223">
        <v>15942.71367972915</v>
      </c>
      <c r="F31" s="223">
        <f>$D31*E31</f>
        <v>15942.71367972915</v>
      </c>
    </row>
    <row r="32" spans="1:6" s="104" customFormat="1" ht="47.25" x14ac:dyDescent="0.25">
      <c r="A32" s="179"/>
      <c r="B32" s="170" t="s">
        <v>667</v>
      </c>
      <c r="C32" s="171"/>
      <c r="D32" s="169"/>
      <c r="E32" s="225"/>
      <c r="F32" s="223"/>
    </row>
    <row r="33" spans="1:85" s="104" customFormat="1" ht="15.75" x14ac:dyDescent="0.25">
      <c r="A33" s="176">
        <v>4.0110000000000037</v>
      </c>
      <c r="B33" s="173" t="s">
        <v>77</v>
      </c>
      <c r="C33" s="174" t="s">
        <v>659</v>
      </c>
      <c r="D33" s="172">
        <v>1</v>
      </c>
      <c r="E33" s="223">
        <v>37477.215262734615</v>
      </c>
      <c r="F33" s="223">
        <f t="shared" ref="F33:F41" si="0">$D33*E33</f>
        <v>37477.215262734615</v>
      </c>
    </row>
    <row r="34" spans="1:85" s="104" customFormat="1" ht="15.75" x14ac:dyDescent="0.25">
      <c r="A34" s="176">
        <v>4.012000000000004</v>
      </c>
      <c r="B34" s="173" t="s">
        <v>273</v>
      </c>
      <c r="C34" s="174" t="s">
        <v>659</v>
      </c>
      <c r="D34" s="172">
        <v>1</v>
      </c>
      <c r="E34" s="223">
        <v>29943.291140944708</v>
      </c>
      <c r="F34" s="223">
        <f t="shared" si="0"/>
        <v>29943.291140944708</v>
      </c>
    </row>
    <row r="35" spans="1:85" s="104" customFormat="1" ht="15.75" x14ac:dyDescent="0.25">
      <c r="A35" s="176">
        <v>4.0130000000000043</v>
      </c>
      <c r="B35" s="173" t="s">
        <v>274</v>
      </c>
      <c r="C35" s="174" t="s">
        <v>659</v>
      </c>
      <c r="D35" s="172">
        <v>1</v>
      </c>
      <c r="E35" s="223">
        <v>24146.72933963918</v>
      </c>
      <c r="F35" s="223">
        <f t="shared" si="0"/>
        <v>24146.72933963918</v>
      </c>
    </row>
    <row r="36" spans="1:85" s="104" customFormat="1" ht="15.75" x14ac:dyDescent="0.25">
      <c r="A36" s="176">
        <v>4.0140000000000047</v>
      </c>
      <c r="B36" s="173" t="s">
        <v>275</v>
      </c>
      <c r="C36" s="174" t="s">
        <v>659</v>
      </c>
      <c r="D36" s="172">
        <v>1</v>
      </c>
      <c r="E36" s="223">
        <v>2161.2907932751032</v>
      </c>
      <c r="F36" s="223">
        <f t="shared" si="0"/>
        <v>2161.2907932751032</v>
      </c>
    </row>
    <row r="37" spans="1:85" s="104" customFormat="1" ht="15.75" x14ac:dyDescent="0.25">
      <c r="A37" s="176">
        <v>4.015000000000005</v>
      </c>
      <c r="B37" s="173" t="s">
        <v>276</v>
      </c>
      <c r="C37" s="174" t="s">
        <v>659</v>
      </c>
      <c r="D37" s="172">
        <v>1</v>
      </c>
      <c r="E37" s="223">
        <v>6148.6305246211086</v>
      </c>
      <c r="F37" s="223">
        <f t="shared" si="0"/>
        <v>6148.6305246211086</v>
      </c>
    </row>
    <row r="38" spans="1:85" s="104" customFormat="1" ht="15.75" x14ac:dyDescent="0.25">
      <c r="A38" s="176">
        <v>4.0160000000000053</v>
      </c>
      <c r="B38" s="173" t="s">
        <v>277</v>
      </c>
      <c r="C38" s="174" t="s">
        <v>659</v>
      </c>
      <c r="D38" s="172">
        <v>1</v>
      </c>
      <c r="E38" s="223">
        <v>6865.1172490701219</v>
      </c>
      <c r="F38" s="223">
        <f t="shared" si="0"/>
        <v>6865.1172490701219</v>
      </c>
    </row>
    <row r="39" spans="1:85" s="104" customFormat="1" ht="15.75" x14ac:dyDescent="0.25">
      <c r="A39" s="172">
        <v>4.0170000000000057</v>
      </c>
      <c r="B39" s="173" t="s">
        <v>278</v>
      </c>
      <c r="C39" s="174" t="s">
        <v>659</v>
      </c>
      <c r="D39" s="172">
        <v>1</v>
      </c>
      <c r="E39" s="223">
        <v>7070.0557256132179</v>
      </c>
      <c r="F39" s="223">
        <f t="shared" si="0"/>
        <v>7070.0557256132179</v>
      </c>
    </row>
    <row r="40" spans="1:85" s="159" customFormat="1" ht="15.75" x14ac:dyDescent="0.25">
      <c r="A40" s="172">
        <v>4.018000000000006</v>
      </c>
      <c r="B40" s="187" t="s">
        <v>80</v>
      </c>
      <c r="C40" s="174" t="s">
        <v>659</v>
      </c>
      <c r="D40" s="172">
        <v>1</v>
      </c>
      <c r="E40" s="223">
        <v>160584.41620065682</v>
      </c>
      <c r="F40" s="223">
        <f t="shared" si="0"/>
        <v>160584.41620065682</v>
      </c>
    </row>
    <row r="41" spans="1:85" s="159" customFormat="1" ht="15.75" x14ac:dyDescent="0.25">
      <c r="A41" s="172">
        <v>4.0190000000000063</v>
      </c>
      <c r="B41" s="187" t="s">
        <v>279</v>
      </c>
      <c r="C41" s="174" t="s">
        <v>659</v>
      </c>
      <c r="D41" s="172">
        <v>1</v>
      </c>
      <c r="E41" s="223">
        <v>2540.7901612190535</v>
      </c>
      <c r="F41" s="223">
        <f t="shared" si="0"/>
        <v>2540.7901612190535</v>
      </c>
    </row>
    <row r="42" spans="1:85" s="104" customFormat="1" ht="15.75" x14ac:dyDescent="0.25">
      <c r="A42" s="179"/>
      <c r="B42" s="170" t="s">
        <v>280</v>
      </c>
      <c r="C42" s="171"/>
      <c r="D42" s="169"/>
      <c r="E42" s="225"/>
      <c r="F42" s="225"/>
    </row>
    <row r="43" spans="1:85" s="104" customFormat="1" ht="15.75" x14ac:dyDescent="0.25">
      <c r="A43" s="179"/>
      <c r="B43" s="170" t="s">
        <v>281</v>
      </c>
      <c r="C43" s="171"/>
      <c r="D43" s="169"/>
      <c r="E43" s="225"/>
      <c r="F43" s="225"/>
    </row>
    <row r="44" spans="1:85" s="104" customFormat="1" ht="100.9" customHeight="1" x14ac:dyDescent="0.25">
      <c r="A44" s="179"/>
      <c r="B44" s="170" t="s">
        <v>712</v>
      </c>
      <c r="C44" s="171"/>
      <c r="D44" s="169"/>
      <c r="E44" s="225"/>
      <c r="F44" s="225"/>
    </row>
    <row r="45" spans="1:85" s="104" customFormat="1" ht="15.75" x14ac:dyDescent="0.25">
      <c r="A45" s="176">
        <v>4.0200000000000067</v>
      </c>
      <c r="B45" s="173" t="s">
        <v>282</v>
      </c>
      <c r="C45" s="174" t="s">
        <v>659</v>
      </c>
      <c r="D45" s="172">
        <v>1</v>
      </c>
      <c r="E45" s="223">
        <v>8030.8318420145615</v>
      </c>
      <c r="F45" s="223">
        <f>$D45*E45</f>
        <v>8030.8318420145615</v>
      </c>
    </row>
    <row r="46" spans="1:85" s="104" customFormat="1" ht="161.44999999999999" customHeight="1" x14ac:dyDescent="0.25">
      <c r="A46" s="179"/>
      <c r="B46" s="170" t="s">
        <v>721</v>
      </c>
      <c r="C46" s="171"/>
      <c r="D46" s="169"/>
      <c r="E46" s="225"/>
      <c r="F46" s="225"/>
    </row>
    <row r="47" spans="1:85" s="104" customFormat="1" ht="49.5" customHeight="1" x14ac:dyDescent="0.25">
      <c r="A47" s="176">
        <v>4.021000000000007</v>
      </c>
      <c r="B47" s="173" t="s">
        <v>283</v>
      </c>
      <c r="C47" s="174" t="s">
        <v>659</v>
      </c>
      <c r="D47" s="172">
        <v>1</v>
      </c>
      <c r="E47" s="223">
        <v>18738.607631367307</v>
      </c>
      <c r="F47" s="223">
        <f>$D47*E47</f>
        <v>18738.607631367307</v>
      </c>
    </row>
    <row r="48" spans="1:85" s="139" customFormat="1" ht="15.75" x14ac:dyDescent="0.25">
      <c r="A48" s="248"/>
      <c r="B48" s="171" t="s">
        <v>284</v>
      </c>
      <c r="C48" s="171"/>
      <c r="D48" s="184"/>
      <c r="E48" s="226"/>
      <c r="F48" s="225">
        <f>SUM(F10:F47)</f>
        <v>380969.59462285752</v>
      </c>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104"/>
      <c r="CE48" s="104"/>
      <c r="CF48" s="104"/>
      <c r="CG48" s="104"/>
    </row>
    <row r="49" spans="5:5" x14ac:dyDescent="0.2">
      <c r="E49" s="88"/>
    </row>
  </sheetData>
  <sheetProtection formatCells="0" formatColumns="0" formatRows="0" insertColumns="0" insertRows="0" insertHyperlinks="0" deleteColumns="0" deleteRows="0" sort="0" autoFilter="0" pivotTables="0"/>
  <autoFilter ref="A6:F48" xr:uid="{F0DFB975-6C37-44AF-8551-8C5835AAFEF8}"/>
  <pageMargins left="0.47244094488188981" right="0.47244094488188981" top="0.74803149606299213" bottom="0.74803149606299213" header="0.31496062992125984" footer="0.31496062992125984"/>
  <pageSetup paperSize="9" scale="94" fitToHeight="0" orientation="landscape" r:id="rId1"/>
  <headerFooter>
    <oddFooter>&amp;C&amp;"Arial,Bold"&amp;16&amp;P/&amp;N</oddFooter>
  </headerFooter>
  <rowBreaks count="3" manualBreakCount="3">
    <brk id="14" max="5" man="1"/>
    <brk id="27" max="5" man="1"/>
    <brk id="41"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68B0-D1E7-4695-83A4-AC0C7F300AF6}">
  <dimension ref="A1:CG42"/>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146"/>
    <col min="2" max="2" width="75.28515625" style="86" customWidth="1"/>
    <col min="3" max="3" width="13.5703125" style="88" customWidth="1"/>
    <col min="4" max="4" width="14.28515625" style="88" customWidth="1"/>
    <col min="5" max="5" width="17.85546875" style="109" customWidth="1"/>
    <col min="6" max="6" width="19.5703125" style="109" customWidth="1"/>
    <col min="7" max="16384" width="9.140625" style="90"/>
  </cols>
  <sheetData>
    <row r="1" spans="1:85" x14ac:dyDescent="0.2">
      <c r="A1" s="143"/>
      <c r="B1" s="87"/>
      <c r="E1" s="89"/>
      <c r="F1" s="89"/>
    </row>
    <row r="2" spans="1:85" x14ac:dyDescent="0.2">
      <c r="A2" s="143"/>
      <c r="B2" s="87"/>
      <c r="E2" s="89"/>
      <c r="F2" s="89"/>
    </row>
    <row r="3" spans="1:85" ht="12" customHeight="1" thickBot="1" x14ac:dyDescent="0.25">
      <c r="A3" s="143"/>
      <c r="B3" s="273"/>
      <c r="C3" s="274"/>
      <c r="E3" s="89"/>
      <c r="F3" s="89"/>
    </row>
    <row r="4" spans="1:85" ht="33.950000000000003" customHeight="1" x14ac:dyDescent="0.2">
      <c r="A4" s="143"/>
      <c r="B4" s="87"/>
      <c r="E4" s="89"/>
      <c r="F4" s="89"/>
    </row>
    <row r="5" spans="1:85" s="95" customFormat="1" ht="15.75" x14ac:dyDescent="0.2">
      <c r="A5" s="144"/>
      <c r="B5" s="92" t="s">
        <v>285</v>
      </c>
      <c r="C5" s="93"/>
      <c r="D5" s="93"/>
      <c r="E5" s="94"/>
      <c r="F5" s="94"/>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row>
    <row r="6" spans="1:85" s="100" customFormat="1" ht="63" x14ac:dyDescent="0.2">
      <c r="A6" s="138" t="s">
        <v>14</v>
      </c>
      <c r="B6" s="97" t="s">
        <v>0</v>
      </c>
      <c r="C6" s="96" t="s">
        <v>15</v>
      </c>
      <c r="D6" s="98" t="s">
        <v>16</v>
      </c>
      <c r="E6" s="99" t="s">
        <v>17</v>
      </c>
      <c r="F6" s="99" t="s">
        <v>53</v>
      </c>
    </row>
    <row r="7" spans="1:85" s="104" customFormat="1" ht="15.75" x14ac:dyDescent="0.25">
      <c r="A7" s="176"/>
      <c r="B7" s="170" t="s">
        <v>286</v>
      </c>
      <c r="C7" s="172"/>
      <c r="D7" s="172"/>
      <c r="E7" s="103"/>
      <c r="F7" s="103"/>
    </row>
    <row r="8" spans="1:85" s="104" customFormat="1" ht="15.75" x14ac:dyDescent="0.25">
      <c r="A8" s="189"/>
      <c r="B8" s="190" t="s">
        <v>287</v>
      </c>
      <c r="C8" s="172"/>
      <c r="D8" s="191"/>
      <c r="E8" s="182"/>
      <c r="F8" s="103"/>
    </row>
    <row r="9" spans="1:85" s="104" customFormat="1" ht="30" x14ac:dyDescent="0.25">
      <c r="A9" s="176">
        <v>5.0010000000000003</v>
      </c>
      <c r="B9" s="192" t="s">
        <v>288</v>
      </c>
      <c r="C9" s="172" t="s">
        <v>289</v>
      </c>
      <c r="D9" s="191">
        <v>1</v>
      </c>
      <c r="E9" s="224">
        <v>124949.70492194405</v>
      </c>
      <c r="F9" s="223">
        <f t="shared" ref="F9:F18" si="0">$D9*E9</f>
        <v>124949.70492194405</v>
      </c>
    </row>
    <row r="10" spans="1:85" s="104" customFormat="1" ht="45" x14ac:dyDescent="0.25">
      <c r="A10" s="176">
        <v>5.0020000000000007</v>
      </c>
      <c r="B10" s="192" t="s">
        <v>290</v>
      </c>
      <c r="C10" s="172" t="s">
        <v>289</v>
      </c>
      <c r="D10" s="191">
        <v>1</v>
      </c>
      <c r="E10" s="224">
        <v>40667.797829968316</v>
      </c>
      <c r="F10" s="223">
        <f t="shared" si="0"/>
        <v>40667.797829968316</v>
      </c>
    </row>
    <row r="11" spans="1:85" s="104" customFormat="1" ht="45" x14ac:dyDescent="0.25">
      <c r="A11" s="176">
        <v>5.003000000000001</v>
      </c>
      <c r="B11" s="192" t="s">
        <v>291</v>
      </c>
      <c r="C11" s="172" t="s">
        <v>289</v>
      </c>
      <c r="D11" s="191">
        <v>1</v>
      </c>
      <c r="E11" s="224">
        <v>531639.39485139691</v>
      </c>
      <c r="F11" s="223">
        <f t="shared" si="0"/>
        <v>531639.39485139691</v>
      </c>
    </row>
    <row r="12" spans="1:85" s="104" customFormat="1" ht="30" x14ac:dyDescent="0.25">
      <c r="A12" s="176">
        <v>5.0040000000000013</v>
      </c>
      <c r="B12" s="192" t="s">
        <v>292</v>
      </c>
      <c r="C12" s="172" t="s">
        <v>659</v>
      </c>
      <c r="D12" s="181">
        <v>1</v>
      </c>
      <c r="E12" s="224">
        <v>147036.16557745117</v>
      </c>
      <c r="F12" s="223">
        <f t="shared" si="0"/>
        <v>147036.16557745117</v>
      </c>
    </row>
    <row r="13" spans="1:85" s="104" customFormat="1" ht="45" x14ac:dyDescent="0.25">
      <c r="A13" s="176">
        <v>5.0050000000000017</v>
      </c>
      <c r="B13" s="192" t="s">
        <v>293</v>
      </c>
      <c r="C13" s="172" t="s">
        <v>659</v>
      </c>
      <c r="D13" s="181">
        <v>1</v>
      </c>
      <c r="E13" s="224">
        <v>446271.6523707821</v>
      </c>
      <c r="F13" s="223">
        <f t="shared" si="0"/>
        <v>446271.6523707821</v>
      </c>
    </row>
    <row r="14" spans="1:85" s="104" customFormat="1" ht="45" x14ac:dyDescent="0.25">
      <c r="A14" s="176">
        <v>5.006000000000002</v>
      </c>
      <c r="B14" s="192" t="s">
        <v>294</v>
      </c>
      <c r="C14" s="172" t="s">
        <v>289</v>
      </c>
      <c r="D14" s="191">
        <v>8</v>
      </c>
      <c r="E14" s="224">
        <v>181627.30064696181</v>
      </c>
      <c r="F14" s="223">
        <f t="shared" si="0"/>
        <v>1453018.4051756945</v>
      </c>
    </row>
    <row r="15" spans="1:85" s="104" customFormat="1" ht="15.75" x14ac:dyDescent="0.25">
      <c r="A15" s="176">
        <v>5.0070000000000023</v>
      </c>
      <c r="B15" s="192" t="s">
        <v>295</v>
      </c>
      <c r="C15" s="172" t="s">
        <v>289</v>
      </c>
      <c r="D15" s="191">
        <v>8</v>
      </c>
      <c r="E15" s="224">
        <v>3588.7779794002572</v>
      </c>
      <c r="F15" s="223">
        <f t="shared" si="0"/>
        <v>28710.223835202058</v>
      </c>
    </row>
    <row r="16" spans="1:85" s="104" customFormat="1" ht="45" x14ac:dyDescent="0.25">
      <c r="A16" s="176">
        <v>5.0080000000000027</v>
      </c>
      <c r="B16" s="192" t="s">
        <v>296</v>
      </c>
      <c r="C16" s="172" t="s">
        <v>289</v>
      </c>
      <c r="D16" s="191">
        <v>2</v>
      </c>
      <c r="E16" s="224">
        <v>29513.307019403514</v>
      </c>
      <c r="F16" s="223">
        <f t="shared" si="0"/>
        <v>59026.614038807027</v>
      </c>
    </row>
    <row r="17" spans="1:6" s="104" customFormat="1" ht="15.75" x14ac:dyDescent="0.25">
      <c r="A17" s="176">
        <v>5.009000000000003</v>
      </c>
      <c r="B17" s="173" t="s">
        <v>297</v>
      </c>
      <c r="C17" s="172" t="s">
        <v>659</v>
      </c>
      <c r="D17" s="172">
        <v>1</v>
      </c>
      <c r="E17" s="224">
        <v>7968.9275132323655</v>
      </c>
      <c r="F17" s="223">
        <f t="shared" si="0"/>
        <v>7968.9275132323655</v>
      </c>
    </row>
    <row r="18" spans="1:6" s="104" customFormat="1" ht="15.75" x14ac:dyDescent="0.25">
      <c r="A18" s="176">
        <v>5.0100000000000033</v>
      </c>
      <c r="B18" s="173" t="s">
        <v>298</v>
      </c>
      <c r="C18" s="172" t="s">
        <v>659</v>
      </c>
      <c r="D18" s="181">
        <v>1</v>
      </c>
      <c r="E18" s="224">
        <v>119528.89342858423</v>
      </c>
      <c r="F18" s="223">
        <f t="shared" si="0"/>
        <v>119528.89342858423</v>
      </c>
    </row>
    <row r="19" spans="1:6" s="104" customFormat="1" ht="15.75" x14ac:dyDescent="0.25">
      <c r="A19" s="189"/>
      <c r="B19" s="193" t="s">
        <v>299</v>
      </c>
      <c r="C19" s="172"/>
      <c r="D19" s="191"/>
      <c r="E19" s="224"/>
      <c r="F19" s="223"/>
    </row>
    <row r="20" spans="1:6" s="104" customFormat="1" ht="45" x14ac:dyDescent="0.25">
      <c r="A20" s="176">
        <v>5.0110000000000037</v>
      </c>
      <c r="B20" s="192" t="s">
        <v>300</v>
      </c>
      <c r="C20" s="172" t="s">
        <v>79</v>
      </c>
      <c r="D20" s="191">
        <v>8</v>
      </c>
      <c r="E20" s="224">
        <v>14221.26472023412</v>
      </c>
      <c r="F20" s="223">
        <f>$D20*E20</f>
        <v>113770.11776187296</v>
      </c>
    </row>
    <row r="21" spans="1:6" s="104" customFormat="1" ht="15.75" x14ac:dyDescent="0.25">
      <c r="A21" s="176">
        <v>5.012000000000004</v>
      </c>
      <c r="B21" s="193" t="s">
        <v>301</v>
      </c>
      <c r="C21" s="172"/>
      <c r="D21" s="191"/>
      <c r="E21" s="224"/>
      <c r="F21" s="223"/>
    </row>
    <row r="22" spans="1:6" s="104" customFormat="1" ht="60" x14ac:dyDescent="0.25">
      <c r="A22" s="176">
        <v>5.0130000000000043</v>
      </c>
      <c r="B22" s="192" t="s">
        <v>302</v>
      </c>
      <c r="C22" s="172" t="s">
        <v>289</v>
      </c>
      <c r="D22" s="191">
        <v>4</v>
      </c>
      <c r="E22" s="224">
        <v>99607.411190486848</v>
      </c>
      <c r="F22" s="223">
        <f>$D22*E22</f>
        <v>398429.64476194739</v>
      </c>
    </row>
    <row r="23" spans="1:6" s="104" customFormat="1" ht="45" x14ac:dyDescent="0.25">
      <c r="A23" s="176">
        <v>5.0140000000000047</v>
      </c>
      <c r="B23" s="192" t="s">
        <v>303</v>
      </c>
      <c r="C23" s="172" t="s">
        <v>289</v>
      </c>
      <c r="D23" s="191">
        <v>4</v>
      </c>
      <c r="E23" s="224">
        <v>119528.89342858423</v>
      </c>
      <c r="F23" s="223">
        <f>$D23*E23</f>
        <v>478115.5737143369</v>
      </c>
    </row>
    <row r="24" spans="1:6" s="104" customFormat="1" ht="30" x14ac:dyDescent="0.25">
      <c r="A24" s="176">
        <v>5.015000000000005</v>
      </c>
      <c r="B24" s="192" t="s">
        <v>304</v>
      </c>
      <c r="C24" s="172" t="s">
        <v>289</v>
      </c>
      <c r="D24" s="191">
        <v>10</v>
      </c>
      <c r="E24" s="224">
        <v>41318.629827164921</v>
      </c>
      <c r="F24" s="223">
        <f>$D24*E24</f>
        <v>413186.29827164923</v>
      </c>
    </row>
    <row r="25" spans="1:6" s="104" customFormat="1" ht="15.75" x14ac:dyDescent="0.25">
      <c r="A25" s="176"/>
      <c r="B25" s="140" t="s">
        <v>257</v>
      </c>
      <c r="C25" s="141"/>
      <c r="D25" s="181"/>
      <c r="E25" s="178"/>
      <c r="F25" s="223"/>
    </row>
    <row r="26" spans="1:6" s="104" customFormat="1" ht="15.75" x14ac:dyDescent="0.25">
      <c r="A26" s="176">
        <v>5.0160000000000053</v>
      </c>
      <c r="B26" s="142" t="s">
        <v>258</v>
      </c>
      <c r="C26" s="172" t="s">
        <v>659</v>
      </c>
      <c r="D26" s="181">
        <v>1</v>
      </c>
      <c r="E26" s="224">
        <v>147566.53509701756</v>
      </c>
      <c r="F26" s="223">
        <f>$D26*E26</f>
        <v>147566.53509701756</v>
      </c>
    </row>
    <row r="27" spans="1:6" s="104" customFormat="1" ht="15.75" x14ac:dyDescent="0.25">
      <c r="A27" s="176"/>
      <c r="B27" s="140" t="s">
        <v>305</v>
      </c>
      <c r="C27" s="141"/>
      <c r="D27" s="181"/>
      <c r="E27" s="178"/>
      <c r="F27" s="223"/>
    </row>
    <row r="28" spans="1:6" s="104" customFormat="1" ht="15.75" x14ac:dyDescent="0.25">
      <c r="A28" s="176"/>
      <c r="B28" s="194" t="s">
        <v>306</v>
      </c>
      <c r="C28" s="172"/>
      <c r="D28" s="181"/>
      <c r="E28" s="178"/>
      <c r="F28" s="223"/>
    </row>
    <row r="29" spans="1:6" s="104" customFormat="1" ht="15.75" x14ac:dyDescent="0.25">
      <c r="A29" s="176">
        <v>5.0170000000000057</v>
      </c>
      <c r="B29" s="192" t="s">
        <v>307</v>
      </c>
      <c r="C29" s="141" t="s">
        <v>289</v>
      </c>
      <c r="D29" s="181">
        <v>1</v>
      </c>
      <c r="E29" s="224">
        <v>64263.385635787359</v>
      </c>
      <c r="F29" s="223">
        <f>$D29*E29</f>
        <v>64263.385635787359</v>
      </c>
    </row>
    <row r="30" spans="1:6" s="104" customFormat="1" ht="15.75" x14ac:dyDescent="0.25">
      <c r="A30" s="176">
        <v>5.018000000000006</v>
      </c>
      <c r="B30" s="192" t="s">
        <v>308</v>
      </c>
      <c r="C30" s="141" t="s">
        <v>289</v>
      </c>
      <c r="D30" s="181">
        <v>1</v>
      </c>
      <c r="E30" s="224">
        <v>7528.9048518886511</v>
      </c>
      <c r="F30" s="223">
        <f>$D30*E30</f>
        <v>7528.9048518886511</v>
      </c>
    </row>
    <row r="31" spans="1:6" s="104" customFormat="1" ht="15.75" x14ac:dyDescent="0.25">
      <c r="A31" s="176">
        <v>5.0190000000000063</v>
      </c>
      <c r="B31" s="192" t="s">
        <v>309</v>
      </c>
      <c r="C31" s="141" t="s">
        <v>289</v>
      </c>
      <c r="D31" s="181">
        <v>1</v>
      </c>
      <c r="E31" s="224">
        <v>11910.727475687847</v>
      </c>
      <c r="F31" s="223">
        <f>$D31*E31</f>
        <v>11910.727475687847</v>
      </c>
    </row>
    <row r="32" spans="1:6" s="104" customFormat="1" ht="15.75" x14ac:dyDescent="0.25">
      <c r="A32" s="176">
        <v>5.0200000000000067</v>
      </c>
      <c r="B32" s="192" t="s">
        <v>310</v>
      </c>
      <c r="C32" s="141" t="s">
        <v>289</v>
      </c>
      <c r="D32" s="181">
        <v>1</v>
      </c>
      <c r="E32" s="224">
        <v>1500.7617004764711</v>
      </c>
      <c r="F32" s="223">
        <f>$D32*E32</f>
        <v>1500.7617004764711</v>
      </c>
    </row>
    <row r="33" spans="1:85" s="104" customFormat="1" ht="15.75" x14ac:dyDescent="0.25">
      <c r="A33" s="176">
        <v>5.021000000000007</v>
      </c>
      <c r="B33" s="142" t="s">
        <v>311</v>
      </c>
      <c r="C33" s="141" t="s">
        <v>289</v>
      </c>
      <c r="D33" s="181">
        <v>1</v>
      </c>
      <c r="E33" s="224">
        <v>8345.3727558267983</v>
      </c>
      <c r="F33" s="223">
        <f>$D33*E33</f>
        <v>8345.3727558267983</v>
      </c>
    </row>
    <row r="34" spans="1:85" s="104" customFormat="1" ht="15.75" x14ac:dyDescent="0.25">
      <c r="A34" s="176"/>
      <c r="B34" s="194" t="s">
        <v>312</v>
      </c>
      <c r="C34" s="172"/>
      <c r="D34" s="181"/>
      <c r="E34" s="178"/>
      <c r="F34" s="223"/>
    </row>
    <row r="35" spans="1:85" s="104" customFormat="1" ht="90" x14ac:dyDescent="0.25">
      <c r="A35" s="176">
        <v>5.0220000000000073</v>
      </c>
      <c r="B35" s="192" t="s">
        <v>313</v>
      </c>
      <c r="C35" s="172" t="s">
        <v>659</v>
      </c>
      <c r="D35" s="181">
        <v>1</v>
      </c>
      <c r="E35" s="224">
        <v>250863.10966492986</v>
      </c>
      <c r="F35" s="223">
        <f>$D35*E35</f>
        <v>250863.10966492986</v>
      </c>
    </row>
    <row r="36" spans="1:85" s="104" customFormat="1" ht="15.75" x14ac:dyDescent="0.25">
      <c r="A36" s="176"/>
      <c r="B36" s="195" t="s">
        <v>314</v>
      </c>
      <c r="C36" s="141"/>
      <c r="D36" s="181"/>
      <c r="E36" s="178"/>
      <c r="F36" s="223"/>
    </row>
    <row r="37" spans="1:85" s="104" customFormat="1" ht="15.75" x14ac:dyDescent="0.25">
      <c r="A37" s="176">
        <v>5.0230000000000077</v>
      </c>
      <c r="B37" s="142" t="s">
        <v>315</v>
      </c>
      <c r="C37" s="172" t="s">
        <v>659</v>
      </c>
      <c r="D37" s="181">
        <v>1</v>
      </c>
      <c r="E37" s="224">
        <v>103296.57456791231</v>
      </c>
      <c r="F37" s="223">
        <f>$D37*E37</f>
        <v>103296.57456791231</v>
      </c>
    </row>
    <row r="38" spans="1:85" s="104" customFormat="1" ht="45" x14ac:dyDescent="0.25">
      <c r="A38" s="176">
        <v>5.024000000000008</v>
      </c>
      <c r="B38" s="192" t="s">
        <v>316</v>
      </c>
      <c r="C38" s="172" t="s">
        <v>659</v>
      </c>
      <c r="D38" s="181">
        <v>1</v>
      </c>
      <c r="E38" s="224">
        <v>44269.960529105265</v>
      </c>
      <c r="F38" s="223">
        <f>$D38*E38</f>
        <v>44269.960529105265</v>
      </c>
    </row>
    <row r="39" spans="1:85" s="104" customFormat="1" ht="15.75" x14ac:dyDescent="0.25">
      <c r="A39" s="176">
        <v>5.0250000000000083</v>
      </c>
      <c r="B39" s="142" t="s">
        <v>317</v>
      </c>
      <c r="C39" s="172" t="s">
        <v>659</v>
      </c>
      <c r="D39" s="181">
        <v>1</v>
      </c>
      <c r="E39" s="224">
        <v>44269.960529105265</v>
      </c>
      <c r="F39" s="223">
        <f>$D39*E39</f>
        <v>44269.960529105265</v>
      </c>
    </row>
    <row r="40" spans="1:85" s="104" customFormat="1" ht="30" x14ac:dyDescent="0.25">
      <c r="A40" s="176">
        <v>5.0260000000000087</v>
      </c>
      <c r="B40" s="173" t="s">
        <v>318</v>
      </c>
      <c r="C40" s="172" t="s">
        <v>659</v>
      </c>
      <c r="D40" s="172">
        <v>1</v>
      </c>
      <c r="E40" s="224">
        <v>49208.52844371667</v>
      </c>
      <c r="F40" s="223">
        <f>$D40*E40</f>
        <v>49208.52844371667</v>
      </c>
    </row>
    <row r="41" spans="1:85" s="95" customFormat="1" ht="25.5" customHeight="1" x14ac:dyDescent="0.2">
      <c r="A41" s="188"/>
      <c r="B41" s="171" t="s">
        <v>319</v>
      </c>
      <c r="C41" s="174"/>
      <c r="D41" s="178"/>
      <c r="E41" s="224"/>
      <c r="F41" s="225">
        <f>SUM(F9:F40)</f>
        <v>5095343.2353043221</v>
      </c>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90"/>
      <c r="BY41" s="90"/>
      <c r="BZ41" s="90"/>
      <c r="CA41" s="90"/>
      <c r="CB41" s="90"/>
      <c r="CC41" s="90"/>
      <c r="CD41" s="90"/>
      <c r="CE41" s="90"/>
      <c r="CF41" s="90"/>
      <c r="CG41" s="90"/>
    </row>
    <row r="42" spans="1:85" x14ac:dyDescent="0.2">
      <c r="D42" s="250"/>
      <c r="E42" s="250"/>
    </row>
  </sheetData>
  <sheetProtection formatCells="0" formatColumns="0" formatRows="0" insertColumns="0" insertRows="0" insertHyperlinks="0" deleteColumns="0" deleteRows="0" sort="0" autoFilter="0" pivotTables="0"/>
  <protectedRanges>
    <protectedRange sqref="F41" name="Range1_1_1"/>
  </protectedRanges>
  <autoFilter ref="A6:CG42" xr:uid="{331468B0-D1E7-4695-83A4-AC0C7F300AF6}"/>
  <pageMargins left="0.47244094488188981" right="0.47244094488188981" top="0.74803149606299213" bottom="0.74803149606299213" header="0.31496062992125984" footer="0.31496062992125984"/>
  <pageSetup paperSize="9" scale="88" fitToHeight="0" orientation="landscape" r:id="rId1"/>
  <headerFooter>
    <oddFooter>&amp;C&amp;"Arial,Bold"&amp;16&amp;P/&amp;N</oddFooter>
  </headerFooter>
  <rowBreaks count="2" manualBreakCount="2">
    <brk id="16" max="5" man="1"/>
    <brk id="32" max="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B552-17BA-4B0F-9717-E8096850C56F}">
  <dimension ref="A1:X22"/>
  <sheetViews>
    <sheetView view="pageBreakPreview" topLeftCell="C1" zoomScale="40" zoomScaleNormal="100" zoomScaleSheetLayoutView="40" workbookViewId="0">
      <selection activeCell="C3" sqref="C3"/>
    </sheetView>
  </sheetViews>
  <sheetFormatPr defaultRowHeight="15.75" x14ac:dyDescent="0.25"/>
  <cols>
    <col min="1" max="1" width="17.28515625" style="62" customWidth="1"/>
    <col min="2" max="2" width="101.140625" style="84" customWidth="1"/>
    <col min="3" max="3" width="108.85546875" style="85" customWidth="1"/>
    <col min="4" max="4" width="8.85546875" style="65"/>
    <col min="5" max="5" width="32.140625" style="65" customWidth="1"/>
    <col min="6" max="6" width="38" style="65" customWidth="1"/>
    <col min="7" max="7" width="48.140625" style="65" customWidth="1"/>
    <col min="8" max="8" width="27" style="65" customWidth="1"/>
    <col min="9" max="255" width="8.85546875" style="65"/>
    <col min="256" max="256" width="11.7109375" style="65" customWidth="1"/>
    <col min="257" max="257" width="87" style="65" customWidth="1"/>
    <col min="258" max="258" width="70.5703125" style="65" customWidth="1"/>
    <col min="259" max="259" width="70.7109375" style="65" customWidth="1"/>
    <col min="260" max="511" width="8.85546875" style="65"/>
    <col min="512" max="512" width="11.7109375" style="65" customWidth="1"/>
    <col min="513" max="513" width="87" style="65" customWidth="1"/>
    <col min="514" max="514" width="70.5703125" style="65" customWidth="1"/>
    <col min="515" max="515" width="70.7109375" style="65" customWidth="1"/>
    <col min="516" max="767" width="8.85546875" style="65"/>
    <col min="768" max="768" width="11.7109375" style="65" customWidth="1"/>
    <col min="769" max="769" width="87" style="65" customWidth="1"/>
    <col min="770" max="770" width="70.5703125" style="65" customWidth="1"/>
    <col min="771" max="771" width="70.7109375" style="65" customWidth="1"/>
    <col min="772" max="1023" width="8.85546875" style="65"/>
    <col min="1024" max="1024" width="11.7109375" style="65" customWidth="1"/>
    <col min="1025" max="1025" width="87" style="65" customWidth="1"/>
    <col min="1026" max="1026" width="70.5703125" style="65" customWidth="1"/>
    <col min="1027" max="1027" width="70.7109375" style="65" customWidth="1"/>
    <col min="1028" max="1279" width="8.85546875" style="65"/>
    <col min="1280" max="1280" width="11.7109375" style="65" customWidth="1"/>
    <col min="1281" max="1281" width="87" style="65" customWidth="1"/>
    <col min="1282" max="1282" width="70.5703125" style="65" customWidth="1"/>
    <col min="1283" max="1283" width="70.7109375" style="65" customWidth="1"/>
    <col min="1284" max="1535" width="8.85546875" style="65"/>
    <col min="1536" max="1536" width="11.7109375" style="65" customWidth="1"/>
    <col min="1537" max="1537" width="87" style="65" customWidth="1"/>
    <col min="1538" max="1538" width="70.5703125" style="65" customWidth="1"/>
    <col min="1539" max="1539" width="70.7109375" style="65" customWidth="1"/>
    <col min="1540" max="1791" width="8.85546875" style="65"/>
    <col min="1792" max="1792" width="11.7109375" style="65" customWidth="1"/>
    <col min="1793" max="1793" width="87" style="65" customWidth="1"/>
    <col min="1794" max="1794" width="70.5703125" style="65" customWidth="1"/>
    <col min="1795" max="1795" width="70.7109375" style="65" customWidth="1"/>
    <col min="1796" max="2047" width="8.85546875" style="65"/>
    <col min="2048" max="2048" width="11.7109375" style="65" customWidth="1"/>
    <col min="2049" max="2049" width="87" style="65" customWidth="1"/>
    <col min="2050" max="2050" width="70.5703125" style="65" customWidth="1"/>
    <col min="2051" max="2051" width="70.7109375" style="65" customWidth="1"/>
    <col min="2052" max="2303" width="8.85546875" style="65"/>
    <col min="2304" max="2304" width="11.7109375" style="65" customWidth="1"/>
    <col min="2305" max="2305" width="87" style="65" customWidth="1"/>
    <col min="2306" max="2306" width="70.5703125" style="65" customWidth="1"/>
    <col min="2307" max="2307" width="70.7109375" style="65" customWidth="1"/>
    <col min="2308" max="2559" width="8.85546875" style="65"/>
    <col min="2560" max="2560" width="11.7109375" style="65" customWidth="1"/>
    <col min="2561" max="2561" width="87" style="65" customWidth="1"/>
    <col min="2562" max="2562" width="70.5703125" style="65" customWidth="1"/>
    <col min="2563" max="2563" width="70.7109375" style="65" customWidth="1"/>
    <col min="2564" max="2815" width="8.85546875" style="65"/>
    <col min="2816" max="2816" width="11.7109375" style="65" customWidth="1"/>
    <col min="2817" max="2817" width="87" style="65" customWidth="1"/>
    <col min="2818" max="2818" width="70.5703125" style="65" customWidth="1"/>
    <col min="2819" max="2819" width="70.7109375" style="65" customWidth="1"/>
    <col min="2820" max="3071" width="8.85546875" style="65"/>
    <col min="3072" max="3072" width="11.7109375" style="65" customWidth="1"/>
    <col min="3073" max="3073" width="87" style="65" customWidth="1"/>
    <col min="3074" max="3074" width="70.5703125" style="65" customWidth="1"/>
    <col min="3075" max="3075" width="70.7109375" style="65" customWidth="1"/>
    <col min="3076" max="3327" width="8.85546875" style="65"/>
    <col min="3328" max="3328" width="11.7109375" style="65" customWidth="1"/>
    <col min="3329" max="3329" width="87" style="65" customWidth="1"/>
    <col min="3330" max="3330" width="70.5703125" style="65" customWidth="1"/>
    <col min="3331" max="3331" width="70.7109375" style="65" customWidth="1"/>
    <col min="3332" max="3583" width="8.85546875" style="65"/>
    <col min="3584" max="3584" width="11.7109375" style="65" customWidth="1"/>
    <col min="3585" max="3585" width="87" style="65" customWidth="1"/>
    <col min="3586" max="3586" width="70.5703125" style="65" customWidth="1"/>
    <col min="3587" max="3587" width="70.7109375" style="65" customWidth="1"/>
    <col min="3588" max="3839" width="8.85546875" style="65"/>
    <col min="3840" max="3840" width="11.7109375" style="65" customWidth="1"/>
    <col min="3841" max="3841" width="87" style="65" customWidth="1"/>
    <col min="3842" max="3842" width="70.5703125" style="65" customWidth="1"/>
    <col min="3843" max="3843" width="70.7109375" style="65" customWidth="1"/>
    <col min="3844" max="4095" width="8.85546875" style="65"/>
    <col min="4096" max="4096" width="11.7109375" style="65" customWidth="1"/>
    <col min="4097" max="4097" width="87" style="65" customWidth="1"/>
    <col min="4098" max="4098" width="70.5703125" style="65" customWidth="1"/>
    <col min="4099" max="4099" width="70.7109375" style="65" customWidth="1"/>
    <col min="4100" max="4351" width="8.85546875" style="65"/>
    <col min="4352" max="4352" width="11.7109375" style="65" customWidth="1"/>
    <col min="4353" max="4353" width="87" style="65" customWidth="1"/>
    <col min="4354" max="4354" width="70.5703125" style="65" customWidth="1"/>
    <col min="4355" max="4355" width="70.7109375" style="65" customWidth="1"/>
    <col min="4356" max="4607" width="8.85546875" style="65"/>
    <col min="4608" max="4608" width="11.7109375" style="65" customWidth="1"/>
    <col min="4609" max="4609" width="87" style="65" customWidth="1"/>
    <col min="4610" max="4610" width="70.5703125" style="65" customWidth="1"/>
    <col min="4611" max="4611" width="70.7109375" style="65" customWidth="1"/>
    <col min="4612" max="4863" width="8.85546875" style="65"/>
    <col min="4864" max="4864" width="11.7109375" style="65" customWidth="1"/>
    <col min="4865" max="4865" width="87" style="65" customWidth="1"/>
    <col min="4866" max="4866" width="70.5703125" style="65" customWidth="1"/>
    <col min="4867" max="4867" width="70.7109375" style="65" customWidth="1"/>
    <col min="4868" max="5119" width="8.85546875" style="65"/>
    <col min="5120" max="5120" width="11.7109375" style="65" customWidth="1"/>
    <col min="5121" max="5121" width="87" style="65" customWidth="1"/>
    <col min="5122" max="5122" width="70.5703125" style="65" customWidth="1"/>
    <col min="5123" max="5123" width="70.7109375" style="65" customWidth="1"/>
    <col min="5124" max="5375" width="8.85546875" style="65"/>
    <col min="5376" max="5376" width="11.7109375" style="65" customWidth="1"/>
    <col min="5377" max="5377" width="87" style="65" customWidth="1"/>
    <col min="5378" max="5378" width="70.5703125" style="65" customWidth="1"/>
    <col min="5379" max="5379" width="70.7109375" style="65" customWidth="1"/>
    <col min="5380" max="5631" width="8.85546875" style="65"/>
    <col min="5632" max="5632" width="11.7109375" style="65" customWidth="1"/>
    <col min="5633" max="5633" width="87" style="65" customWidth="1"/>
    <col min="5634" max="5634" width="70.5703125" style="65" customWidth="1"/>
    <col min="5635" max="5635" width="70.7109375" style="65" customWidth="1"/>
    <col min="5636" max="5887" width="8.85546875" style="65"/>
    <col min="5888" max="5888" width="11.7109375" style="65" customWidth="1"/>
    <col min="5889" max="5889" width="87" style="65" customWidth="1"/>
    <col min="5890" max="5890" width="70.5703125" style="65" customWidth="1"/>
    <col min="5891" max="5891" width="70.7109375" style="65" customWidth="1"/>
    <col min="5892" max="6143" width="8.85546875" style="65"/>
    <col min="6144" max="6144" width="11.7109375" style="65" customWidth="1"/>
    <col min="6145" max="6145" width="87" style="65" customWidth="1"/>
    <col min="6146" max="6146" width="70.5703125" style="65" customWidth="1"/>
    <col min="6147" max="6147" width="70.7109375" style="65" customWidth="1"/>
    <col min="6148" max="6399" width="8.85546875" style="65"/>
    <col min="6400" max="6400" width="11.7109375" style="65" customWidth="1"/>
    <col min="6401" max="6401" width="87" style="65" customWidth="1"/>
    <col min="6402" max="6402" width="70.5703125" style="65" customWidth="1"/>
    <col min="6403" max="6403" width="70.7109375" style="65" customWidth="1"/>
    <col min="6404" max="6655" width="8.85546875" style="65"/>
    <col min="6656" max="6656" width="11.7109375" style="65" customWidth="1"/>
    <col min="6657" max="6657" width="87" style="65" customWidth="1"/>
    <col min="6658" max="6658" width="70.5703125" style="65" customWidth="1"/>
    <col min="6659" max="6659" width="70.7109375" style="65" customWidth="1"/>
    <col min="6660" max="6911" width="8.85546875" style="65"/>
    <col min="6912" max="6912" width="11.7109375" style="65" customWidth="1"/>
    <col min="6913" max="6913" width="87" style="65" customWidth="1"/>
    <col min="6914" max="6914" width="70.5703125" style="65" customWidth="1"/>
    <col min="6915" max="6915" width="70.7109375" style="65" customWidth="1"/>
    <col min="6916" max="7167" width="8.85546875" style="65"/>
    <col min="7168" max="7168" width="11.7109375" style="65" customWidth="1"/>
    <col min="7169" max="7169" width="87" style="65" customWidth="1"/>
    <col min="7170" max="7170" width="70.5703125" style="65" customWidth="1"/>
    <col min="7171" max="7171" width="70.7109375" style="65" customWidth="1"/>
    <col min="7172" max="7423" width="8.85546875" style="65"/>
    <col min="7424" max="7424" width="11.7109375" style="65" customWidth="1"/>
    <col min="7425" max="7425" width="87" style="65" customWidth="1"/>
    <col min="7426" max="7426" width="70.5703125" style="65" customWidth="1"/>
    <col min="7427" max="7427" width="70.7109375" style="65" customWidth="1"/>
    <col min="7428" max="7679" width="8.85546875" style="65"/>
    <col min="7680" max="7680" width="11.7109375" style="65" customWidth="1"/>
    <col min="7681" max="7681" width="87" style="65" customWidth="1"/>
    <col min="7682" max="7682" width="70.5703125" style="65" customWidth="1"/>
    <col min="7683" max="7683" width="70.7109375" style="65" customWidth="1"/>
    <col min="7684" max="7935" width="8.85546875" style="65"/>
    <col min="7936" max="7936" width="11.7109375" style="65" customWidth="1"/>
    <col min="7937" max="7937" width="87" style="65" customWidth="1"/>
    <col min="7938" max="7938" width="70.5703125" style="65" customWidth="1"/>
    <col min="7939" max="7939" width="70.7109375" style="65" customWidth="1"/>
    <col min="7940" max="8191" width="8.85546875" style="65"/>
    <col min="8192" max="8192" width="11.7109375" style="65" customWidth="1"/>
    <col min="8193" max="8193" width="87" style="65" customWidth="1"/>
    <col min="8194" max="8194" width="70.5703125" style="65" customWidth="1"/>
    <col min="8195" max="8195" width="70.7109375" style="65" customWidth="1"/>
    <col min="8196" max="8447" width="8.85546875" style="65"/>
    <col min="8448" max="8448" width="11.7109375" style="65" customWidth="1"/>
    <col min="8449" max="8449" width="87" style="65" customWidth="1"/>
    <col min="8450" max="8450" width="70.5703125" style="65" customWidth="1"/>
    <col min="8451" max="8451" width="70.7109375" style="65" customWidth="1"/>
    <col min="8452" max="8703" width="8.85546875" style="65"/>
    <col min="8704" max="8704" width="11.7109375" style="65" customWidth="1"/>
    <col min="8705" max="8705" width="87" style="65" customWidth="1"/>
    <col min="8706" max="8706" width="70.5703125" style="65" customWidth="1"/>
    <col min="8707" max="8707" width="70.7109375" style="65" customWidth="1"/>
    <col min="8708" max="8959" width="8.85546875" style="65"/>
    <col min="8960" max="8960" width="11.7109375" style="65" customWidth="1"/>
    <col min="8961" max="8961" width="87" style="65" customWidth="1"/>
    <col min="8962" max="8962" width="70.5703125" style="65" customWidth="1"/>
    <col min="8963" max="8963" width="70.7109375" style="65" customWidth="1"/>
    <col min="8964" max="9215" width="8.85546875" style="65"/>
    <col min="9216" max="9216" width="11.7109375" style="65" customWidth="1"/>
    <col min="9217" max="9217" width="87" style="65" customWidth="1"/>
    <col min="9218" max="9218" width="70.5703125" style="65" customWidth="1"/>
    <col min="9219" max="9219" width="70.7109375" style="65" customWidth="1"/>
    <col min="9220" max="9471" width="8.85546875" style="65"/>
    <col min="9472" max="9472" width="11.7109375" style="65" customWidth="1"/>
    <col min="9473" max="9473" width="87" style="65" customWidth="1"/>
    <col min="9474" max="9474" width="70.5703125" style="65" customWidth="1"/>
    <col min="9475" max="9475" width="70.7109375" style="65" customWidth="1"/>
    <col min="9476" max="9727" width="8.85546875" style="65"/>
    <col min="9728" max="9728" width="11.7109375" style="65" customWidth="1"/>
    <col min="9729" max="9729" width="87" style="65" customWidth="1"/>
    <col min="9730" max="9730" width="70.5703125" style="65" customWidth="1"/>
    <col min="9731" max="9731" width="70.7109375" style="65" customWidth="1"/>
    <col min="9732" max="9983" width="8.85546875" style="65"/>
    <col min="9984" max="9984" width="11.7109375" style="65" customWidth="1"/>
    <col min="9985" max="9985" width="87" style="65" customWidth="1"/>
    <col min="9986" max="9986" width="70.5703125" style="65" customWidth="1"/>
    <col min="9987" max="9987" width="70.7109375" style="65" customWidth="1"/>
    <col min="9988" max="10239" width="8.85546875" style="65"/>
    <col min="10240" max="10240" width="11.7109375" style="65" customWidth="1"/>
    <col min="10241" max="10241" width="87" style="65" customWidth="1"/>
    <col min="10242" max="10242" width="70.5703125" style="65" customWidth="1"/>
    <col min="10243" max="10243" width="70.7109375" style="65" customWidth="1"/>
    <col min="10244" max="10495" width="8.85546875" style="65"/>
    <col min="10496" max="10496" width="11.7109375" style="65" customWidth="1"/>
    <col min="10497" max="10497" width="87" style="65" customWidth="1"/>
    <col min="10498" max="10498" width="70.5703125" style="65" customWidth="1"/>
    <col min="10499" max="10499" width="70.7109375" style="65" customWidth="1"/>
    <col min="10500" max="10751" width="8.85546875" style="65"/>
    <col min="10752" max="10752" width="11.7109375" style="65" customWidth="1"/>
    <col min="10753" max="10753" width="87" style="65" customWidth="1"/>
    <col min="10754" max="10754" width="70.5703125" style="65" customWidth="1"/>
    <col min="10755" max="10755" width="70.7109375" style="65" customWidth="1"/>
    <col min="10756" max="11007" width="8.85546875" style="65"/>
    <col min="11008" max="11008" width="11.7109375" style="65" customWidth="1"/>
    <col min="11009" max="11009" width="87" style="65" customWidth="1"/>
    <col min="11010" max="11010" width="70.5703125" style="65" customWidth="1"/>
    <col min="11011" max="11011" width="70.7109375" style="65" customWidth="1"/>
    <col min="11012" max="11263" width="8.85546875" style="65"/>
    <col min="11264" max="11264" width="11.7109375" style="65" customWidth="1"/>
    <col min="11265" max="11265" width="87" style="65" customWidth="1"/>
    <col min="11266" max="11266" width="70.5703125" style="65" customWidth="1"/>
    <col min="11267" max="11267" width="70.7109375" style="65" customWidth="1"/>
    <col min="11268" max="11519" width="8.85546875" style="65"/>
    <col min="11520" max="11520" width="11.7109375" style="65" customWidth="1"/>
    <col min="11521" max="11521" width="87" style="65" customWidth="1"/>
    <col min="11522" max="11522" width="70.5703125" style="65" customWidth="1"/>
    <col min="11523" max="11523" width="70.7109375" style="65" customWidth="1"/>
    <col min="11524" max="11775" width="8.85546875" style="65"/>
    <col min="11776" max="11776" width="11.7109375" style="65" customWidth="1"/>
    <col min="11777" max="11777" width="87" style="65" customWidth="1"/>
    <col min="11778" max="11778" width="70.5703125" style="65" customWidth="1"/>
    <col min="11779" max="11779" width="70.7109375" style="65" customWidth="1"/>
    <col min="11780" max="12031" width="8.85546875" style="65"/>
    <col min="12032" max="12032" width="11.7109375" style="65" customWidth="1"/>
    <col min="12033" max="12033" width="87" style="65" customWidth="1"/>
    <col min="12034" max="12034" width="70.5703125" style="65" customWidth="1"/>
    <col min="12035" max="12035" width="70.7109375" style="65" customWidth="1"/>
    <col min="12036" max="12287" width="8.85546875" style="65"/>
    <col min="12288" max="12288" width="11.7109375" style="65" customWidth="1"/>
    <col min="12289" max="12289" width="87" style="65" customWidth="1"/>
    <col min="12290" max="12290" width="70.5703125" style="65" customWidth="1"/>
    <col min="12291" max="12291" width="70.7109375" style="65" customWidth="1"/>
    <col min="12292" max="12543" width="8.85546875" style="65"/>
    <col min="12544" max="12544" width="11.7109375" style="65" customWidth="1"/>
    <col min="12545" max="12545" width="87" style="65" customWidth="1"/>
    <col min="12546" max="12546" width="70.5703125" style="65" customWidth="1"/>
    <col min="12547" max="12547" width="70.7109375" style="65" customWidth="1"/>
    <col min="12548" max="12799" width="8.85546875" style="65"/>
    <col min="12800" max="12800" width="11.7109375" style="65" customWidth="1"/>
    <col min="12801" max="12801" width="87" style="65" customWidth="1"/>
    <col min="12802" max="12802" width="70.5703125" style="65" customWidth="1"/>
    <col min="12803" max="12803" width="70.7109375" style="65" customWidth="1"/>
    <col min="12804" max="13055" width="8.85546875" style="65"/>
    <col min="13056" max="13056" width="11.7109375" style="65" customWidth="1"/>
    <col min="13057" max="13057" width="87" style="65" customWidth="1"/>
    <col min="13058" max="13058" width="70.5703125" style="65" customWidth="1"/>
    <col min="13059" max="13059" width="70.7109375" style="65" customWidth="1"/>
    <col min="13060" max="13311" width="8.85546875" style="65"/>
    <col min="13312" max="13312" width="11.7109375" style="65" customWidth="1"/>
    <col min="13313" max="13313" width="87" style="65" customWidth="1"/>
    <col min="13314" max="13314" width="70.5703125" style="65" customWidth="1"/>
    <col min="13315" max="13315" width="70.7109375" style="65" customWidth="1"/>
    <col min="13316" max="13567" width="8.85546875" style="65"/>
    <col min="13568" max="13568" width="11.7109375" style="65" customWidth="1"/>
    <col min="13569" max="13569" width="87" style="65" customWidth="1"/>
    <col min="13570" max="13570" width="70.5703125" style="65" customWidth="1"/>
    <col min="13571" max="13571" width="70.7109375" style="65" customWidth="1"/>
    <col min="13572" max="13823" width="8.85546875" style="65"/>
    <col min="13824" max="13824" width="11.7109375" style="65" customWidth="1"/>
    <col min="13825" max="13825" width="87" style="65" customWidth="1"/>
    <col min="13826" max="13826" width="70.5703125" style="65" customWidth="1"/>
    <col min="13827" max="13827" width="70.7109375" style="65" customWidth="1"/>
    <col min="13828" max="14079" width="8.85546875" style="65"/>
    <col min="14080" max="14080" width="11.7109375" style="65" customWidth="1"/>
    <col min="14081" max="14081" width="87" style="65" customWidth="1"/>
    <col min="14082" max="14082" width="70.5703125" style="65" customWidth="1"/>
    <col min="14083" max="14083" width="70.7109375" style="65" customWidth="1"/>
    <col min="14084" max="14335" width="8.85546875" style="65"/>
    <col min="14336" max="14336" width="11.7109375" style="65" customWidth="1"/>
    <col min="14337" max="14337" width="87" style="65" customWidth="1"/>
    <col min="14338" max="14338" width="70.5703125" style="65" customWidth="1"/>
    <col min="14339" max="14339" width="70.7109375" style="65" customWidth="1"/>
    <col min="14340" max="14591" width="8.85546875" style="65"/>
    <col min="14592" max="14592" width="11.7109375" style="65" customWidth="1"/>
    <col min="14593" max="14593" width="87" style="65" customWidth="1"/>
    <col min="14594" max="14594" width="70.5703125" style="65" customWidth="1"/>
    <col min="14595" max="14595" width="70.7109375" style="65" customWidth="1"/>
    <col min="14596" max="14847" width="8.85546875" style="65"/>
    <col min="14848" max="14848" width="11.7109375" style="65" customWidth="1"/>
    <col min="14849" max="14849" width="87" style="65" customWidth="1"/>
    <col min="14850" max="14850" width="70.5703125" style="65" customWidth="1"/>
    <col min="14851" max="14851" width="70.7109375" style="65" customWidth="1"/>
    <col min="14852" max="15103" width="8.85546875" style="65"/>
    <col min="15104" max="15104" width="11.7109375" style="65" customWidth="1"/>
    <col min="15105" max="15105" width="87" style="65" customWidth="1"/>
    <col min="15106" max="15106" width="70.5703125" style="65" customWidth="1"/>
    <col min="15107" max="15107" width="70.7109375" style="65" customWidth="1"/>
    <col min="15108" max="15359" width="8.85546875" style="65"/>
    <col min="15360" max="15360" width="11.7109375" style="65" customWidth="1"/>
    <col min="15361" max="15361" width="87" style="65" customWidth="1"/>
    <col min="15362" max="15362" width="70.5703125" style="65" customWidth="1"/>
    <col min="15363" max="15363" width="70.7109375" style="65" customWidth="1"/>
    <col min="15364" max="15615" width="8.85546875" style="65"/>
    <col min="15616" max="15616" width="11.7109375" style="65" customWidth="1"/>
    <col min="15617" max="15617" width="87" style="65" customWidth="1"/>
    <col min="15618" max="15618" width="70.5703125" style="65" customWidth="1"/>
    <col min="15619" max="15619" width="70.7109375" style="65" customWidth="1"/>
    <col min="15620" max="15871" width="8.85546875" style="65"/>
    <col min="15872" max="15872" width="11.7109375" style="65" customWidth="1"/>
    <col min="15873" max="15873" width="87" style="65" customWidth="1"/>
    <col min="15874" max="15874" width="70.5703125" style="65" customWidth="1"/>
    <col min="15875" max="15875" width="70.7109375" style="65" customWidth="1"/>
    <col min="15876" max="16127" width="8.85546875" style="65"/>
    <col min="16128" max="16128" width="11.7109375" style="65" customWidth="1"/>
    <col min="16129" max="16129" width="87" style="65" customWidth="1"/>
    <col min="16130" max="16130" width="70.5703125" style="65" customWidth="1"/>
    <col min="16131" max="16131" width="70.7109375" style="65" customWidth="1"/>
    <col min="16132" max="16384" width="8.85546875" style="65"/>
  </cols>
  <sheetData>
    <row r="1" spans="1:24" s="62" customFormat="1" ht="20.100000000000001" customHeight="1" x14ac:dyDescent="0.2">
      <c r="A1" s="59"/>
      <c r="B1" s="60"/>
      <c r="C1" s="61"/>
    </row>
    <row r="2" spans="1:24" s="62" customFormat="1" ht="20.100000000000001" customHeight="1" x14ac:dyDescent="0.2">
      <c r="A2" s="59"/>
      <c r="B2" s="60"/>
      <c r="C2" s="61"/>
    </row>
    <row r="3" spans="1:24" s="66" customFormat="1" ht="108.75" customHeight="1" thickBot="1" x14ac:dyDescent="0.3">
      <c r="A3" s="63"/>
      <c r="B3" s="63"/>
      <c r="C3" s="64"/>
      <c r="D3" s="65"/>
      <c r="E3" s="65"/>
      <c r="F3" s="65"/>
      <c r="G3" s="65"/>
      <c r="H3" s="65"/>
      <c r="I3" s="65"/>
      <c r="J3" s="65"/>
      <c r="K3" s="65"/>
      <c r="L3" s="65"/>
      <c r="M3" s="65"/>
      <c r="N3" s="65"/>
      <c r="O3" s="65"/>
      <c r="P3" s="65"/>
      <c r="Q3" s="65"/>
      <c r="R3" s="65"/>
      <c r="S3" s="65"/>
      <c r="T3" s="65"/>
      <c r="U3" s="65"/>
      <c r="V3" s="65"/>
      <c r="W3" s="65"/>
      <c r="X3" s="65"/>
    </row>
    <row r="4" spans="1:24" ht="14.25" customHeight="1" x14ac:dyDescent="0.25">
      <c r="A4" s="67"/>
      <c r="B4" s="67"/>
      <c r="C4" s="68"/>
    </row>
    <row r="5" spans="1:24" s="72" customFormat="1" ht="32.25" customHeight="1" x14ac:dyDescent="0.45">
      <c r="A5" s="69"/>
      <c r="B5" s="70" t="s">
        <v>454</v>
      </c>
      <c r="C5" s="71"/>
    </row>
    <row r="6" spans="1:24" s="73" customFormat="1" ht="42.75" customHeight="1" x14ac:dyDescent="0.4">
      <c r="A6" s="20" t="s">
        <v>6</v>
      </c>
      <c r="B6" s="20" t="s">
        <v>0</v>
      </c>
      <c r="C6" s="32" t="s">
        <v>1</v>
      </c>
    </row>
    <row r="7" spans="1:24" s="73" customFormat="1" ht="27.75" x14ac:dyDescent="0.4">
      <c r="A7" s="74">
        <v>1</v>
      </c>
      <c r="B7" s="31" t="s">
        <v>46</v>
      </c>
      <c r="C7" s="110">
        <f>'Nahel-Bill 01'!F43</f>
        <v>879340.36457971227</v>
      </c>
      <c r="F7" s="75"/>
    </row>
    <row r="8" spans="1:24" s="73" customFormat="1" ht="27.75" x14ac:dyDescent="0.4">
      <c r="A8" s="74">
        <v>2</v>
      </c>
      <c r="B8" s="31" t="s">
        <v>47</v>
      </c>
      <c r="C8" s="110">
        <f>'Nahel-Bill 02'!F110</f>
        <v>5703758.9704749901</v>
      </c>
      <c r="F8" s="75"/>
    </row>
    <row r="9" spans="1:24" s="73" customFormat="1" ht="27.75" x14ac:dyDescent="0.4">
      <c r="A9" s="74">
        <v>3</v>
      </c>
      <c r="B9" s="31" t="s">
        <v>49</v>
      </c>
      <c r="C9" s="110">
        <f>'Nahel-Bill 03'!F86</f>
        <v>2206138.851659683</v>
      </c>
      <c r="F9" s="75"/>
    </row>
    <row r="10" spans="1:24" s="73" customFormat="1" ht="27.75" x14ac:dyDescent="0.4">
      <c r="A10" s="74">
        <v>4</v>
      </c>
      <c r="B10" s="31" t="s">
        <v>50</v>
      </c>
      <c r="C10" s="110">
        <f>'Nahel-Bill 04'!F42</f>
        <v>566575.37384020363</v>
      </c>
      <c r="F10" s="75"/>
    </row>
    <row r="11" spans="1:24" s="73" customFormat="1" ht="27.75" x14ac:dyDescent="0.4">
      <c r="A11" s="74">
        <v>5</v>
      </c>
      <c r="B11" s="31" t="s">
        <v>51</v>
      </c>
      <c r="C11" s="110">
        <f>'Nahel-Bill 05'!F41</f>
        <v>5119917.5807408858</v>
      </c>
      <c r="F11" s="75"/>
    </row>
    <row r="12" spans="1:24" s="73" customFormat="1" ht="28.5" customHeight="1" x14ac:dyDescent="0.4">
      <c r="A12" s="76"/>
      <c r="B12" s="77"/>
      <c r="C12" s="111"/>
    </row>
    <row r="13" spans="1:24" s="73" customFormat="1" ht="27.75" x14ac:dyDescent="0.4">
      <c r="A13" s="76"/>
      <c r="B13" s="25" t="s">
        <v>2</v>
      </c>
      <c r="C13" s="111">
        <f>SUM(C7:C11)</f>
        <v>14475731.141295474</v>
      </c>
      <c r="D13" s="26"/>
      <c r="E13" s="112"/>
      <c r="F13" s="35"/>
      <c r="G13" s="78"/>
      <c r="H13" s="75"/>
    </row>
    <row r="14" spans="1:24" s="73" customFormat="1" ht="27.75" x14ac:dyDescent="0.4">
      <c r="A14" s="76"/>
      <c r="B14" s="27" t="s">
        <v>3</v>
      </c>
      <c r="C14" s="110">
        <f>C13*0.05</f>
        <v>723786.55706477375</v>
      </c>
      <c r="D14" s="26"/>
      <c r="E14" s="26"/>
      <c r="F14" s="26"/>
      <c r="G14" s="78"/>
    </row>
    <row r="15" spans="1:24" s="73" customFormat="1" ht="27.75" x14ac:dyDescent="0.4">
      <c r="A15" s="76"/>
      <c r="B15" s="28" t="s">
        <v>4</v>
      </c>
      <c r="C15" s="113">
        <f>SUM(C13:C14)</f>
        <v>15199517.698360248</v>
      </c>
      <c r="D15" s="26"/>
      <c r="E15" s="26"/>
      <c r="F15" s="26"/>
      <c r="G15" s="78"/>
    </row>
    <row r="16" spans="1:24" s="73" customFormat="1" ht="12" customHeight="1" x14ac:dyDescent="0.4">
      <c r="A16" s="76"/>
      <c r="B16" s="26"/>
      <c r="C16" s="112"/>
      <c r="D16" s="26"/>
      <c r="E16" s="26"/>
      <c r="F16" s="26"/>
      <c r="G16" s="26"/>
    </row>
    <row r="17" spans="1:7" s="73" customFormat="1" ht="12" customHeight="1" x14ac:dyDescent="0.4">
      <c r="A17" s="76"/>
      <c r="B17" s="26"/>
      <c r="C17" s="112"/>
      <c r="D17" s="26"/>
      <c r="E17" s="26"/>
      <c r="F17" s="26"/>
      <c r="G17" s="26"/>
    </row>
    <row r="18" spans="1:7" s="73" customFormat="1" ht="37.5" customHeight="1" x14ac:dyDescent="0.4">
      <c r="A18" s="80"/>
      <c r="B18" s="30" t="s">
        <v>7</v>
      </c>
      <c r="C18" s="270" t="s">
        <v>733</v>
      </c>
      <c r="D18" s="26"/>
      <c r="E18" s="26"/>
      <c r="F18" s="26"/>
      <c r="G18" s="26"/>
    </row>
    <row r="19" spans="1:7" s="73" customFormat="1" ht="37.5" customHeight="1" x14ac:dyDescent="0.4">
      <c r="A19" s="80"/>
      <c r="B19" s="30" t="s">
        <v>8</v>
      </c>
      <c r="C19" s="267" t="s">
        <v>734</v>
      </c>
      <c r="D19" s="26"/>
      <c r="E19" s="26"/>
      <c r="F19" s="26"/>
      <c r="G19" s="26"/>
    </row>
    <row r="20" spans="1:7" s="73" customFormat="1" ht="37.5" customHeight="1" x14ac:dyDescent="0.4">
      <c r="A20" s="80"/>
      <c r="B20" s="30" t="s">
        <v>5</v>
      </c>
      <c r="C20" s="270" t="s">
        <v>735</v>
      </c>
      <c r="D20" s="26"/>
      <c r="E20" s="26"/>
      <c r="F20" s="26"/>
      <c r="G20" s="26"/>
    </row>
    <row r="21" spans="1:7" ht="23.25" x14ac:dyDescent="0.35">
      <c r="A21" s="81"/>
      <c r="B21" s="82"/>
      <c r="C21" s="83"/>
    </row>
    <row r="22" spans="1:7" ht="23.25" x14ac:dyDescent="0.35">
      <c r="A22" s="81"/>
      <c r="B22" s="82"/>
      <c r="C22" s="83"/>
    </row>
  </sheetData>
  <sheetProtection formatCells="0" formatColumns="0" formatRows="0" insertColumns="0" insertRows="0" insertHyperlinks="0" deleteColumns="0" deleteRows="0" sort="0" autoFilter="0" pivotTables="0"/>
  <pageMargins left="0.47244094488188981" right="0.47244094488188981" top="0.74803149606299213" bottom="0.74803149606299213" header="0.31496062992125984" footer="0.31496062992125984"/>
  <pageSetup paperSize="9" scale="59" fitToHeight="0" orientation="landscape" r:id="rId1"/>
  <headerFooter>
    <oddFooter>&amp;C&amp;"Arial,Bold"&amp;16&amp;P/&amp;N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C29F-5A17-4DFE-BCAE-27E6C2C835E3}">
  <dimension ref="A1:BY187"/>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10.85546875" style="88" bestFit="1" customWidth="1"/>
    <col min="2" max="2" width="71" style="86" customWidth="1"/>
    <col min="3" max="3" width="12.7109375" style="88" customWidth="1"/>
    <col min="4" max="4" width="14.28515625" style="88" customWidth="1"/>
    <col min="5" max="5" width="18" style="109" customWidth="1"/>
    <col min="6" max="6" width="18.5703125" style="109" customWidth="1"/>
    <col min="7" max="16384" width="9.140625" style="90"/>
  </cols>
  <sheetData>
    <row r="1" spans="1:77" x14ac:dyDescent="0.2">
      <c r="A1" s="86"/>
      <c r="B1" s="87"/>
      <c r="E1" s="89"/>
      <c r="F1" s="89"/>
    </row>
    <row r="2" spans="1:77" x14ac:dyDescent="0.2">
      <c r="A2" s="86"/>
      <c r="B2" s="87"/>
      <c r="E2" s="89"/>
      <c r="F2" s="89"/>
    </row>
    <row r="3" spans="1:77" ht="12" customHeight="1" thickBot="1" x14ac:dyDescent="0.25">
      <c r="A3" s="86"/>
      <c r="B3" s="273"/>
      <c r="C3" s="274"/>
      <c r="E3" s="89"/>
      <c r="F3" s="89"/>
    </row>
    <row r="4" spans="1:77" ht="33.950000000000003" customHeight="1" x14ac:dyDescent="0.2">
      <c r="A4" s="86"/>
      <c r="B4" s="87"/>
      <c r="E4" s="89"/>
      <c r="F4" s="89"/>
    </row>
    <row r="5" spans="1:77" s="95" customFormat="1" ht="15.75" x14ac:dyDescent="0.2">
      <c r="A5" s="91"/>
      <c r="B5" s="92" t="s">
        <v>52</v>
      </c>
      <c r="C5" s="93"/>
      <c r="D5" s="93"/>
      <c r="E5" s="127"/>
      <c r="F5" s="127"/>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row>
    <row r="6" spans="1:77" s="100" customFormat="1" ht="45.75" customHeight="1" x14ac:dyDescent="0.2">
      <c r="A6" s="96" t="s">
        <v>14</v>
      </c>
      <c r="B6" s="97" t="s">
        <v>0</v>
      </c>
      <c r="C6" s="96" t="s">
        <v>15</v>
      </c>
      <c r="D6" s="98" t="s">
        <v>16</v>
      </c>
      <c r="E6" s="128" t="s">
        <v>17</v>
      </c>
      <c r="F6" s="128" t="s">
        <v>320</v>
      </c>
    </row>
    <row r="7" spans="1:77" s="100" customFormat="1" ht="15.75" x14ac:dyDescent="0.2">
      <c r="A7" s="169"/>
      <c r="B7" s="170" t="s">
        <v>54</v>
      </c>
      <c r="C7" s="169"/>
      <c r="D7" s="171"/>
      <c r="E7" s="99"/>
      <c r="F7" s="99"/>
    </row>
    <row r="8" spans="1:77" s="100" customFormat="1" ht="30" x14ac:dyDescent="0.2">
      <c r="A8" s="172">
        <v>1.0009999999999999</v>
      </c>
      <c r="B8" s="173" t="s">
        <v>55</v>
      </c>
      <c r="C8" s="172" t="s">
        <v>659</v>
      </c>
      <c r="D8" s="174">
        <v>1</v>
      </c>
      <c r="E8" s="224">
        <v>1033.1906089706995</v>
      </c>
      <c r="F8" s="224">
        <f>$D8*E8</f>
        <v>1033.1906089706995</v>
      </c>
    </row>
    <row r="9" spans="1:77" s="100" customFormat="1" ht="15.75" x14ac:dyDescent="0.2">
      <c r="A9" s="211"/>
      <c r="B9" s="213" t="s">
        <v>56</v>
      </c>
      <c r="C9" s="211"/>
      <c r="D9" s="219"/>
      <c r="E9" s="175"/>
      <c r="F9" s="175"/>
    </row>
    <row r="10" spans="1:77" s="100" customFormat="1" ht="35.450000000000003" customHeight="1" x14ac:dyDescent="0.2">
      <c r="A10" s="211">
        <v>1.0019999999999998</v>
      </c>
      <c r="B10" s="212" t="s">
        <v>55</v>
      </c>
      <c r="C10" s="211" t="s">
        <v>659</v>
      </c>
      <c r="D10" s="219">
        <v>1</v>
      </c>
      <c r="E10" s="224">
        <v>3220.4541664695566</v>
      </c>
      <c r="F10" s="224">
        <f>$D10*E10</f>
        <v>3220.4541664695566</v>
      </c>
    </row>
    <row r="11" spans="1:77" s="100" customFormat="1" ht="15.75" x14ac:dyDescent="0.2">
      <c r="A11" s="172"/>
      <c r="B11" s="170" t="s">
        <v>57</v>
      </c>
      <c r="C11" s="172"/>
      <c r="D11" s="174"/>
      <c r="E11" s="175"/>
      <c r="F11" s="175"/>
    </row>
    <row r="12" spans="1:77" s="104" customFormat="1" ht="30" x14ac:dyDescent="0.25">
      <c r="A12" s="172">
        <v>1.0029999999999997</v>
      </c>
      <c r="B12" s="173" t="s">
        <v>58</v>
      </c>
      <c r="C12" s="172" t="s">
        <v>659</v>
      </c>
      <c r="D12" s="174">
        <v>1</v>
      </c>
      <c r="E12" s="224">
        <v>225.86714555665955</v>
      </c>
      <c r="F12" s="224">
        <f>$D12*E12</f>
        <v>225.86714555665955</v>
      </c>
    </row>
    <row r="13" spans="1:77" s="104" customFormat="1" ht="15.75" x14ac:dyDescent="0.25">
      <c r="A13" s="169"/>
      <c r="B13" s="170" t="s">
        <v>59</v>
      </c>
      <c r="C13" s="169"/>
      <c r="D13" s="171"/>
      <c r="E13" s="99"/>
      <c r="F13" s="99"/>
    </row>
    <row r="14" spans="1:77" s="104" customFormat="1" ht="15.75" x14ac:dyDescent="0.25">
      <c r="A14" s="172"/>
      <c r="B14" s="170" t="s">
        <v>60</v>
      </c>
      <c r="C14" s="172"/>
      <c r="D14" s="172"/>
      <c r="E14" s="103"/>
      <c r="F14" s="103"/>
    </row>
    <row r="15" spans="1:77" s="104" customFormat="1" ht="56.25" customHeight="1" x14ac:dyDescent="0.25">
      <c r="A15" s="211"/>
      <c r="B15" s="212" t="s">
        <v>718</v>
      </c>
      <c r="C15" s="211"/>
      <c r="D15" s="219"/>
      <c r="E15" s="103"/>
      <c r="F15" s="175"/>
    </row>
    <row r="16" spans="1:77" s="104" customFormat="1" ht="15.75" x14ac:dyDescent="0.25">
      <c r="A16" s="211">
        <v>1.0039999999999996</v>
      </c>
      <c r="B16" s="212" t="s">
        <v>652</v>
      </c>
      <c r="C16" s="211" t="s">
        <v>659</v>
      </c>
      <c r="D16" s="219">
        <v>1</v>
      </c>
      <c r="E16" s="224">
        <v>115080.91954102926</v>
      </c>
      <c r="F16" s="224">
        <f>$D16*E16</f>
        <v>115080.91954102926</v>
      </c>
    </row>
    <row r="17" spans="1:6" s="104" customFormat="1" ht="34.5" customHeight="1" x14ac:dyDescent="0.25">
      <c r="A17" s="211" t="s">
        <v>694</v>
      </c>
      <c r="B17" s="212" t="s">
        <v>668</v>
      </c>
      <c r="C17" s="211" t="s">
        <v>659</v>
      </c>
      <c r="D17" s="219">
        <v>1</v>
      </c>
      <c r="E17" s="224">
        <v>115080.91954102926</v>
      </c>
      <c r="F17" s="224">
        <f>$D17*E17</f>
        <v>115080.91954102926</v>
      </c>
    </row>
    <row r="18" spans="1:6" s="104" customFormat="1" ht="15.75" x14ac:dyDescent="0.25">
      <c r="A18" s="169"/>
      <c r="B18" s="170" t="s">
        <v>62</v>
      </c>
      <c r="C18" s="169"/>
      <c r="D18" s="169"/>
      <c r="E18" s="106"/>
      <c r="F18" s="106"/>
    </row>
    <row r="19" spans="1:6" s="104" customFormat="1" ht="36.75" customHeight="1" x14ac:dyDescent="0.25">
      <c r="A19" s="172">
        <f>MAX(A12:A17)+0.001</f>
        <v>1.0049999999999994</v>
      </c>
      <c r="B19" s="173" t="s">
        <v>63</v>
      </c>
      <c r="C19" s="172" t="s">
        <v>659</v>
      </c>
      <c r="D19" s="172">
        <v>1</v>
      </c>
      <c r="E19" s="224">
        <v>7077.170560775332</v>
      </c>
      <c r="F19" s="224">
        <f>$D19*E19</f>
        <v>7077.170560775332</v>
      </c>
    </row>
    <row r="20" spans="1:6" s="104" customFormat="1" ht="15.75" x14ac:dyDescent="0.25">
      <c r="A20" s="169"/>
      <c r="B20" s="170" t="s">
        <v>64</v>
      </c>
      <c r="C20" s="169"/>
      <c r="D20" s="169"/>
      <c r="E20" s="106"/>
      <c r="F20" s="106"/>
    </row>
    <row r="21" spans="1:6" s="104" customFormat="1" ht="30" x14ac:dyDescent="0.25">
      <c r="A21" s="172">
        <f>MAX(A14:A19)+0.001</f>
        <v>1.0059999999999993</v>
      </c>
      <c r="B21" s="173" t="s">
        <v>65</v>
      </c>
      <c r="C21" s="172" t="s">
        <v>659</v>
      </c>
      <c r="D21" s="172">
        <v>1</v>
      </c>
      <c r="E21" s="224">
        <v>4111.4867546253399</v>
      </c>
      <c r="F21" s="224">
        <f>$D21*E21</f>
        <v>4111.4867546253399</v>
      </c>
    </row>
    <row r="22" spans="1:6" s="104" customFormat="1" ht="15.75" x14ac:dyDescent="0.25">
      <c r="A22" s="169"/>
      <c r="B22" s="170" t="s">
        <v>66</v>
      </c>
      <c r="C22" s="169"/>
      <c r="D22" s="169"/>
      <c r="E22" s="106"/>
      <c r="F22" s="106"/>
    </row>
    <row r="23" spans="1:6" s="104" customFormat="1" ht="30" x14ac:dyDescent="0.25">
      <c r="A23" s="172">
        <f>MAX(A16:A21)+0.001</f>
        <v>1.0069999999999992</v>
      </c>
      <c r="B23" s="173" t="s">
        <v>67</v>
      </c>
      <c r="C23" s="172" t="s">
        <v>659</v>
      </c>
      <c r="D23" s="172">
        <v>1</v>
      </c>
      <c r="E23" s="224">
        <v>18387.201652449494</v>
      </c>
      <c r="F23" s="224">
        <f>$D23*E23</f>
        <v>18387.201652449494</v>
      </c>
    </row>
    <row r="24" spans="1:6" s="104" customFormat="1" ht="30" x14ac:dyDescent="0.25">
      <c r="A24" s="172">
        <f>MAX(A17:A22)+0.001</f>
        <v>1.0069999999999992</v>
      </c>
      <c r="B24" s="173" t="s">
        <v>68</v>
      </c>
      <c r="C24" s="172" t="s">
        <v>659</v>
      </c>
      <c r="D24" s="172">
        <v>1</v>
      </c>
      <c r="E24" s="224">
        <v>10817.710582597671</v>
      </c>
      <c r="F24" s="224">
        <f>$D24*E24</f>
        <v>10817.710582597671</v>
      </c>
    </row>
    <row r="25" spans="1:6" s="104" customFormat="1" ht="45" x14ac:dyDescent="0.25">
      <c r="A25" s="172">
        <f>MAX(A18:A23)+0.001</f>
        <v>1.0079999999999991</v>
      </c>
      <c r="B25" s="173" t="s">
        <v>321</v>
      </c>
      <c r="C25" s="172" t="s">
        <v>659</v>
      </c>
      <c r="D25" s="172">
        <v>1</v>
      </c>
      <c r="E25" s="224">
        <v>71090.853435021185</v>
      </c>
      <c r="F25" s="224">
        <f>$D25*E25</f>
        <v>71090.853435021185</v>
      </c>
    </row>
    <row r="26" spans="1:6" s="104" customFormat="1" ht="30" x14ac:dyDescent="0.25">
      <c r="A26" s="172">
        <f>MAX(A19:A24)+0.001</f>
        <v>1.0079999999999991</v>
      </c>
      <c r="B26" s="173" t="s">
        <v>70</v>
      </c>
      <c r="C26" s="172" t="s">
        <v>659</v>
      </c>
      <c r="D26" s="172">
        <v>1</v>
      </c>
      <c r="E26" s="224">
        <v>80331.643971230733</v>
      </c>
      <c r="F26" s="224">
        <f>$D26*E26</f>
        <v>80331.643971230733</v>
      </c>
    </row>
    <row r="27" spans="1:6" s="104" customFormat="1" ht="15.75" x14ac:dyDescent="0.25">
      <c r="A27" s="169"/>
      <c r="B27" s="170" t="s">
        <v>73</v>
      </c>
      <c r="C27" s="169"/>
      <c r="D27" s="169"/>
      <c r="E27" s="106"/>
      <c r="F27" s="106"/>
    </row>
    <row r="28" spans="1:6" s="104" customFormat="1" ht="30" x14ac:dyDescent="0.25">
      <c r="A28" s="172">
        <f>MAX(A21:A26)+0.001</f>
        <v>1.008999999999999</v>
      </c>
      <c r="B28" s="173" t="s">
        <v>74</v>
      </c>
      <c r="C28" s="172" t="s">
        <v>659</v>
      </c>
      <c r="D28" s="172">
        <v>1</v>
      </c>
      <c r="E28" s="224">
        <v>9939.3993841993251</v>
      </c>
      <c r="F28" s="224">
        <f>$D28*E28</f>
        <v>9939.3993841993251</v>
      </c>
    </row>
    <row r="29" spans="1:6" s="104" customFormat="1" ht="15.75" x14ac:dyDescent="0.25">
      <c r="A29" s="169"/>
      <c r="B29" s="170" t="s">
        <v>322</v>
      </c>
      <c r="C29" s="169"/>
      <c r="D29" s="169"/>
      <c r="E29" s="106"/>
      <c r="F29" s="106"/>
    </row>
    <row r="30" spans="1:6" s="104" customFormat="1" ht="15.75" x14ac:dyDescent="0.25">
      <c r="A30" s="172">
        <f>MAX(A23:A28)+0.001</f>
        <v>1.0099999999999989</v>
      </c>
      <c r="B30" s="173" t="s">
        <v>76</v>
      </c>
      <c r="C30" s="172" t="s">
        <v>659</v>
      </c>
      <c r="D30" s="172">
        <v>1</v>
      </c>
      <c r="E30" s="224">
        <v>451.7342911133191</v>
      </c>
      <c r="F30" s="224">
        <f>$D30*E30</f>
        <v>451.7342911133191</v>
      </c>
    </row>
    <row r="31" spans="1:6" s="104" customFormat="1" ht="15.75" x14ac:dyDescent="0.25">
      <c r="A31" s="172"/>
      <c r="B31" s="170" t="s">
        <v>653</v>
      </c>
      <c r="C31" s="172"/>
      <c r="D31" s="172"/>
      <c r="E31" s="103"/>
      <c r="F31" s="103"/>
    </row>
    <row r="32" spans="1:6" s="104" customFormat="1" ht="45" x14ac:dyDescent="0.25">
      <c r="A32" s="172">
        <f>MAX(A25:A30)+0.001</f>
        <v>1.0109999999999988</v>
      </c>
      <c r="B32" s="173" t="s">
        <v>78</v>
      </c>
      <c r="C32" s="172" t="s">
        <v>659</v>
      </c>
      <c r="D32" s="172">
        <v>1</v>
      </c>
      <c r="E32" s="224">
        <v>32123.327368058246</v>
      </c>
      <c r="F32" s="224">
        <f>$D32*E32</f>
        <v>32123.327368058246</v>
      </c>
    </row>
    <row r="33" spans="1:77" s="104" customFormat="1" ht="15.75" x14ac:dyDescent="0.25">
      <c r="A33" s="211"/>
      <c r="B33" s="213" t="s">
        <v>654</v>
      </c>
      <c r="C33" s="211"/>
      <c r="D33" s="211"/>
      <c r="E33" s="103"/>
      <c r="F33" s="103"/>
    </row>
    <row r="34" spans="1:77" s="104" customFormat="1" ht="105" x14ac:dyDescent="0.25">
      <c r="A34" s="211" t="s">
        <v>695</v>
      </c>
      <c r="B34" s="212" t="s">
        <v>655</v>
      </c>
      <c r="C34" s="211" t="s">
        <v>659</v>
      </c>
      <c r="D34" s="211">
        <v>1</v>
      </c>
      <c r="E34" s="224">
        <v>80473.188185529449</v>
      </c>
      <c r="F34" s="224">
        <f>$D34*E34</f>
        <v>80473.188185529449</v>
      </c>
    </row>
    <row r="35" spans="1:77" s="104" customFormat="1" ht="24.75" customHeight="1" x14ac:dyDescent="0.25">
      <c r="A35" s="214"/>
      <c r="B35" s="213" t="s">
        <v>80</v>
      </c>
      <c r="C35" s="214"/>
      <c r="D35" s="214"/>
      <c r="E35" s="103"/>
      <c r="F35" s="106"/>
    </row>
    <row r="36" spans="1:77" s="104" customFormat="1" ht="27" customHeight="1" x14ac:dyDescent="0.25">
      <c r="A36" s="211">
        <f>MAX(A29:A34)+0.001</f>
        <v>1.0119999999999987</v>
      </c>
      <c r="B36" s="212" t="s">
        <v>81</v>
      </c>
      <c r="C36" s="211" t="s">
        <v>659</v>
      </c>
      <c r="D36" s="211">
        <v>1</v>
      </c>
      <c r="E36" s="224">
        <v>296240.52190504892</v>
      </c>
      <c r="F36" s="224">
        <f>$D36*E36</f>
        <v>296240.52190504892</v>
      </c>
    </row>
    <row r="37" spans="1:77" s="95" customFormat="1" ht="25.15" customHeight="1" x14ac:dyDescent="0.2">
      <c r="A37" s="169"/>
      <c r="B37" s="170" t="s">
        <v>82</v>
      </c>
      <c r="C37" s="169"/>
      <c r="D37" s="169"/>
      <c r="E37" s="103"/>
      <c r="F37" s="106"/>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row>
    <row r="38" spans="1:77" ht="30" x14ac:dyDescent="0.2">
      <c r="A38" s="172">
        <f>MAX(A31:A36)+0.001</f>
        <v>1.0129999999999986</v>
      </c>
      <c r="B38" s="173" t="s">
        <v>83</v>
      </c>
      <c r="C38" s="172" t="s">
        <v>659</v>
      </c>
      <c r="D38" s="172">
        <v>1</v>
      </c>
      <c r="E38" s="224">
        <v>2679.1878353708044</v>
      </c>
      <c r="F38" s="224">
        <f>$D38*E38</f>
        <v>2679.1878353708044</v>
      </c>
    </row>
    <row r="39" spans="1:77" ht="45" x14ac:dyDescent="0.2">
      <c r="A39" s="172">
        <f>MAX(A32:A37)+0.001</f>
        <v>1.0129999999999986</v>
      </c>
      <c r="B39" s="173" t="s">
        <v>85</v>
      </c>
      <c r="C39" s="172" t="s">
        <v>659</v>
      </c>
      <c r="D39" s="172">
        <v>1</v>
      </c>
      <c r="E39" s="224">
        <v>17935.524447165852</v>
      </c>
      <c r="F39" s="224">
        <f>$D39*E39</f>
        <v>17935.524447165852</v>
      </c>
    </row>
    <row r="40" spans="1:77" ht="15.75" x14ac:dyDescent="0.2">
      <c r="A40" s="172"/>
      <c r="B40" s="170" t="s">
        <v>323</v>
      </c>
      <c r="C40" s="172"/>
      <c r="D40" s="172"/>
      <c r="E40" s="103"/>
      <c r="F40" s="103"/>
    </row>
    <row r="41" spans="1:77" ht="180" x14ac:dyDescent="0.2">
      <c r="A41" s="172"/>
      <c r="B41" s="153" t="s">
        <v>324</v>
      </c>
      <c r="C41" s="172"/>
      <c r="D41" s="172"/>
      <c r="E41" s="103"/>
      <c r="F41" s="103"/>
    </row>
    <row r="42" spans="1:77" ht="30" x14ac:dyDescent="0.2">
      <c r="A42" s="172">
        <f>MAX(A35:A40)+0.001</f>
        <v>1.0139999999999985</v>
      </c>
      <c r="B42" s="173" t="s">
        <v>325</v>
      </c>
      <c r="C42" s="172" t="s">
        <v>659</v>
      </c>
      <c r="D42" s="172">
        <v>1</v>
      </c>
      <c r="E42" s="224">
        <v>13040.063203471143</v>
      </c>
      <c r="F42" s="224">
        <f>$D42*E42</f>
        <v>13040.063203471143</v>
      </c>
    </row>
    <row r="43" spans="1:77" ht="15.75" x14ac:dyDescent="0.2">
      <c r="A43" s="177"/>
      <c r="B43" s="171" t="s">
        <v>44</v>
      </c>
      <c r="C43" s="174"/>
      <c r="D43" s="178"/>
      <c r="E43" s="196"/>
      <c r="F43" s="225">
        <f>SUM(F8:F42)</f>
        <v>879340.36457971227</v>
      </c>
    </row>
    <row r="44" spans="1:77" x14ac:dyDescent="0.2">
      <c r="E44" s="88"/>
    </row>
    <row r="45" spans="1:77" x14ac:dyDescent="0.2">
      <c r="E45" s="105"/>
    </row>
    <row r="46" spans="1:77" x14ac:dyDescent="0.2">
      <c r="E46" s="105"/>
    </row>
    <row r="47" spans="1:77" x14ac:dyDescent="0.2">
      <c r="E47" s="105"/>
    </row>
    <row r="48" spans="1:77" x14ac:dyDescent="0.2">
      <c r="E48" s="105"/>
    </row>
    <row r="49" spans="1:77" x14ac:dyDescent="0.2">
      <c r="E49" s="105"/>
    </row>
    <row r="50" spans="1:77" x14ac:dyDescent="0.2">
      <c r="E50" s="105"/>
    </row>
    <row r="51" spans="1:77" s="109" customFormat="1" x14ac:dyDescent="0.2">
      <c r="A51" s="88"/>
      <c r="B51" s="86"/>
      <c r="C51" s="88"/>
      <c r="D51" s="88"/>
      <c r="E51" s="105"/>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row>
    <row r="52" spans="1:77" s="109" customFormat="1" x14ac:dyDescent="0.2">
      <c r="A52" s="88"/>
      <c r="B52" s="86"/>
      <c r="C52" s="88"/>
      <c r="D52" s="88"/>
      <c r="E52" s="105"/>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row>
    <row r="53" spans="1:77" s="109" customFormat="1" x14ac:dyDescent="0.2">
      <c r="A53" s="88"/>
      <c r="B53" s="86"/>
      <c r="C53" s="88"/>
      <c r="D53" s="88"/>
      <c r="E53" s="105"/>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row>
    <row r="54" spans="1:77" s="109" customFormat="1" x14ac:dyDescent="0.2">
      <c r="A54" s="88"/>
      <c r="B54" s="86"/>
      <c r="C54" s="88"/>
      <c r="D54" s="88"/>
      <c r="E54" s="105"/>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row>
    <row r="55" spans="1:77" s="109" customFormat="1" x14ac:dyDescent="0.2">
      <c r="A55" s="88"/>
      <c r="B55" s="86"/>
      <c r="C55" s="88"/>
      <c r="D55" s="88"/>
      <c r="E55" s="105"/>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row>
    <row r="56" spans="1:77" s="109" customFormat="1" x14ac:dyDescent="0.2">
      <c r="A56" s="88"/>
      <c r="B56" s="86"/>
      <c r="C56" s="88"/>
      <c r="D56" s="88"/>
      <c r="E56" s="105"/>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row>
    <row r="57" spans="1:77" s="109" customFormat="1" x14ac:dyDescent="0.2">
      <c r="A57" s="88"/>
      <c r="B57" s="86"/>
      <c r="C57" s="88"/>
      <c r="D57" s="88"/>
      <c r="E57" s="105"/>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90"/>
      <c r="BY57" s="90"/>
    </row>
    <row r="58" spans="1:77" s="109" customFormat="1" x14ac:dyDescent="0.2">
      <c r="A58" s="88"/>
      <c r="B58" s="86"/>
      <c r="C58" s="88"/>
      <c r="D58" s="88"/>
      <c r="E58" s="105"/>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row>
    <row r="59" spans="1:77" s="109" customFormat="1" x14ac:dyDescent="0.2">
      <c r="A59" s="88"/>
      <c r="B59" s="86"/>
      <c r="C59" s="88"/>
      <c r="D59" s="88"/>
      <c r="E59" s="105"/>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row>
    <row r="60" spans="1:77" s="109" customFormat="1" x14ac:dyDescent="0.2">
      <c r="A60" s="88"/>
      <c r="B60" s="86"/>
      <c r="C60" s="88"/>
      <c r="D60" s="88"/>
      <c r="E60" s="105"/>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row>
    <row r="61" spans="1:77" s="109" customFormat="1" x14ac:dyDescent="0.2">
      <c r="A61" s="88"/>
      <c r="B61" s="86"/>
      <c r="C61" s="88"/>
      <c r="D61" s="88"/>
      <c r="E61" s="105"/>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row>
    <row r="62" spans="1:77" s="109" customFormat="1" x14ac:dyDescent="0.2">
      <c r="A62" s="88"/>
      <c r="B62" s="86"/>
      <c r="C62" s="88"/>
      <c r="D62" s="88"/>
      <c r="E62" s="105"/>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row>
    <row r="63" spans="1:77" s="109" customFormat="1" x14ac:dyDescent="0.2">
      <c r="A63" s="88"/>
      <c r="B63" s="86"/>
      <c r="C63" s="88"/>
      <c r="D63" s="88"/>
      <c r="E63" s="105"/>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row>
    <row r="64" spans="1:77" s="109" customFormat="1" x14ac:dyDescent="0.2">
      <c r="A64" s="88"/>
      <c r="B64" s="86"/>
      <c r="C64" s="88"/>
      <c r="D64" s="88"/>
      <c r="E64" s="105"/>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row>
    <row r="65" spans="1:77" s="109" customFormat="1" x14ac:dyDescent="0.2">
      <c r="A65" s="88"/>
      <c r="B65" s="86"/>
      <c r="C65" s="88"/>
      <c r="D65" s="88"/>
      <c r="E65" s="105"/>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row>
    <row r="66" spans="1:77" s="109" customFormat="1" x14ac:dyDescent="0.2">
      <c r="A66" s="88"/>
      <c r="B66" s="86"/>
      <c r="C66" s="88"/>
      <c r="D66" s="88"/>
      <c r="E66" s="105"/>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row>
    <row r="67" spans="1:77" s="109" customFormat="1" x14ac:dyDescent="0.2">
      <c r="A67" s="88"/>
      <c r="B67" s="86"/>
      <c r="C67" s="88"/>
      <c r="D67" s="88"/>
      <c r="E67" s="105"/>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row>
    <row r="68" spans="1:77" s="109" customFormat="1" x14ac:dyDescent="0.2">
      <c r="A68" s="88"/>
      <c r="B68" s="86"/>
      <c r="C68" s="88"/>
      <c r="D68" s="88"/>
      <c r="E68" s="105"/>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row>
    <row r="69" spans="1:77" s="109" customFormat="1" x14ac:dyDescent="0.2">
      <c r="A69" s="88"/>
      <c r="B69" s="86"/>
      <c r="C69" s="88"/>
      <c r="D69" s="88"/>
      <c r="E69" s="105"/>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row>
    <row r="70" spans="1:77" s="109" customFormat="1" x14ac:dyDescent="0.2">
      <c r="A70" s="88"/>
      <c r="B70" s="86"/>
      <c r="C70" s="88"/>
      <c r="D70" s="88"/>
      <c r="E70" s="105"/>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row>
    <row r="71" spans="1:77" s="109" customFormat="1" x14ac:dyDescent="0.2">
      <c r="A71" s="88"/>
      <c r="B71" s="86"/>
      <c r="C71" s="88"/>
      <c r="D71" s="88"/>
      <c r="E71" s="105"/>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row>
    <row r="72" spans="1:77" s="109" customFormat="1" x14ac:dyDescent="0.2">
      <c r="A72" s="88"/>
      <c r="B72" s="86"/>
      <c r="C72" s="88"/>
      <c r="D72" s="88"/>
      <c r="E72" s="105"/>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row>
    <row r="73" spans="1:77" s="109" customFormat="1" x14ac:dyDescent="0.2">
      <c r="A73" s="88"/>
      <c r="B73" s="86"/>
      <c r="C73" s="88"/>
      <c r="D73" s="88"/>
      <c r="E73" s="105"/>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row>
    <row r="74" spans="1:77" s="109" customFormat="1" x14ac:dyDescent="0.2">
      <c r="A74" s="88"/>
      <c r="B74" s="86"/>
      <c r="C74" s="88"/>
      <c r="D74" s="88"/>
      <c r="E74" s="105"/>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row>
    <row r="75" spans="1:77" s="109" customFormat="1" x14ac:dyDescent="0.2">
      <c r="A75" s="88"/>
      <c r="B75" s="86"/>
      <c r="C75" s="88"/>
      <c r="D75" s="88"/>
      <c r="E75" s="105"/>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row>
    <row r="76" spans="1:77" s="109" customFormat="1" x14ac:dyDescent="0.2">
      <c r="A76" s="88"/>
      <c r="B76" s="86"/>
      <c r="C76" s="88"/>
      <c r="D76" s="88"/>
      <c r="E76" s="105"/>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row>
    <row r="77" spans="1:77" s="109" customFormat="1" x14ac:dyDescent="0.2">
      <c r="A77" s="88"/>
      <c r="B77" s="86"/>
      <c r="C77" s="88"/>
      <c r="D77" s="88"/>
      <c r="E77" s="105"/>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row>
    <row r="78" spans="1:77" s="109" customFormat="1" x14ac:dyDescent="0.2">
      <c r="A78" s="88"/>
      <c r="B78" s="86"/>
      <c r="C78" s="88"/>
      <c r="D78" s="88"/>
      <c r="E78" s="105"/>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row>
    <row r="79" spans="1:77" s="109" customFormat="1" x14ac:dyDescent="0.2">
      <c r="A79" s="88"/>
      <c r="B79" s="86"/>
      <c r="C79" s="88"/>
      <c r="D79" s="88"/>
      <c r="E79" s="105"/>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row>
    <row r="80" spans="1:77" s="109" customFormat="1" x14ac:dyDescent="0.2">
      <c r="A80" s="88"/>
      <c r="B80" s="86"/>
      <c r="C80" s="88"/>
      <c r="D80" s="88"/>
      <c r="E80" s="105"/>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row>
    <row r="81" spans="1:77" s="109" customFormat="1" x14ac:dyDescent="0.2">
      <c r="A81" s="88"/>
      <c r="B81" s="86"/>
      <c r="C81" s="88"/>
      <c r="D81" s="88"/>
      <c r="E81" s="105"/>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row>
    <row r="82" spans="1:77" s="109" customFormat="1" x14ac:dyDescent="0.2">
      <c r="A82" s="88"/>
      <c r="B82" s="86"/>
      <c r="C82" s="88"/>
      <c r="D82" s="88"/>
      <c r="E82" s="105"/>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row>
    <row r="83" spans="1:77" s="109" customFormat="1" x14ac:dyDescent="0.2">
      <c r="A83" s="88"/>
      <c r="B83" s="86"/>
      <c r="C83" s="88"/>
      <c r="D83" s="88"/>
      <c r="E83" s="105"/>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row>
    <row r="84" spans="1:77" s="109" customFormat="1" x14ac:dyDescent="0.2">
      <c r="A84" s="88"/>
      <c r="B84" s="86"/>
      <c r="C84" s="88"/>
      <c r="D84" s="88"/>
      <c r="E84" s="105"/>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row>
    <row r="85" spans="1:77" s="109" customFormat="1" x14ac:dyDescent="0.2">
      <c r="A85" s="88"/>
      <c r="B85" s="86"/>
      <c r="C85" s="88"/>
      <c r="D85" s="88"/>
      <c r="E85" s="105"/>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row>
    <row r="86" spans="1:77" s="109" customFormat="1" x14ac:dyDescent="0.2">
      <c r="A86" s="88"/>
      <c r="B86" s="86"/>
      <c r="C86" s="88"/>
      <c r="D86" s="88"/>
      <c r="E86" s="105"/>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row>
    <row r="87" spans="1:77" s="109" customFormat="1" x14ac:dyDescent="0.2">
      <c r="A87" s="88"/>
      <c r="B87" s="86"/>
      <c r="C87" s="88"/>
      <c r="D87" s="88"/>
      <c r="E87" s="105"/>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row>
    <row r="88" spans="1:77" s="109" customFormat="1" x14ac:dyDescent="0.2">
      <c r="A88" s="88"/>
      <c r="B88" s="86"/>
      <c r="C88" s="88"/>
      <c r="D88" s="88"/>
      <c r="E88" s="105"/>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row>
    <row r="89" spans="1:77" s="109" customFormat="1" x14ac:dyDescent="0.2">
      <c r="A89" s="88"/>
      <c r="B89" s="86"/>
      <c r="C89" s="88"/>
      <c r="D89" s="88"/>
      <c r="E89" s="105"/>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row>
    <row r="90" spans="1:77" s="109" customFormat="1" x14ac:dyDescent="0.2">
      <c r="A90" s="88"/>
      <c r="B90" s="86"/>
      <c r="C90" s="88"/>
      <c r="D90" s="88"/>
      <c r="E90" s="105"/>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row>
    <row r="91" spans="1:77" s="109" customFormat="1" x14ac:dyDescent="0.2">
      <c r="A91" s="88"/>
      <c r="B91" s="86"/>
      <c r="C91" s="88"/>
      <c r="D91" s="88"/>
      <c r="E91" s="105"/>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row>
    <row r="92" spans="1:77" s="109" customFormat="1" x14ac:dyDescent="0.2">
      <c r="A92" s="88"/>
      <c r="B92" s="86"/>
      <c r="C92" s="88"/>
      <c r="D92" s="88"/>
      <c r="E92" s="105"/>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row>
    <row r="93" spans="1:77" s="109" customFormat="1" x14ac:dyDescent="0.2">
      <c r="A93" s="88"/>
      <c r="B93" s="86"/>
      <c r="C93" s="88"/>
      <c r="D93" s="88"/>
      <c r="E93" s="105"/>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row>
    <row r="94" spans="1:77" s="109" customFormat="1" x14ac:dyDescent="0.2">
      <c r="A94" s="88"/>
      <c r="B94" s="86"/>
      <c r="C94" s="88"/>
      <c r="D94" s="88"/>
      <c r="E94" s="105"/>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row>
    <row r="95" spans="1:77" s="109" customFormat="1" x14ac:dyDescent="0.2">
      <c r="A95" s="88"/>
      <c r="B95" s="86"/>
      <c r="C95" s="88"/>
      <c r="D95" s="88"/>
      <c r="E95" s="105"/>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row>
    <row r="96" spans="1:77" s="109" customFormat="1" x14ac:dyDescent="0.2">
      <c r="A96" s="88"/>
      <c r="B96" s="86"/>
      <c r="C96" s="88"/>
      <c r="D96" s="88"/>
      <c r="E96" s="105"/>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row>
    <row r="97" spans="1:77" s="109" customFormat="1" x14ac:dyDescent="0.2">
      <c r="A97" s="88"/>
      <c r="B97" s="86"/>
      <c r="C97" s="88"/>
      <c r="D97" s="88"/>
      <c r="E97" s="105"/>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row>
    <row r="98" spans="1:77" s="109" customFormat="1" x14ac:dyDescent="0.2">
      <c r="A98" s="88"/>
      <c r="B98" s="86"/>
      <c r="C98" s="88"/>
      <c r="D98" s="88"/>
      <c r="E98" s="105"/>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row>
    <row r="99" spans="1:77" s="109" customFormat="1" x14ac:dyDescent="0.2">
      <c r="A99" s="88"/>
      <c r="B99" s="86"/>
      <c r="C99" s="88"/>
      <c r="D99" s="88"/>
      <c r="E99" s="105"/>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row>
    <row r="100" spans="1:77" s="109" customFormat="1" x14ac:dyDescent="0.2">
      <c r="A100" s="88"/>
      <c r="B100" s="86"/>
      <c r="C100" s="88"/>
      <c r="D100" s="88"/>
      <c r="E100" s="105"/>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row>
    <row r="101" spans="1:77" s="109" customFormat="1" x14ac:dyDescent="0.2">
      <c r="A101" s="88"/>
      <c r="B101" s="86"/>
      <c r="C101" s="88"/>
      <c r="D101" s="88"/>
      <c r="E101" s="105"/>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row>
    <row r="102" spans="1:77" s="109" customFormat="1" x14ac:dyDescent="0.2">
      <c r="A102" s="88"/>
      <c r="B102" s="86"/>
      <c r="C102" s="88"/>
      <c r="D102" s="88"/>
      <c r="E102" s="105"/>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row>
    <row r="103" spans="1:77" s="109" customFormat="1" x14ac:dyDescent="0.2">
      <c r="A103" s="88"/>
      <c r="B103" s="86"/>
      <c r="C103" s="88"/>
      <c r="D103" s="88"/>
      <c r="E103" s="105"/>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row>
    <row r="104" spans="1:77" s="109" customFormat="1" x14ac:dyDescent="0.2">
      <c r="A104" s="88"/>
      <c r="B104" s="86"/>
      <c r="C104" s="88"/>
      <c r="D104" s="88"/>
      <c r="E104" s="105"/>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row>
    <row r="105" spans="1:77" s="109" customFormat="1" x14ac:dyDescent="0.2">
      <c r="A105" s="88"/>
      <c r="B105" s="86"/>
      <c r="C105" s="88"/>
      <c r="D105" s="88"/>
      <c r="E105" s="105"/>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row>
    <row r="106" spans="1:77" s="109" customFormat="1" x14ac:dyDescent="0.2">
      <c r="A106" s="88"/>
      <c r="B106" s="86"/>
      <c r="C106" s="88"/>
      <c r="D106" s="88"/>
      <c r="E106" s="105"/>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row>
    <row r="107" spans="1:77" s="109" customFormat="1" x14ac:dyDescent="0.2">
      <c r="A107" s="88"/>
      <c r="B107" s="86"/>
      <c r="C107" s="88"/>
      <c r="D107" s="88"/>
      <c r="E107" s="105"/>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row>
    <row r="108" spans="1:77" s="109" customFormat="1" x14ac:dyDescent="0.2">
      <c r="A108" s="88"/>
      <c r="B108" s="86"/>
      <c r="C108" s="88"/>
      <c r="D108" s="88"/>
      <c r="E108" s="105"/>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row>
    <row r="109" spans="1:77" s="109" customFormat="1" x14ac:dyDescent="0.2">
      <c r="A109" s="88"/>
      <c r="B109" s="86"/>
      <c r="C109" s="88"/>
      <c r="D109" s="88"/>
      <c r="E109" s="105"/>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row>
    <row r="110" spans="1:77" s="109" customFormat="1" x14ac:dyDescent="0.2">
      <c r="A110" s="88"/>
      <c r="B110" s="86"/>
      <c r="C110" s="88"/>
      <c r="D110" s="88"/>
      <c r="E110" s="105"/>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row>
    <row r="111" spans="1:77" s="109" customFormat="1" x14ac:dyDescent="0.2">
      <c r="A111" s="88"/>
      <c r="B111" s="86"/>
      <c r="C111" s="88"/>
      <c r="D111" s="88"/>
      <c r="E111" s="105"/>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0"/>
      <c r="BF111" s="90"/>
      <c r="BG111" s="90"/>
      <c r="BH111" s="90"/>
      <c r="BI111" s="90"/>
      <c r="BJ111" s="90"/>
      <c r="BK111" s="90"/>
      <c r="BL111" s="90"/>
      <c r="BM111" s="90"/>
      <c r="BN111" s="90"/>
      <c r="BO111" s="90"/>
      <c r="BP111" s="90"/>
      <c r="BQ111" s="90"/>
      <c r="BR111" s="90"/>
      <c r="BS111" s="90"/>
      <c r="BT111" s="90"/>
      <c r="BU111" s="90"/>
      <c r="BV111" s="90"/>
      <c r="BW111" s="90"/>
      <c r="BX111" s="90"/>
      <c r="BY111" s="90"/>
    </row>
    <row r="112" spans="1:77" s="109" customFormat="1" x14ac:dyDescent="0.2">
      <c r="A112" s="88"/>
      <c r="B112" s="86"/>
      <c r="C112" s="88"/>
      <c r="D112" s="88"/>
      <c r="E112" s="105"/>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0"/>
      <c r="BF112" s="90"/>
      <c r="BG112" s="90"/>
      <c r="BH112" s="90"/>
      <c r="BI112" s="90"/>
      <c r="BJ112" s="90"/>
      <c r="BK112" s="90"/>
      <c r="BL112" s="90"/>
      <c r="BM112" s="90"/>
      <c r="BN112" s="90"/>
      <c r="BO112" s="90"/>
      <c r="BP112" s="90"/>
      <c r="BQ112" s="90"/>
      <c r="BR112" s="90"/>
      <c r="BS112" s="90"/>
      <c r="BT112" s="90"/>
      <c r="BU112" s="90"/>
      <c r="BV112" s="90"/>
      <c r="BW112" s="90"/>
      <c r="BX112" s="90"/>
      <c r="BY112" s="90"/>
    </row>
    <row r="113" spans="1:77" s="109" customFormat="1" x14ac:dyDescent="0.2">
      <c r="A113" s="88"/>
      <c r="B113" s="86"/>
      <c r="C113" s="88"/>
      <c r="D113" s="88"/>
      <c r="E113" s="105"/>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0"/>
      <c r="BF113" s="90"/>
      <c r="BG113" s="90"/>
      <c r="BH113" s="90"/>
      <c r="BI113" s="90"/>
      <c r="BJ113" s="90"/>
      <c r="BK113" s="90"/>
      <c r="BL113" s="90"/>
      <c r="BM113" s="90"/>
      <c r="BN113" s="90"/>
      <c r="BO113" s="90"/>
      <c r="BP113" s="90"/>
      <c r="BQ113" s="90"/>
      <c r="BR113" s="90"/>
      <c r="BS113" s="90"/>
      <c r="BT113" s="90"/>
      <c r="BU113" s="90"/>
      <c r="BV113" s="90"/>
      <c r="BW113" s="90"/>
      <c r="BX113" s="90"/>
      <c r="BY113" s="90"/>
    </row>
    <row r="114" spans="1:77" s="109" customFormat="1" x14ac:dyDescent="0.2">
      <c r="A114" s="88"/>
      <c r="B114" s="86"/>
      <c r="C114" s="88"/>
      <c r="D114" s="88"/>
      <c r="E114" s="105"/>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0"/>
      <c r="BV114" s="90"/>
      <c r="BW114" s="90"/>
      <c r="BX114" s="90"/>
      <c r="BY114" s="90"/>
    </row>
    <row r="115" spans="1:77" s="109" customFormat="1" x14ac:dyDescent="0.2">
      <c r="A115" s="88"/>
      <c r="B115" s="86"/>
      <c r="C115" s="88"/>
      <c r="D115" s="88"/>
      <c r="E115" s="105"/>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row>
    <row r="116" spans="1:77" s="109" customFormat="1" x14ac:dyDescent="0.2">
      <c r="A116" s="88"/>
      <c r="B116" s="86"/>
      <c r="C116" s="88"/>
      <c r="D116" s="88"/>
      <c r="E116" s="105"/>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row>
    <row r="117" spans="1:77" s="109" customFormat="1" x14ac:dyDescent="0.2">
      <c r="A117" s="88"/>
      <c r="B117" s="86"/>
      <c r="C117" s="88"/>
      <c r="D117" s="88"/>
      <c r="E117" s="105"/>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90"/>
      <c r="BW117" s="90"/>
      <c r="BX117" s="90"/>
      <c r="BY117" s="90"/>
    </row>
    <row r="118" spans="1:77" s="109" customFormat="1" x14ac:dyDescent="0.2">
      <c r="A118" s="88"/>
      <c r="B118" s="86"/>
      <c r="C118" s="88"/>
      <c r="D118" s="88"/>
      <c r="E118" s="105"/>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90"/>
      <c r="BW118" s="90"/>
      <c r="BX118" s="90"/>
      <c r="BY118" s="90"/>
    </row>
    <row r="119" spans="1:77" s="109" customFormat="1" x14ac:dyDescent="0.2">
      <c r="A119" s="88"/>
      <c r="B119" s="86"/>
      <c r="C119" s="88"/>
      <c r="D119" s="88"/>
      <c r="E119" s="105"/>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row>
    <row r="120" spans="1:77" s="109" customFormat="1" x14ac:dyDescent="0.2">
      <c r="A120" s="88"/>
      <c r="B120" s="86"/>
      <c r="C120" s="88"/>
      <c r="D120" s="88"/>
      <c r="E120" s="105"/>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row>
    <row r="121" spans="1:77" s="109" customFormat="1" x14ac:dyDescent="0.2">
      <c r="A121" s="88"/>
      <c r="B121" s="86"/>
      <c r="C121" s="88"/>
      <c r="D121" s="88"/>
      <c r="E121" s="105"/>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row>
    <row r="122" spans="1:77" s="109" customFormat="1" x14ac:dyDescent="0.2">
      <c r="A122" s="88"/>
      <c r="B122" s="86"/>
      <c r="C122" s="88"/>
      <c r="D122" s="88"/>
      <c r="E122" s="105"/>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row>
    <row r="123" spans="1:77" s="109" customFormat="1" x14ac:dyDescent="0.2">
      <c r="A123" s="88"/>
      <c r="B123" s="86"/>
      <c r="C123" s="88"/>
      <c r="D123" s="88"/>
      <c r="E123" s="105"/>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row>
    <row r="124" spans="1:77" s="109" customFormat="1" x14ac:dyDescent="0.2">
      <c r="A124" s="88"/>
      <c r="B124" s="86"/>
      <c r="C124" s="88"/>
      <c r="D124" s="88"/>
      <c r="E124" s="105"/>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row>
    <row r="125" spans="1:77" s="109" customFormat="1" x14ac:dyDescent="0.2">
      <c r="A125" s="88"/>
      <c r="B125" s="86"/>
      <c r="C125" s="88"/>
      <c r="D125" s="88"/>
      <c r="E125" s="105"/>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row>
    <row r="126" spans="1:77" s="109" customFormat="1" x14ac:dyDescent="0.2">
      <c r="A126" s="88"/>
      <c r="B126" s="86"/>
      <c r="C126" s="88"/>
      <c r="D126" s="88"/>
      <c r="E126" s="105"/>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0"/>
      <c r="BJ126" s="90"/>
      <c r="BK126" s="90"/>
      <c r="BL126" s="90"/>
      <c r="BM126" s="90"/>
      <c r="BN126" s="90"/>
      <c r="BO126" s="90"/>
      <c r="BP126" s="90"/>
      <c r="BQ126" s="90"/>
      <c r="BR126" s="90"/>
      <c r="BS126" s="90"/>
      <c r="BT126" s="90"/>
      <c r="BU126" s="90"/>
      <c r="BV126" s="90"/>
      <c r="BW126" s="90"/>
      <c r="BX126" s="90"/>
      <c r="BY126" s="90"/>
    </row>
    <row r="127" spans="1:77" s="109" customFormat="1" x14ac:dyDescent="0.2">
      <c r="A127" s="88"/>
      <c r="B127" s="86"/>
      <c r="C127" s="88"/>
      <c r="D127" s="88"/>
      <c r="E127" s="105"/>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row>
    <row r="128" spans="1:77" s="109" customFormat="1" x14ac:dyDescent="0.2">
      <c r="A128" s="88"/>
      <c r="B128" s="86"/>
      <c r="C128" s="88"/>
      <c r="D128" s="88"/>
      <c r="E128" s="105"/>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row>
    <row r="129" spans="1:77" s="109" customFormat="1" x14ac:dyDescent="0.2">
      <c r="A129" s="88"/>
      <c r="B129" s="86"/>
      <c r="C129" s="88"/>
      <c r="D129" s="88"/>
      <c r="E129" s="105"/>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90"/>
      <c r="BK129" s="90"/>
      <c r="BL129" s="90"/>
      <c r="BM129" s="90"/>
      <c r="BN129" s="90"/>
      <c r="BO129" s="90"/>
      <c r="BP129" s="90"/>
      <c r="BQ129" s="90"/>
      <c r="BR129" s="90"/>
      <c r="BS129" s="90"/>
      <c r="BT129" s="90"/>
      <c r="BU129" s="90"/>
      <c r="BV129" s="90"/>
      <c r="BW129" s="90"/>
      <c r="BX129" s="90"/>
      <c r="BY129" s="90"/>
    </row>
    <row r="130" spans="1:77" s="109" customFormat="1" x14ac:dyDescent="0.2">
      <c r="A130" s="88"/>
      <c r="B130" s="86"/>
      <c r="C130" s="88"/>
      <c r="D130" s="88"/>
      <c r="E130" s="105"/>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row>
    <row r="131" spans="1:77" s="109" customFormat="1" x14ac:dyDescent="0.2">
      <c r="A131" s="88"/>
      <c r="B131" s="86"/>
      <c r="C131" s="88"/>
      <c r="D131" s="88"/>
      <c r="E131" s="105"/>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0"/>
      <c r="BF131" s="90"/>
      <c r="BG131" s="90"/>
      <c r="BH131" s="90"/>
      <c r="BI131" s="90"/>
      <c r="BJ131" s="90"/>
      <c r="BK131" s="90"/>
      <c r="BL131" s="90"/>
      <c r="BM131" s="90"/>
      <c r="BN131" s="90"/>
      <c r="BO131" s="90"/>
      <c r="BP131" s="90"/>
      <c r="BQ131" s="90"/>
      <c r="BR131" s="90"/>
      <c r="BS131" s="90"/>
      <c r="BT131" s="90"/>
      <c r="BU131" s="90"/>
      <c r="BV131" s="90"/>
      <c r="BW131" s="90"/>
      <c r="BX131" s="90"/>
      <c r="BY131" s="90"/>
    </row>
    <row r="132" spans="1:77" s="109" customFormat="1" x14ac:dyDescent="0.2">
      <c r="A132" s="88"/>
      <c r="B132" s="86"/>
      <c r="C132" s="88"/>
      <c r="D132" s="88"/>
      <c r="E132" s="105"/>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0"/>
      <c r="BF132" s="90"/>
      <c r="BG132" s="90"/>
      <c r="BH132" s="90"/>
      <c r="BI132" s="90"/>
      <c r="BJ132" s="90"/>
      <c r="BK132" s="90"/>
      <c r="BL132" s="90"/>
      <c r="BM132" s="90"/>
      <c r="BN132" s="90"/>
      <c r="BO132" s="90"/>
      <c r="BP132" s="90"/>
      <c r="BQ132" s="90"/>
      <c r="BR132" s="90"/>
      <c r="BS132" s="90"/>
      <c r="BT132" s="90"/>
      <c r="BU132" s="90"/>
      <c r="BV132" s="90"/>
      <c r="BW132" s="90"/>
      <c r="BX132" s="90"/>
      <c r="BY132" s="90"/>
    </row>
    <row r="133" spans="1:77" s="109" customFormat="1" x14ac:dyDescent="0.2">
      <c r="A133" s="88"/>
      <c r="B133" s="86"/>
      <c r="C133" s="88"/>
      <c r="D133" s="88"/>
      <c r="E133" s="105"/>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90"/>
      <c r="BT133" s="90"/>
      <c r="BU133" s="90"/>
      <c r="BV133" s="90"/>
      <c r="BW133" s="90"/>
      <c r="BX133" s="90"/>
      <c r="BY133" s="90"/>
    </row>
    <row r="134" spans="1:77" s="109" customFormat="1" x14ac:dyDescent="0.2">
      <c r="A134" s="88"/>
      <c r="B134" s="86"/>
      <c r="C134" s="88"/>
      <c r="D134" s="88"/>
      <c r="E134" s="105"/>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0"/>
      <c r="BF134" s="90"/>
      <c r="BG134" s="90"/>
      <c r="BH134" s="90"/>
      <c r="BI134" s="90"/>
      <c r="BJ134" s="90"/>
      <c r="BK134" s="90"/>
      <c r="BL134" s="90"/>
      <c r="BM134" s="90"/>
      <c r="BN134" s="90"/>
      <c r="BO134" s="90"/>
      <c r="BP134" s="90"/>
      <c r="BQ134" s="90"/>
      <c r="BR134" s="90"/>
      <c r="BS134" s="90"/>
      <c r="BT134" s="90"/>
      <c r="BU134" s="90"/>
      <c r="BV134" s="90"/>
      <c r="BW134" s="90"/>
      <c r="BX134" s="90"/>
      <c r="BY134" s="90"/>
    </row>
    <row r="135" spans="1:77" s="109" customFormat="1" x14ac:dyDescent="0.2">
      <c r="A135" s="88"/>
      <c r="B135" s="86"/>
      <c r="C135" s="88"/>
      <c r="D135" s="88"/>
      <c r="E135" s="105"/>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0"/>
      <c r="BF135" s="90"/>
      <c r="BG135" s="90"/>
      <c r="BH135" s="90"/>
      <c r="BI135" s="90"/>
      <c r="BJ135" s="90"/>
      <c r="BK135" s="90"/>
      <c r="BL135" s="90"/>
      <c r="BM135" s="90"/>
      <c r="BN135" s="90"/>
      <c r="BO135" s="90"/>
      <c r="BP135" s="90"/>
      <c r="BQ135" s="90"/>
      <c r="BR135" s="90"/>
      <c r="BS135" s="90"/>
      <c r="BT135" s="90"/>
      <c r="BU135" s="90"/>
      <c r="BV135" s="90"/>
      <c r="BW135" s="90"/>
      <c r="BX135" s="90"/>
      <c r="BY135" s="90"/>
    </row>
    <row r="136" spans="1:77" s="109" customFormat="1" x14ac:dyDescent="0.2">
      <c r="A136" s="88"/>
      <c r="B136" s="86"/>
      <c r="C136" s="88"/>
      <c r="D136" s="88"/>
      <c r="E136" s="105"/>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0"/>
      <c r="BF136" s="90"/>
      <c r="BG136" s="90"/>
      <c r="BH136" s="90"/>
      <c r="BI136" s="90"/>
      <c r="BJ136" s="90"/>
      <c r="BK136" s="90"/>
      <c r="BL136" s="90"/>
      <c r="BM136" s="90"/>
      <c r="BN136" s="90"/>
      <c r="BO136" s="90"/>
      <c r="BP136" s="90"/>
      <c r="BQ136" s="90"/>
      <c r="BR136" s="90"/>
      <c r="BS136" s="90"/>
      <c r="BT136" s="90"/>
      <c r="BU136" s="90"/>
      <c r="BV136" s="90"/>
      <c r="BW136" s="90"/>
      <c r="BX136" s="90"/>
      <c r="BY136" s="90"/>
    </row>
    <row r="137" spans="1:77" s="109" customFormat="1" x14ac:dyDescent="0.2">
      <c r="A137" s="88"/>
      <c r="B137" s="86"/>
      <c r="C137" s="88"/>
      <c r="D137" s="88"/>
      <c r="E137" s="105"/>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90"/>
      <c r="BT137" s="90"/>
      <c r="BU137" s="90"/>
      <c r="BV137" s="90"/>
      <c r="BW137" s="90"/>
      <c r="BX137" s="90"/>
      <c r="BY137" s="90"/>
    </row>
    <row r="138" spans="1:77" s="109" customFormat="1" x14ac:dyDescent="0.2">
      <c r="A138" s="88"/>
      <c r="B138" s="86"/>
      <c r="C138" s="88"/>
      <c r="D138" s="88"/>
      <c r="E138" s="105"/>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0"/>
      <c r="BF138" s="90"/>
      <c r="BG138" s="90"/>
      <c r="BH138" s="90"/>
      <c r="BI138" s="90"/>
      <c r="BJ138" s="90"/>
      <c r="BK138" s="90"/>
      <c r="BL138" s="90"/>
      <c r="BM138" s="90"/>
      <c r="BN138" s="90"/>
      <c r="BO138" s="90"/>
      <c r="BP138" s="90"/>
      <c r="BQ138" s="90"/>
      <c r="BR138" s="90"/>
      <c r="BS138" s="90"/>
      <c r="BT138" s="90"/>
      <c r="BU138" s="90"/>
      <c r="BV138" s="90"/>
      <c r="BW138" s="90"/>
      <c r="BX138" s="90"/>
      <c r="BY138" s="90"/>
    </row>
    <row r="139" spans="1:77" s="109" customFormat="1" x14ac:dyDescent="0.2">
      <c r="A139" s="88"/>
      <c r="B139" s="86"/>
      <c r="C139" s="88"/>
      <c r="D139" s="88"/>
      <c r="E139" s="105"/>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c r="AY139" s="90"/>
      <c r="AZ139" s="90"/>
      <c r="BA139" s="90"/>
      <c r="BB139" s="90"/>
      <c r="BC139" s="90"/>
      <c r="BD139" s="90"/>
      <c r="BE139" s="90"/>
      <c r="BF139" s="90"/>
      <c r="BG139" s="90"/>
      <c r="BH139" s="90"/>
      <c r="BI139" s="90"/>
      <c r="BJ139" s="90"/>
      <c r="BK139" s="90"/>
      <c r="BL139" s="90"/>
      <c r="BM139" s="90"/>
      <c r="BN139" s="90"/>
      <c r="BO139" s="90"/>
      <c r="BP139" s="90"/>
      <c r="BQ139" s="90"/>
      <c r="BR139" s="90"/>
      <c r="BS139" s="90"/>
      <c r="BT139" s="90"/>
      <c r="BU139" s="90"/>
      <c r="BV139" s="90"/>
      <c r="BW139" s="90"/>
      <c r="BX139" s="90"/>
      <c r="BY139" s="90"/>
    </row>
    <row r="140" spans="1:77" s="109" customFormat="1" x14ac:dyDescent="0.2">
      <c r="A140" s="88"/>
      <c r="B140" s="86"/>
      <c r="C140" s="88"/>
      <c r="D140" s="88"/>
      <c r="E140" s="105"/>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0"/>
      <c r="BF140" s="90"/>
      <c r="BG140" s="90"/>
      <c r="BH140" s="90"/>
      <c r="BI140" s="90"/>
      <c r="BJ140" s="90"/>
      <c r="BK140" s="90"/>
      <c r="BL140" s="90"/>
      <c r="BM140" s="90"/>
      <c r="BN140" s="90"/>
      <c r="BO140" s="90"/>
      <c r="BP140" s="90"/>
      <c r="BQ140" s="90"/>
      <c r="BR140" s="90"/>
      <c r="BS140" s="90"/>
      <c r="BT140" s="90"/>
      <c r="BU140" s="90"/>
      <c r="BV140" s="90"/>
      <c r="BW140" s="90"/>
      <c r="BX140" s="90"/>
      <c r="BY140" s="90"/>
    </row>
    <row r="141" spans="1:77" s="109" customFormat="1" x14ac:dyDescent="0.2">
      <c r="A141" s="88"/>
      <c r="B141" s="86"/>
      <c r="C141" s="88"/>
      <c r="D141" s="88"/>
      <c r="E141" s="105"/>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0"/>
      <c r="BF141" s="90"/>
      <c r="BG141" s="90"/>
      <c r="BH141" s="90"/>
      <c r="BI141" s="90"/>
      <c r="BJ141" s="90"/>
      <c r="BK141" s="90"/>
      <c r="BL141" s="90"/>
      <c r="BM141" s="90"/>
      <c r="BN141" s="90"/>
      <c r="BO141" s="90"/>
      <c r="BP141" s="90"/>
      <c r="BQ141" s="90"/>
      <c r="BR141" s="90"/>
      <c r="BS141" s="90"/>
      <c r="BT141" s="90"/>
      <c r="BU141" s="90"/>
      <c r="BV141" s="90"/>
      <c r="BW141" s="90"/>
      <c r="BX141" s="90"/>
      <c r="BY141" s="90"/>
    </row>
    <row r="142" spans="1:77" s="109" customFormat="1" x14ac:dyDescent="0.2">
      <c r="A142" s="88"/>
      <c r="B142" s="86"/>
      <c r="C142" s="88"/>
      <c r="D142" s="88"/>
      <c r="E142" s="105"/>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0"/>
      <c r="BG142" s="90"/>
      <c r="BH142" s="90"/>
      <c r="BI142" s="90"/>
      <c r="BJ142" s="90"/>
      <c r="BK142" s="90"/>
      <c r="BL142" s="90"/>
      <c r="BM142" s="90"/>
      <c r="BN142" s="90"/>
      <c r="BO142" s="90"/>
      <c r="BP142" s="90"/>
      <c r="BQ142" s="90"/>
      <c r="BR142" s="90"/>
      <c r="BS142" s="90"/>
      <c r="BT142" s="90"/>
      <c r="BU142" s="90"/>
      <c r="BV142" s="90"/>
      <c r="BW142" s="90"/>
      <c r="BX142" s="90"/>
      <c r="BY142" s="90"/>
    </row>
    <row r="143" spans="1:77" s="109" customFormat="1" x14ac:dyDescent="0.2">
      <c r="A143" s="88"/>
      <c r="B143" s="86"/>
      <c r="C143" s="88"/>
      <c r="D143" s="88"/>
      <c r="E143" s="105"/>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c r="AY143" s="90"/>
      <c r="AZ143" s="90"/>
      <c r="BA143" s="90"/>
      <c r="BB143" s="90"/>
      <c r="BC143" s="90"/>
      <c r="BD143" s="90"/>
      <c r="BE143" s="90"/>
      <c r="BF143" s="90"/>
      <c r="BG143" s="90"/>
      <c r="BH143" s="90"/>
      <c r="BI143" s="90"/>
      <c r="BJ143" s="90"/>
      <c r="BK143" s="90"/>
      <c r="BL143" s="90"/>
      <c r="BM143" s="90"/>
      <c r="BN143" s="90"/>
      <c r="BO143" s="90"/>
      <c r="BP143" s="90"/>
      <c r="BQ143" s="90"/>
      <c r="BR143" s="90"/>
      <c r="BS143" s="90"/>
      <c r="BT143" s="90"/>
      <c r="BU143" s="90"/>
      <c r="BV143" s="90"/>
      <c r="BW143" s="90"/>
      <c r="BX143" s="90"/>
      <c r="BY143" s="90"/>
    </row>
    <row r="144" spans="1:77" s="109" customFormat="1" x14ac:dyDescent="0.2">
      <c r="A144" s="88"/>
      <c r="B144" s="86"/>
      <c r="C144" s="88"/>
      <c r="D144" s="88"/>
      <c r="E144" s="105"/>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c r="AY144" s="90"/>
      <c r="AZ144" s="90"/>
      <c r="BA144" s="90"/>
      <c r="BB144" s="90"/>
      <c r="BC144" s="90"/>
      <c r="BD144" s="90"/>
      <c r="BE144" s="90"/>
      <c r="BF144" s="90"/>
      <c r="BG144" s="90"/>
      <c r="BH144" s="90"/>
      <c r="BI144" s="90"/>
      <c r="BJ144" s="90"/>
      <c r="BK144" s="90"/>
      <c r="BL144" s="90"/>
      <c r="BM144" s="90"/>
      <c r="BN144" s="90"/>
      <c r="BO144" s="90"/>
      <c r="BP144" s="90"/>
      <c r="BQ144" s="90"/>
      <c r="BR144" s="90"/>
      <c r="BS144" s="90"/>
      <c r="BT144" s="90"/>
      <c r="BU144" s="90"/>
      <c r="BV144" s="90"/>
      <c r="BW144" s="90"/>
      <c r="BX144" s="90"/>
      <c r="BY144" s="90"/>
    </row>
    <row r="145" spans="1:77" s="109" customFormat="1" x14ac:dyDescent="0.2">
      <c r="A145" s="88"/>
      <c r="B145" s="86"/>
      <c r="C145" s="88"/>
      <c r="D145" s="88"/>
      <c r="E145" s="105"/>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row>
    <row r="146" spans="1:77" s="109" customFormat="1" x14ac:dyDescent="0.2">
      <c r="A146" s="88"/>
      <c r="B146" s="86"/>
      <c r="C146" s="88"/>
      <c r="D146" s="88"/>
      <c r="E146" s="105"/>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0"/>
      <c r="BD146" s="90"/>
      <c r="BE146" s="90"/>
      <c r="BF146" s="90"/>
      <c r="BG146" s="90"/>
      <c r="BH146" s="90"/>
      <c r="BI146" s="90"/>
      <c r="BJ146" s="90"/>
      <c r="BK146" s="90"/>
      <c r="BL146" s="90"/>
      <c r="BM146" s="90"/>
      <c r="BN146" s="90"/>
      <c r="BO146" s="90"/>
      <c r="BP146" s="90"/>
      <c r="BQ146" s="90"/>
      <c r="BR146" s="90"/>
      <c r="BS146" s="90"/>
      <c r="BT146" s="90"/>
      <c r="BU146" s="90"/>
      <c r="BV146" s="90"/>
      <c r="BW146" s="90"/>
      <c r="BX146" s="90"/>
      <c r="BY146" s="90"/>
    </row>
    <row r="147" spans="1:77" s="109" customFormat="1" x14ac:dyDescent="0.2">
      <c r="A147" s="88"/>
      <c r="B147" s="86"/>
      <c r="C147" s="88"/>
      <c r="D147" s="88"/>
      <c r="E147" s="105"/>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c r="AY147" s="90"/>
      <c r="AZ147" s="90"/>
      <c r="BA147" s="90"/>
      <c r="BB147" s="90"/>
      <c r="BC147" s="90"/>
      <c r="BD147" s="90"/>
      <c r="BE147" s="90"/>
      <c r="BF147" s="90"/>
      <c r="BG147" s="90"/>
      <c r="BH147" s="90"/>
      <c r="BI147" s="90"/>
      <c r="BJ147" s="90"/>
      <c r="BK147" s="90"/>
      <c r="BL147" s="90"/>
      <c r="BM147" s="90"/>
      <c r="BN147" s="90"/>
      <c r="BO147" s="90"/>
      <c r="BP147" s="90"/>
      <c r="BQ147" s="90"/>
      <c r="BR147" s="90"/>
      <c r="BS147" s="90"/>
      <c r="BT147" s="90"/>
      <c r="BU147" s="90"/>
      <c r="BV147" s="90"/>
      <c r="BW147" s="90"/>
      <c r="BX147" s="90"/>
      <c r="BY147" s="90"/>
    </row>
    <row r="148" spans="1:77" s="109" customFormat="1" x14ac:dyDescent="0.2">
      <c r="A148" s="88"/>
      <c r="B148" s="86"/>
      <c r="C148" s="88"/>
      <c r="D148" s="88"/>
      <c r="E148" s="105"/>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90"/>
      <c r="BT148" s="90"/>
      <c r="BU148" s="90"/>
      <c r="BV148" s="90"/>
      <c r="BW148" s="90"/>
      <c r="BX148" s="90"/>
      <c r="BY148" s="90"/>
    </row>
    <row r="149" spans="1:77" s="109" customFormat="1" x14ac:dyDescent="0.2">
      <c r="A149" s="88"/>
      <c r="B149" s="86"/>
      <c r="C149" s="88"/>
      <c r="D149" s="88"/>
      <c r="E149" s="105"/>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c r="AY149" s="90"/>
      <c r="AZ149" s="90"/>
      <c r="BA149" s="90"/>
      <c r="BB149" s="90"/>
      <c r="BC149" s="90"/>
      <c r="BD149" s="90"/>
      <c r="BE149" s="90"/>
      <c r="BF149" s="90"/>
      <c r="BG149" s="90"/>
      <c r="BH149" s="90"/>
      <c r="BI149" s="90"/>
      <c r="BJ149" s="90"/>
      <c r="BK149" s="90"/>
      <c r="BL149" s="90"/>
      <c r="BM149" s="90"/>
      <c r="BN149" s="90"/>
      <c r="BO149" s="90"/>
      <c r="BP149" s="90"/>
      <c r="BQ149" s="90"/>
      <c r="BR149" s="90"/>
      <c r="BS149" s="90"/>
      <c r="BT149" s="90"/>
      <c r="BU149" s="90"/>
      <c r="BV149" s="90"/>
      <c r="BW149" s="90"/>
      <c r="BX149" s="90"/>
      <c r="BY149" s="90"/>
    </row>
    <row r="150" spans="1:77" s="109" customFormat="1" x14ac:dyDescent="0.2">
      <c r="A150" s="88"/>
      <c r="B150" s="86"/>
      <c r="C150" s="88"/>
      <c r="D150" s="88"/>
      <c r="E150" s="105"/>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c r="AY150" s="90"/>
      <c r="AZ150" s="90"/>
      <c r="BA150" s="90"/>
      <c r="BB150" s="90"/>
      <c r="BC150" s="90"/>
      <c r="BD150" s="90"/>
      <c r="BE150" s="90"/>
      <c r="BF150" s="90"/>
      <c r="BG150" s="90"/>
      <c r="BH150" s="90"/>
      <c r="BI150" s="90"/>
      <c r="BJ150" s="90"/>
      <c r="BK150" s="90"/>
      <c r="BL150" s="90"/>
      <c r="BM150" s="90"/>
      <c r="BN150" s="90"/>
      <c r="BO150" s="90"/>
      <c r="BP150" s="90"/>
      <c r="BQ150" s="90"/>
      <c r="BR150" s="90"/>
      <c r="BS150" s="90"/>
      <c r="BT150" s="90"/>
      <c r="BU150" s="90"/>
      <c r="BV150" s="90"/>
      <c r="BW150" s="90"/>
      <c r="BX150" s="90"/>
      <c r="BY150" s="90"/>
    </row>
    <row r="151" spans="1:77" s="109" customFormat="1" x14ac:dyDescent="0.2">
      <c r="A151" s="88"/>
      <c r="B151" s="86"/>
      <c r="C151" s="88"/>
      <c r="D151" s="88"/>
      <c r="E151" s="105"/>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c r="AY151" s="90"/>
      <c r="AZ151" s="90"/>
      <c r="BA151" s="90"/>
      <c r="BB151" s="90"/>
      <c r="BC151" s="90"/>
      <c r="BD151" s="90"/>
      <c r="BE151" s="90"/>
      <c r="BF151" s="90"/>
      <c r="BG151" s="90"/>
      <c r="BH151" s="90"/>
      <c r="BI151" s="90"/>
      <c r="BJ151" s="90"/>
      <c r="BK151" s="90"/>
      <c r="BL151" s="90"/>
      <c r="BM151" s="90"/>
      <c r="BN151" s="90"/>
      <c r="BO151" s="90"/>
      <c r="BP151" s="90"/>
      <c r="BQ151" s="90"/>
      <c r="BR151" s="90"/>
      <c r="BS151" s="90"/>
      <c r="BT151" s="90"/>
      <c r="BU151" s="90"/>
      <c r="BV151" s="90"/>
      <c r="BW151" s="90"/>
      <c r="BX151" s="90"/>
      <c r="BY151" s="90"/>
    </row>
    <row r="152" spans="1:77" s="109" customFormat="1" x14ac:dyDescent="0.2">
      <c r="A152" s="88"/>
      <c r="B152" s="86"/>
      <c r="C152" s="88"/>
      <c r="D152" s="88"/>
      <c r="E152" s="105"/>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0"/>
      <c r="BF152" s="90"/>
      <c r="BG152" s="90"/>
      <c r="BH152" s="90"/>
      <c r="BI152" s="90"/>
      <c r="BJ152" s="90"/>
      <c r="BK152" s="90"/>
      <c r="BL152" s="90"/>
      <c r="BM152" s="90"/>
      <c r="BN152" s="90"/>
      <c r="BO152" s="90"/>
      <c r="BP152" s="90"/>
      <c r="BQ152" s="90"/>
      <c r="BR152" s="90"/>
      <c r="BS152" s="90"/>
      <c r="BT152" s="90"/>
      <c r="BU152" s="90"/>
      <c r="BV152" s="90"/>
      <c r="BW152" s="90"/>
      <c r="BX152" s="90"/>
      <c r="BY152" s="90"/>
    </row>
    <row r="153" spans="1:77" s="109" customFormat="1" x14ac:dyDescent="0.2">
      <c r="A153" s="88"/>
      <c r="B153" s="86"/>
      <c r="C153" s="88"/>
      <c r="D153" s="88"/>
      <c r="E153" s="105"/>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0"/>
      <c r="BF153" s="90"/>
      <c r="BG153" s="90"/>
      <c r="BH153" s="90"/>
      <c r="BI153" s="90"/>
      <c r="BJ153" s="90"/>
      <c r="BK153" s="90"/>
      <c r="BL153" s="90"/>
      <c r="BM153" s="90"/>
      <c r="BN153" s="90"/>
      <c r="BO153" s="90"/>
      <c r="BP153" s="90"/>
      <c r="BQ153" s="90"/>
      <c r="BR153" s="90"/>
      <c r="BS153" s="90"/>
      <c r="BT153" s="90"/>
      <c r="BU153" s="90"/>
      <c r="BV153" s="90"/>
      <c r="BW153" s="90"/>
      <c r="BX153" s="90"/>
      <c r="BY153" s="90"/>
    </row>
    <row r="154" spans="1:77" s="109" customFormat="1" x14ac:dyDescent="0.2">
      <c r="A154" s="88"/>
      <c r="B154" s="86"/>
      <c r="C154" s="88"/>
      <c r="D154" s="88"/>
      <c r="E154" s="105"/>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c r="AY154" s="90"/>
      <c r="AZ154" s="90"/>
      <c r="BA154" s="90"/>
      <c r="BB154" s="90"/>
      <c r="BC154" s="90"/>
      <c r="BD154" s="90"/>
      <c r="BE154" s="90"/>
      <c r="BF154" s="90"/>
      <c r="BG154" s="90"/>
      <c r="BH154" s="90"/>
      <c r="BI154" s="90"/>
      <c r="BJ154" s="90"/>
      <c r="BK154" s="90"/>
      <c r="BL154" s="90"/>
      <c r="BM154" s="90"/>
      <c r="BN154" s="90"/>
      <c r="BO154" s="90"/>
      <c r="BP154" s="90"/>
      <c r="BQ154" s="90"/>
      <c r="BR154" s="90"/>
      <c r="BS154" s="90"/>
      <c r="BT154" s="90"/>
      <c r="BU154" s="90"/>
      <c r="BV154" s="90"/>
      <c r="BW154" s="90"/>
      <c r="BX154" s="90"/>
      <c r="BY154" s="90"/>
    </row>
    <row r="155" spans="1:77" s="109" customFormat="1" x14ac:dyDescent="0.2">
      <c r="A155" s="88"/>
      <c r="B155" s="86"/>
      <c r="C155" s="88"/>
      <c r="D155" s="88"/>
      <c r="E155" s="105"/>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0"/>
      <c r="BF155" s="90"/>
      <c r="BG155" s="90"/>
      <c r="BH155" s="90"/>
      <c r="BI155" s="90"/>
      <c r="BJ155" s="90"/>
      <c r="BK155" s="90"/>
      <c r="BL155" s="90"/>
      <c r="BM155" s="90"/>
      <c r="BN155" s="90"/>
      <c r="BO155" s="90"/>
      <c r="BP155" s="90"/>
      <c r="BQ155" s="90"/>
      <c r="BR155" s="90"/>
      <c r="BS155" s="90"/>
      <c r="BT155" s="90"/>
      <c r="BU155" s="90"/>
      <c r="BV155" s="90"/>
      <c r="BW155" s="90"/>
      <c r="BX155" s="90"/>
      <c r="BY155" s="90"/>
    </row>
    <row r="156" spans="1:77" s="109" customFormat="1" x14ac:dyDescent="0.2">
      <c r="A156" s="88"/>
      <c r="B156" s="86"/>
      <c r="C156" s="88"/>
      <c r="D156" s="88"/>
      <c r="E156" s="105"/>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c r="AY156" s="90"/>
      <c r="AZ156" s="90"/>
      <c r="BA156" s="90"/>
      <c r="BB156" s="90"/>
      <c r="BC156" s="90"/>
      <c r="BD156" s="90"/>
      <c r="BE156" s="90"/>
      <c r="BF156" s="90"/>
      <c r="BG156" s="90"/>
      <c r="BH156" s="90"/>
      <c r="BI156" s="90"/>
      <c r="BJ156" s="90"/>
      <c r="BK156" s="90"/>
      <c r="BL156" s="90"/>
      <c r="BM156" s="90"/>
      <c r="BN156" s="90"/>
      <c r="BO156" s="90"/>
      <c r="BP156" s="90"/>
      <c r="BQ156" s="90"/>
      <c r="BR156" s="90"/>
      <c r="BS156" s="90"/>
      <c r="BT156" s="90"/>
      <c r="BU156" s="90"/>
      <c r="BV156" s="90"/>
      <c r="BW156" s="90"/>
      <c r="BX156" s="90"/>
      <c r="BY156" s="90"/>
    </row>
    <row r="157" spans="1:77" s="109" customFormat="1" x14ac:dyDescent="0.2">
      <c r="A157" s="88"/>
      <c r="B157" s="86"/>
      <c r="C157" s="88"/>
      <c r="D157" s="88"/>
      <c r="E157" s="105"/>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c r="AY157" s="90"/>
      <c r="AZ157" s="90"/>
      <c r="BA157" s="90"/>
      <c r="BB157" s="90"/>
      <c r="BC157" s="90"/>
      <c r="BD157" s="90"/>
      <c r="BE157" s="90"/>
      <c r="BF157" s="90"/>
      <c r="BG157" s="90"/>
      <c r="BH157" s="90"/>
      <c r="BI157" s="90"/>
      <c r="BJ157" s="90"/>
      <c r="BK157" s="90"/>
      <c r="BL157" s="90"/>
      <c r="BM157" s="90"/>
      <c r="BN157" s="90"/>
      <c r="BO157" s="90"/>
      <c r="BP157" s="90"/>
      <c r="BQ157" s="90"/>
      <c r="BR157" s="90"/>
      <c r="BS157" s="90"/>
      <c r="BT157" s="90"/>
      <c r="BU157" s="90"/>
      <c r="BV157" s="90"/>
      <c r="BW157" s="90"/>
      <c r="BX157" s="90"/>
      <c r="BY157" s="90"/>
    </row>
    <row r="158" spans="1:77" s="109" customFormat="1" x14ac:dyDescent="0.2">
      <c r="A158" s="88"/>
      <c r="B158" s="86"/>
      <c r="C158" s="88"/>
      <c r="D158" s="88"/>
      <c r="E158" s="105"/>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90"/>
      <c r="BF158" s="90"/>
      <c r="BG158" s="90"/>
      <c r="BH158" s="90"/>
      <c r="BI158" s="90"/>
      <c r="BJ158" s="90"/>
      <c r="BK158" s="90"/>
      <c r="BL158" s="90"/>
      <c r="BM158" s="90"/>
      <c r="BN158" s="90"/>
      <c r="BO158" s="90"/>
      <c r="BP158" s="90"/>
      <c r="BQ158" s="90"/>
      <c r="BR158" s="90"/>
      <c r="BS158" s="90"/>
      <c r="BT158" s="90"/>
      <c r="BU158" s="90"/>
      <c r="BV158" s="90"/>
      <c r="BW158" s="90"/>
      <c r="BX158" s="90"/>
      <c r="BY158" s="90"/>
    </row>
    <row r="159" spans="1:77" s="109" customFormat="1" x14ac:dyDescent="0.2">
      <c r="A159" s="88"/>
      <c r="B159" s="86"/>
      <c r="C159" s="88"/>
      <c r="D159" s="88"/>
      <c r="E159" s="105"/>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90"/>
      <c r="BF159" s="90"/>
      <c r="BG159" s="90"/>
      <c r="BH159" s="90"/>
      <c r="BI159" s="90"/>
      <c r="BJ159" s="90"/>
      <c r="BK159" s="90"/>
      <c r="BL159" s="90"/>
      <c r="BM159" s="90"/>
      <c r="BN159" s="90"/>
      <c r="BO159" s="90"/>
      <c r="BP159" s="90"/>
      <c r="BQ159" s="90"/>
      <c r="BR159" s="90"/>
      <c r="BS159" s="90"/>
      <c r="BT159" s="90"/>
      <c r="BU159" s="90"/>
      <c r="BV159" s="90"/>
      <c r="BW159" s="90"/>
      <c r="BX159" s="90"/>
      <c r="BY159" s="90"/>
    </row>
    <row r="160" spans="1:77" s="109" customFormat="1" x14ac:dyDescent="0.2">
      <c r="A160" s="88"/>
      <c r="B160" s="86"/>
      <c r="C160" s="88"/>
      <c r="D160" s="88"/>
      <c r="E160" s="105"/>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0"/>
      <c r="BS160" s="90"/>
      <c r="BT160" s="90"/>
      <c r="BU160" s="90"/>
      <c r="BV160" s="90"/>
      <c r="BW160" s="90"/>
      <c r="BX160" s="90"/>
      <c r="BY160" s="90"/>
    </row>
    <row r="161" spans="1:77" s="109" customFormat="1" x14ac:dyDescent="0.2">
      <c r="A161" s="88"/>
      <c r="B161" s="86"/>
      <c r="C161" s="88"/>
      <c r="D161" s="88"/>
      <c r="E161" s="105"/>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0"/>
      <c r="BS161" s="90"/>
      <c r="BT161" s="90"/>
      <c r="BU161" s="90"/>
      <c r="BV161" s="90"/>
      <c r="BW161" s="90"/>
      <c r="BX161" s="90"/>
      <c r="BY161" s="90"/>
    </row>
    <row r="162" spans="1:77" s="109" customFormat="1" x14ac:dyDescent="0.2">
      <c r="A162" s="88"/>
      <c r="B162" s="86"/>
      <c r="C162" s="88"/>
      <c r="D162" s="88"/>
      <c r="E162" s="105"/>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0"/>
      <c r="BS162" s="90"/>
      <c r="BT162" s="90"/>
      <c r="BU162" s="90"/>
      <c r="BV162" s="90"/>
      <c r="BW162" s="90"/>
      <c r="BX162" s="90"/>
      <c r="BY162" s="90"/>
    </row>
    <row r="163" spans="1:77" s="109" customFormat="1" x14ac:dyDescent="0.2">
      <c r="A163" s="88"/>
      <c r="B163" s="86"/>
      <c r="C163" s="88"/>
      <c r="D163" s="88"/>
      <c r="E163" s="105"/>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90"/>
      <c r="BF163" s="90"/>
      <c r="BG163" s="90"/>
      <c r="BH163" s="90"/>
      <c r="BI163" s="90"/>
      <c r="BJ163" s="90"/>
      <c r="BK163" s="90"/>
      <c r="BL163" s="90"/>
      <c r="BM163" s="90"/>
      <c r="BN163" s="90"/>
      <c r="BO163" s="90"/>
      <c r="BP163" s="90"/>
      <c r="BQ163" s="90"/>
      <c r="BR163" s="90"/>
      <c r="BS163" s="90"/>
      <c r="BT163" s="90"/>
      <c r="BU163" s="90"/>
      <c r="BV163" s="90"/>
      <c r="BW163" s="90"/>
      <c r="BX163" s="90"/>
      <c r="BY163" s="90"/>
    </row>
    <row r="164" spans="1:77" s="109" customFormat="1" x14ac:dyDescent="0.2">
      <c r="A164" s="88"/>
      <c r="B164" s="86"/>
      <c r="C164" s="88"/>
      <c r="D164" s="88"/>
      <c r="E164" s="105"/>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90"/>
      <c r="BF164" s="90"/>
      <c r="BG164" s="90"/>
      <c r="BH164" s="90"/>
      <c r="BI164" s="90"/>
      <c r="BJ164" s="90"/>
      <c r="BK164" s="90"/>
      <c r="BL164" s="90"/>
      <c r="BM164" s="90"/>
      <c r="BN164" s="90"/>
      <c r="BO164" s="90"/>
      <c r="BP164" s="90"/>
      <c r="BQ164" s="90"/>
      <c r="BR164" s="90"/>
      <c r="BS164" s="90"/>
      <c r="BT164" s="90"/>
      <c r="BU164" s="90"/>
      <c r="BV164" s="90"/>
      <c r="BW164" s="90"/>
      <c r="BX164" s="90"/>
      <c r="BY164" s="90"/>
    </row>
    <row r="165" spans="1:77" s="109" customFormat="1" x14ac:dyDescent="0.2">
      <c r="A165" s="88"/>
      <c r="B165" s="86"/>
      <c r="C165" s="88"/>
      <c r="D165" s="88"/>
      <c r="E165" s="105"/>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90"/>
      <c r="BF165" s="90"/>
      <c r="BG165" s="90"/>
      <c r="BH165" s="90"/>
      <c r="BI165" s="90"/>
      <c r="BJ165" s="90"/>
      <c r="BK165" s="90"/>
      <c r="BL165" s="90"/>
      <c r="BM165" s="90"/>
      <c r="BN165" s="90"/>
      <c r="BO165" s="90"/>
      <c r="BP165" s="90"/>
      <c r="BQ165" s="90"/>
      <c r="BR165" s="90"/>
      <c r="BS165" s="90"/>
      <c r="BT165" s="90"/>
      <c r="BU165" s="90"/>
      <c r="BV165" s="90"/>
      <c r="BW165" s="90"/>
      <c r="BX165" s="90"/>
      <c r="BY165" s="90"/>
    </row>
    <row r="166" spans="1:77" s="109" customFormat="1" x14ac:dyDescent="0.2">
      <c r="A166" s="88"/>
      <c r="B166" s="86"/>
      <c r="C166" s="88"/>
      <c r="D166" s="88"/>
      <c r="E166" s="105"/>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0"/>
      <c r="BJ166" s="90"/>
      <c r="BK166" s="90"/>
      <c r="BL166" s="90"/>
      <c r="BM166" s="90"/>
      <c r="BN166" s="90"/>
      <c r="BO166" s="90"/>
      <c r="BP166" s="90"/>
      <c r="BQ166" s="90"/>
      <c r="BR166" s="90"/>
      <c r="BS166" s="90"/>
      <c r="BT166" s="90"/>
      <c r="BU166" s="90"/>
      <c r="BV166" s="90"/>
      <c r="BW166" s="90"/>
      <c r="BX166" s="90"/>
      <c r="BY166" s="90"/>
    </row>
    <row r="167" spans="1:77" s="109" customFormat="1" x14ac:dyDescent="0.2">
      <c r="A167" s="88"/>
      <c r="B167" s="86"/>
      <c r="C167" s="88"/>
      <c r="D167" s="88"/>
      <c r="E167" s="105"/>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90"/>
      <c r="BF167" s="90"/>
      <c r="BG167" s="90"/>
      <c r="BH167" s="90"/>
      <c r="BI167" s="90"/>
      <c r="BJ167" s="90"/>
      <c r="BK167" s="90"/>
      <c r="BL167" s="90"/>
      <c r="BM167" s="90"/>
      <c r="BN167" s="90"/>
      <c r="BO167" s="90"/>
      <c r="BP167" s="90"/>
      <c r="BQ167" s="90"/>
      <c r="BR167" s="90"/>
      <c r="BS167" s="90"/>
      <c r="BT167" s="90"/>
      <c r="BU167" s="90"/>
      <c r="BV167" s="90"/>
      <c r="BW167" s="90"/>
      <c r="BX167" s="90"/>
      <c r="BY167" s="90"/>
    </row>
    <row r="168" spans="1:77" s="109" customFormat="1" x14ac:dyDescent="0.2">
      <c r="A168" s="88"/>
      <c r="B168" s="86"/>
      <c r="C168" s="88"/>
      <c r="D168" s="88"/>
      <c r="E168" s="105"/>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90"/>
      <c r="BF168" s="90"/>
      <c r="BG168" s="90"/>
      <c r="BH168" s="90"/>
      <c r="BI168" s="90"/>
      <c r="BJ168" s="90"/>
      <c r="BK168" s="90"/>
      <c r="BL168" s="90"/>
      <c r="BM168" s="90"/>
      <c r="BN168" s="90"/>
      <c r="BO168" s="90"/>
      <c r="BP168" s="90"/>
      <c r="BQ168" s="90"/>
      <c r="BR168" s="90"/>
      <c r="BS168" s="90"/>
      <c r="BT168" s="90"/>
      <c r="BU168" s="90"/>
      <c r="BV168" s="90"/>
      <c r="BW168" s="90"/>
      <c r="BX168" s="90"/>
      <c r="BY168" s="90"/>
    </row>
    <row r="169" spans="1:77" s="109" customFormat="1" x14ac:dyDescent="0.2">
      <c r="A169" s="88"/>
      <c r="B169" s="86"/>
      <c r="C169" s="88"/>
      <c r="D169" s="88"/>
      <c r="E169" s="105"/>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90"/>
      <c r="BF169" s="90"/>
      <c r="BG169" s="90"/>
      <c r="BH169" s="90"/>
      <c r="BI169" s="90"/>
      <c r="BJ169" s="90"/>
      <c r="BK169" s="90"/>
      <c r="BL169" s="90"/>
      <c r="BM169" s="90"/>
      <c r="BN169" s="90"/>
      <c r="BO169" s="90"/>
      <c r="BP169" s="90"/>
      <c r="BQ169" s="90"/>
      <c r="BR169" s="90"/>
      <c r="BS169" s="90"/>
      <c r="BT169" s="90"/>
      <c r="BU169" s="90"/>
      <c r="BV169" s="90"/>
      <c r="BW169" s="90"/>
      <c r="BX169" s="90"/>
      <c r="BY169" s="90"/>
    </row>
    <row r="170" spans="1:77" s="109" customFormat="1" x14ac:dyDescent="0.2">
      <c r="A170" s="88"/>
      <c r="B170" s="86"/>
      <c r="C170" s="88"/>
      <c r="D170" s="88"/>
      <c r="E170" s="105"/>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c r="AY170" s="90"/>
      <c r="AZ170" s="90"/>
      <c r="BA170" s="90"/>
      <c r="BB170" s="90"/>
      <c r="BC170" s="90"/>
      <c r="BD170" s="90"/>
      <c r="BE170" s="90"/>
      <c r="BF170" s="90"/>
      <c r="BG170" s="90"/>
      <c r="BH170" s="90"/>
      <c r="BI170" s="90"/>
      <c r="BJ170" s="90"/>
      <c r="BK170" s="90"/>
      <c r="BL170" s="90"/>
      <c r="BM170" s="90"/>
      <c r="BN170" s="90"/>
      <c r="BO170" s="90"/>
      <c r="BP170" s="90"/>
      <c r="BQ170" s="90"/>
      <c r="BR170" s="90"/>
      <c r="BS170" s="90"/>
      <c r="BT170" s="90"/>
      <c r="BU170" s="90"/>
      <c r="BV170" s="90"/>
      <c r="BW170" s="90"/>
      <c r="BX170" s="90"/>
      <c r="BY170" s="90"/>
    </row>
    <row r="171" spans="1:77" s="109" customFormat="1" x14ac:dyDescent="0.2">
      <c r="A171" s="88"/>
      <c r="B171" s="86"/>
      <c r="C171" s="88"/>
      <c r="D171" s="88"/>
      <c r="E171" s="105"/>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c r="AY171" s="90"/>
      <c r="AZ171" s="90"/>
      <c r="BA171" s="90"/>
      <c r="BB171" s="90"/>
      <c r="BC171" s="90"/>
      <c r="BD171" s="90"/>
      <c r="BE171" s="90"/>
      <c r="BF171" s="90"/>
      <c r="BG171" s="90"/>
      <c r="BH171" s="90"/>
      <c r="BI171" s="90"/>
      <c r="BJ171" s="90"/>
      <c r="BK171" s="90"/>
      <c r="BL171" s="90"/>
      <c r="BM171" s="90"/>
      <c r="BN171" s="90"/>
      <c r="BO171" s="90"/>
      <c r="BP171" s="90"/>
      <c r="BQ171" s="90"/>
      <c r="BR171" s="90"/>
      <c r="BS171" s="90"/>
      <c r="BT171" s="90"/>
      <c r="BU171" s="90"/>
      <c r="BV171" s="90"/>
      <c r="BW171" s="90"/>
      <c r="BX171" s="90"/>
      <c r="BY171" s="90"/>
    </row>
    <row r="172" spans="1:77" s="109" customFormat="1" x14ac:dyDescent="0.2">
      <c r="A172" s="88"/>
      <c r="B172" s="86"/>
      <c r="C172" s="88"/>
      <c r="D172" s="88"/>
      <c r="E172" s="105"/>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90"/>
      <c r="BF172" s="90"/>
      <c r="BG172" s="90"/>
      <c r="BH172" s="90"/>
      <c r="BI172" s="90"/>
      <c r="BJ172" s="90"/>
      <c r="BK172" s="90"/>
      <c r="BL172" s="90"/>
      <c r="BM172" s="90"/>
      <c r="BN172" s="90"/>
      <c r="BO172" s="90"/>
      <c r="BP172" s="90"/>
      <c r="BQ172" s="90"/>
      <c r="BR172" s="90"/>
      <c r="BS172" s="90"/>
      <c r="BT172" s="90"/>
      <c r="BU172" s="90"/>
      <c r="BV172" s="90"/>
      <c r="BW172" s="90"/>
      <c r="BX172" s="90"/>
      <c r="BY172" s="90"/>
    </row>
    <row r="173" spans="1:77" s="109" customFormat="1" x14ac:dyDescent="0.2">
      <c r="A173" s="88"/>
      <c r="B173" s="86"/>
      <c r="C173" s="88"/>
      <c r="D173" s="88"/>
      <c r="E173" s="105"/>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c r="AY173" s="90"/>
      <c r="AZ173" s="90"/>
      <c r="BA173" s="90"/>
      <c r="BB173" s="90"/>
      <c r="BC173" s="90"/>
      <c r="BD173" s="90"/>
      <c r="BE173" s="90"/>
      <c r="BF173" s="90"/>
      <c r="BG173" s="90"/>
      <c r="BH173" s="90"/>
      <c r="BI173" s="90"/>
      <c r="BJ173" s="90"/>
      <c r="BK173" s="90"/>
      <c r="BL173" s="90"/>
      <c r="BM173" s="90"/>
      <c r="BN173" s="90"/>
      <c r="BO173" s="90"/>
      <c r="BP173" s="90"/>
      <c r="BQ173" s="90"/>
      <c r="BR173" s="90"/>
      <c r="BS173" s="90"/>
      <c r="BT173" s="90"/>
      <c r="BU173" s="90"/>
      <c r="BV173" s="90"/>
      <c r="BW173" s="90"/>
      <c r="BX173" s="90"/>
      <c r="BY173" s="90"/>
    </row>
    <row r="174" spans="1:77" s="109" customFormat="1" x14ac:dyDescent="0.2">
      <c r="A174" s="88"/>
      <c r="B174" s="86"/>
      <c r="C174" s="88"/>
      <c r="D174" s="88"/>
      <c r="E174" s="105"/>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90"/>
      <c r="BA174" s="90"/>
      <c r="BB174" s="90"/>
      <c r="BC174" s="90"/>
      <c r="BD174" s="90"/>
      <c r="BE174" s="90"/>
      <c r="BF174" s="90"/>
      <c r="BG174" s="90"/>
      <c r="BH174" s="90"/>
      <c r="BI174" s="90"/>
      <c r="BJ174" s="90"/>
      <c r="BK174" s="90"/>
      <c r="BL174" s="90"/>
      <c r="BM174" s="90"/>
      <c r="BN174" s="90"/>
      <c r="BO174" s="90"/>
      <c r="BP174" s="90"/>
      <c r="BQ174" s="90"/>
      <c r="BR174" s="90"/>
      <c r="BS174" s="90"/>
      <c r="BT174" s="90"/>
      <c r="BU174" s="90"/>
      <c r="BV174" s="90"/>
      <c r="BW174" s="90"/>
      <c r="BX174" s="90"/>
      <c r="BY174" s="90"/>
    </row>
    <row r="175" spans="1:77" s="109" customFormat="1" x14ac:dyDescent="0.2">
      <c r="A175" s="88"/>
      <c r="B175" s="86"/>
      <c r="C175" s="88"/>
      <c r="D175" s="88"/>
      <c r="E175" s="105"/>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90"/>
      <c r="BF175" s="90"/>
      <c r="BG175" s="90"/>
      <c r="BH175" s="90"/>
      <c r="BI175" s="90"/>
      <c r="BJ175" s="90"/>
      <c r="BK175" s="90"/>
      <c r="BL175" s="90"/>
      <c r="BM175" s="90"/>
      <c r="BN175" s="90"/>
      <c r="BO175" s="90"/>
      <c r="BP175" s="90"/>
      <c r="BQ175" s="90"/>
      <c r="BR175" s="90"/>
      <c r="BS175" s="90"/>
      <c r="BT175" s="90"/>
      <c r="BU175" s="90"/>
      <c r="BV175" s="90"/>
      <c r="BW175" s="90"/>
      <c r="BX175" s="90"/>
      <c r="BY175" s="90"/>
    </row>
    <row r="176" spans="1:77" s="109" customFormat="1" x14ac:dyDescent="0.2">
      <c r="A176" s="88"/>
      <c r="B176" s="86"/>
      <c r="C176" s="88"/>
      <c r="D176" s="88"/>
      <c r="E176" s="105"/>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90"/>
      <c r="BF176" s="90"/>
      <c r="BG176" s="90"/>
      <c r="BH176" s="90"/>
      <c r="BI176" s="90"/>
      <c r="BJ176" s="90"/>
      <c r="BK176" s="90"/>
      <c r="BL176" s="90"/>
      <c r="BM176" s="90"/>
      <c r="BN176" s="90"/>
      <c r="BO176" s="90"/>
      <c r="BP176" s="90"/>
      <c r="BQ176" s="90"/>
      <c r="BR176" s="90"/>
      <c r="BS176" s="90"/>
      <c r="BT176" s="90"/>
      <c r="BU176" s="90"/>
      <c r="BV176" s="90"/>
      <c r="BW176" s="90"/>
      <c r="BX176" s="90"/>
      <c r="BY176" s="90"/>
    </row>
    <row r="177" spans="1:77" s="109" customFormat="1" x14ac:dyDescent="0.2">
      <c r="A177" s="88"/>
      <c r="B177" s="86"/>
      <c r="C177" s="88"/>
      <c r="D177" s="88"/>
      <c r="E177" s="105"/>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90"/>
      <c r="BF177" s="90"/>
      <c r="BG177" s="90"/>
      <c r="BH177" s="90"/>
      <c r="BI177" s="90"/>
      <c r="BJ177" s="90"/>
      <c r="BK177" s="90"/>
      <c r="BL177" s="90"/>
      <c r="BM177" s="90"/>
      <c r="BN177" s="90"/>
      <c r="BO177" s="90"/>
      <c r="BP177" s="90"/>
      <c r="BQ177" s="90"/>
      <c r="BR177" s="90"/>
      <c r="BS177" s="90"/>
      <c r="BT177" s="90"/>
      <c r="BU177" s="90"/>
      <c r="BV177" s="90"/>
      <c r="BW177" s="90"/>
      <c r="BX177" s="90"/>
      <c r="BY177" s="90"/>
    </row>
    <row r="178" spans="1:77" s="109" customFormat="1" x14ac:dyDescent="0.2">
      <c r="A178" s="88"/>
      <c r="B178" s="86"/>
      <c r="C178" s="88"/>
      <c r="D178" s="88"/>
      <c r="E178" s="105"/>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c r="AY178" s="90"/>
      <c r="AZ178" s="90"/>
      <c r="BA178" s="90"/>
      <c r="BB178" s="90"/>
      <c r="BC178" s="90"/>
      <c r="BD178" s="90"/>
      <c r="BE178" s="90"/>
      <c r="BF178" s="90"/>
      <c r="BG178" s="90"/>
      <c r="BH178" s="90"/>
      <c r="BI178" s="90"/>
      <c r="BJ178" s="90"/>
      <c r="BK178" s="90"/>
      <c r="BL178" s="90"/>
      <c r="BM178" s="90"/>
      <c r="BN178" s="90"/>
      <c r="BO178" s="90"/>
      <c r="BP178" s="90"/>
      <c r="BQ178" s="90"/>
      <c r="BR178" s="90"/>
      <c r="BS178" s="90"/>
      <c r="BT178" s="90"/>
      <c r="BU178" s="90"/>
      <c r="BV178" s="90"/>
      <c r="BW178" s="90"/>
      <c r="BX178" s="90"/>
      <c r="BY178" s="90"/>
    </row>
    <row r="179" spans="1:77" s="109" customFormat="1" x14ac:dyDescent="0.2">
      <c r="A179" s="88"/>
      <c r="B179" s="86"/>
      <c r="C179" s="88"/>
      <c r="D179" s="88"/>
      <c r="E179" s="105"/>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c r="AY179" s="90"/>
      <c r="AZ179" s="90"/>
      <c r="BA179" s="90"/>
      <c r="BB179" s="90"/>
      <c r="BC179" s="90"/>
      <c r="BD179" s="90"/>
      <c r="BE179" s="90"/>
      <c r="BF179" s="90"/>
      <c r="BG179" s="90"/>
      <c r="BH179" s="90"/>
      <c r="BI179" s="90"/>
      <c r="BJ179" s="90"/>
      <c r="BK179" s="90"/>
      <c r="BL179" s="90"/>
      <c r="BM179" s="90"/>
      <c r="BN179" s="90"/>
      <c r="BO179" s="90"/>
      <c r="BP179" s="90"/>
      <c r="BQ179" s="90"/>
      <c r="BR179" s="90"/>
      <c r="BS179" s="90"/>
      <c r="BT179" s="90"/>
      <c r="BU179" s="90"/>
      <c r="BV179" s="90"/>
      <c r="BW179" s="90"/>
      <c r="BX179" s="90"/>
      <c r="BY179" s="90"/>
    </row>
    <row r="180" spans="1:77" s="109" customFormat="1" x14ac:dyDescent="0.2">
      <c r="A180" s="88"/>
      <c r="B180" s="86"/>
      <c r="C180" s="88"/>
      <c r="D180" s="88"/>
      <c r="E180" s="105"/>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c r="AY180" s="90"/>
      <c r="AZ180" s="90"/>
      <c r="BA180" s="90"/>
      <c r="BB180" s="90"/>
      <c r="BC180" s="90"/>
      <c r="BD180" s="90"/>
      <c r="BE180" s="90"/>
      <c r="BF180" s="90"/>
      <c r="BG180" s="90"/>
      <c r="BH180" s="90"/>
      <c r="BI180" s="90"/>
      <c r="BJ180" s="90"/>
      <c r="BK180" s="90"/>
      <c r="BL180" s="90"/>
      <c r="BM180" s="90"/>
      <c r="BN180" s="90"/>
      <c r="BO180" s="90"/>
      <c r="BP180" s="90"/>
      <c r="BQ180" s="90"/>
      <c r="BR180" s="90"/>
      <c r="BS180" s="90"/>
      <c r="BT180" s="90"/>
      <c r="BU180" s="90"/>
      <c r="BV180" s="90"/>
      <c r="BW180" s="90"/>
      <c r="BX180" s="90"/>
      <c r="BY180" s="90"/>
    </row>
    <row r="181" spans="1:77" s="109" customFormat="1" x14ac:dyDescent="0.2">
      <c r="A181" s="88"/>
      <c r="B181" s="86"/>
      <c r="C181" s="88"/>
      <c r="D181" s="88"/>
      <c r="E181" s="105"/>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c r="AY181" s="90"/>
      <c r="AZ181" s="90"/>
      <c r="BA181" s="90"/>
      <c r="BB181" s="90"/>
      <c r="BC181" s="90"/>
      <c r="BD181" s="90"/>
      <c r="BE181" s="90"/>
      <c r="BF181" s="90"/>
      <c r="BG181" s="90"/>
      <c r="BH181" s="90"/>
      <c r="BI181" s="90"/>
      <c r="BJ181" s="90"/>
      <c r="BK181" s="90"/>
      <c r="BL181" s="90"/>
      <c r="BM181" s="90"/>
      <c r="BN181" s="90"/>
      <c r="BO181" s="90"/>
      <c r="BP181" s="90"/>
      <c r="BQ181" s="90"/>
      <c r="BR181" s="90"/>
      <c r="BS181" s="90"/>
      <c r="BT181" s="90"/>
      <c r="BU181" s="90"/>
      <c r="BV181" s="90"/>
      <c r="BW181" s="90"/>
      <c r="BX181" s="90"/>
      <c r="BY181" s="90"/>
    </row>
    <row r="182" spans="1:77" s="109" customFormat="1" x14ac:dyDescent="0.2">
      <c r="A182" s="88"/>
      <c r="B182" s="86"/>
      <c r="C182" s="88"/>
      <c r="D182" s="88"/>
      <c r="E182" s="105"/>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c r="AY182" s="90"/>
      <c r="AZ182" s="90"/>
      <c r="BA182" s="90"/>
      <c r="BB182" s="90"/>
      <c r="BC182" s="90"/>
      <c r="BD182" s="90"/>
      <c r="BE182" s="90"/>
      <c r="BF182" s="90"/>
      <c r="BG182" s="90"/>
      <c r="BH182" s="90"/>
      <c r="BI182" s="90"/>
      <c r="BJ182" s="90"/>
      <c r="BK182" s="90"/>
      <c r="BL182" s="90"/>
      <c r="BM182" s="90"/>
      <c r="BN182" s="90"/>
      <c r="BO182" s="90"/>
      <c r="BP182" s="90"/>
      <c r="BQ182" s="90"/>
      <c r="BR182" s="90"/>
      <c r="BS182" s="90"/>
      <c r="BT182" s="90"/>
      <c r="BU182" s="90"/>
      <c r="BV182" s="90"/>
      <c r="BW182" s="90"/>
      <c r="BX182" s="90"/>
      <c r="BY182" s="90"/>
    </row>
    <row r="183" spans="1:77" s="109" customFormat="1" x14ac:dyDescent="0.2">
      <c r="A183" s="88"/>
      <c r="B183" s="86"/>
      <c r="C183" s="88"/>
      <c r="D183" s="88"/>
      <c r="E183" s="105"/>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c r="AY183" s="90"/>
      <c r="AZ183" s="90"/>
      <c r="BA183" s="90"/>
      <c r="BB183" s="90"/>
      <c r="BC183" s="90"/>
      <c r="BD183" s="90"/>
      <c r="BE183" s="90"/>
      <c r="BF183" s="90"/>
      <c r="BG183" s="90"/>
      <c r="BH183" s="90"/>
      <c r="BI183" s="90"/>
      <c r="BJ183" s="90"/>
      <c r="BK183" s="90"/>
      <c r="BL183" s="90"/>
      <c r="BM183" s="90"/>
      <c r="BN183" s="90"/>
      <c r="BO183" s="90"/>
      <c r="BP183" s="90"/>
      <c r="BQ183" s="90"/>
      <c r="BR183" s="90"/>
      <c r="BS183" s="90"/>
      <c r="BT183" s="90"/>
      <c r="BU183" s="90"/>
      <c r="BV183" s="90"/>
      <c r="BW183" s="90"/>
      <c r="BX183" s="90"/>
      <c r="BY183" s="90"/>
    </row>
    <row r="184" spans="1:77" s="109" customFormat="1" x14ac:dyDescent="0.2">
      <c r="A184" s="88"/>
      <c r="B184" s="86"/>
      <c r="C184" s="88"/>
      <c r="D184" s="88"/>
      <c r="E184" s="105"/>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c r="AY184" s="90"/>
      <c r="AZ184" s="90"/>
      <c r="BA184" s="90"/>
      <c r="BB184" s="90"/>
      <c r="BC184" s="90"/>
      <c r="BD184" s="90"/>
      <c r="BE184" s="90"/>
      <c r="BF184" s="90"/>
      <c r="BG184" s="90"/>
      <c r="BH184" s="90"/>
      <c r="BI184" s="90"/>
      <c r="BJ184" s="90"/>
      <c r="BK184" s="90"/>
      <c r="BL184" s="90"/>
      <c r="BM184" s="90"/>
      <c r="BN184" s="90"/>
      <c r="BO184" s="90"/>
      <c r="BP184" s="90"/>
      <c r="BQ184" s="90"/>
      <c r="BR184" s="90"/>
      <c r="BS184" s="90"/>
      <c r="BT184" s="90"/>
      <c r="BU184" s="90"/>
      <c r="BV184" s="90"/>
      <c r="BW184" s="90"/>
      <c r="BX184" s="90"/>
      <c r="BY184" s="90"/>
    </row>
    <row r="185" spans="1:77" s="109" customFormat="1" x14ac:dyDescent="0.2">
      <c r="A185" s="88"/>
      <c r="B185" s="86"/>
      <c r="C185" s="88"/>
      <c r="D185" s="88"/>
      <c r="E185" s="105"/>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c r="AY185" s="90"/>
      <c r="AZ185" s="90"/>
      <c r="BA185" s="90"/>
      <c r="BB185" s="90"/>
      <c r="BC185" s="90"/>
      <c r="BD185" s="90"/>
      <c r="BE185" s="90"/>
      <c r="BF185" s="90"/>
      <c r="BG185" s="90"/>
      <c r="BH185" s="90"/>
      <c r="BI185" s="90"/>
      <c r="BJ185" s="90"/>
      <c r="BK185" s="90"/>
      <c r="BL185" s="90"/>
      <c r="BM185" s="90"/>
      <c r="BN185" s="90"/>
      <c r="BO185" s="90"/>
      <c r="BP185" s="90"/>
      <c r="BQ185" s="90"/>
      <c r="BR185" s="90"/>
      <c r="BS185" s="90"/>
      <c r="BT185" s="90"/>
      <c r="BU185" s="90"/>
      <c r="BV185" s="90"/>
      <c r="BW185" s="90"/>
      <c r="BX185" s="90"/>
      <c r="BY185" s="90"/>
    </row>
    <row r="186" spans="1:77" s="109" customFormat="1" x14ac:dyDescent="0.2">
      <c r="A186" s="88"/>
      <c r="B186" s="86"/>
      <c r="C186" s="88"/>
      <c r="D186" s="88"/>
      <c r="E186" s="105"/>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c r="AY186" s="90"/>
      <c r="AZ186" s="90"/>
      <c r="BA186" s="90"/>
      <c r="BB186" s="90"/>
      <c r="BC186" s="90"/>
      <c r="BD186" s="90"/>
      <c r="BE186" s="90"/>
      <c r="BF186" s="90"/>
      <c r="BG186" s="90"/>
      <c r="BH186" s="90"/>
      <c r="BI186" s="90"/>
      <c r="BJ186" s="90"/>
      <c r="BK186" s="90"/>
      <c r="BL186" s="90"/>
      <c r="BM186" s="90"/>
      <c r="BN186" s="90"/>
      <c r="BO186" s="90"/>
      <c r="BP186" s="90"/>
      <c r="BQ186" s="90"/>
      <c r="BR186" s="90"/>
      <c r="BS186" s="90"/>
      <c r="BT186" s="90"/>
      <c r="BU186" s="90"/>
      <c r="BV186" s="90"/>
      <c r="BW186" s="90"/>
      <c r="BX186" s="90"/>
      <c r="BY186" s="90"/>
    </row>
    <row r="187" spans="1:77" s="109" customFormat="1" x14ac:dyDescent="0.2">
      <c r="A187" s="88"/>
      <c r="B187" s="86"/>
      <c r="C187" s="88"/>
      <c r="D187" s="88"/>
      <c r="E187" s="105"/>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c r="AY187" s="90"/>
      <c r="AZ187" s="90"/>
      <c r="BA187" s="90"/>
      <c r="BB187" s="90"/>
      <c r="BC187" s="90"/>
      <c r="BD187" s="90"/>
      <c r="BE187" s="90"/>
      <c r="BF187" s="90"/>
      <c r="BG187" s="90"/>
      <c r="BH187" s="90"/>
      <c r="BI187" s="90"/>
      <c r="BJ187" s="90"/>
      <c r="BK187" s="90"/>
      <c r="BL187" s="90"/>
      <c r="BM187" s="90"/>
      <c r="BN187" s="90"/>
      <c r="BO187" s="90"/>
      <c r="BP187" s="90"/>
      <c r="BQ187" s="90"/>
      <c r="BR187" s="90"/>
      <c r="BS187" s="90"/>
      <c r="BT187" s="90"/>
      <c r="BU187" s="90"/>
      <c r="BV187" s="90"/>
      <c r="BW187" s="90"/>
      <c r="BX187" s="90"/>
      <c r="BY187" s="90"/>
    </row>
  </sheetData>
  <sheetProtection formatCells="0" formatColumns="0" formatRows="0" insertColumns="0" insertRows="0" insertHyperlinks="0" deleteColumns="0" deleteRows="0" sort="0" autoFilter="0" pivotTables="0"/>
  <protectedRanges>
    <protectedRange sqref="F43" name="Range1_1_1"/>
  </protectedRanges>
  <autoFilter ref="A6:F43" xr:uid="{6A4DC29F-5A17-4DFE-BCAE-27E6C2C835E3}"/>
  <pageMargins left="0.47244094488188981" right="0.47244094488188981" top="0.74803149606299213" bottom="0.74803149606299213" header="0.31496062992125984" footer="0.31496062992125984"/>
  <pageSetup paperSize="9" scale="96" fitToHeight="0" orientation="landscape" r:id="rId1"/>
  <headerFooter>
    <oddFooter>&amp;C&amp;"Arial,Bold"&amp;16&amp;P/&amp;N</oddFooter>
  </headerFooter>
  <rowBreaks count="2" manualBreakCount="2">
    <brk id="32" max="5" man="1"/>
    <brk id="39" max="5"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3E016-F41E-476E-B6FE-66B306D20897}">
  <dimension ref="A1:BX111"/>
  <sheetViews>
    <sheetView view="pageBreakPreview" topLeftCell="C6" zoomScale="40" zoomScaleNormal="100" zoomScaleSheetLayoutView="40" workbookViewId="0">
      <selection activeCell="C3" sqref="C3"/>
    </sheetView>
  </sheetViews>
  <sheetFormatPr defaultColWidth="9.140625" defaultRowHeight="15" x14ac:dyDescent="0.2"/>
  <cols>
    <col min="1" max="1" width="9.140625" style="88"/>
    <col min="2" max="2" width="75.28515625" style="86" customWidth="1"/>
    <col min="3" max="3" width="12.5703125" style="88" customWidth="1"/>
    <col min="4" max="4" width="14.28515625" style="220" customWidth="1"/>
    <col min="5" max="5" width="18" style="109" customWidth="1"/>
    <col min="6" max="6" width="19.5703125" style="109" customWidth="1"/>
    <col min="7" max="16384" width="9.140625" style="90"/>
  </cols>
  <sheetData>
    <row r="1" spans="1:66" x14ac:dyDescent="0.2">
      <c r="A1" s="86"/>
      <c r="B1" s="87"/>
      <c r="E1" s="89"/>
      <c r="F1" s="89"/>
    </row>
    <row r="2" spans="1:66" x14ac:dyDescent="0.2">
      <c r="A2" s="86"/>
      <c r="B2" s="87"/>
      <c r="E2" s="89"/>
      <c r="F2" s="89"/>
    </row>
    <row r="3" spans="1:66" ht="12" customHeight="1" thickBot="1" x14ac:dyDescent="0.25">
      <c r="A3" s="86"/>
      <c r="B3" s="273"/>
      <c r="C3" s="274"/>
      <c r="E3" s="89"/>
      <c r="F3" s="89"/>
    </row>
    <row r="4" spans="1:66" ht="33.950000000000003" customHeight="1" x14ac:dyDescent="0.2">
      <c r="A4" s="86"/>
      <c r="B4" s="87"/>
      <c r="E4" s="89"/>
      <c r="F4" s="89"/>
    </row>
    <row r="5" spans="1:66" s="95" customFormat="1" ht="15.75" x14ac:dyDescent="0.2">
      <c r="A5" s="91"/>
      <c r="B5" s="92" t="s">
        <v>89</v>
      </c>
      <c r="C5" s="93"/>
      <c r="D5" s="221"/>
      <c r="E5" s="94"/>
      <c r="F5" s="94"/>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row>
    <row r="6" spans="1:66" s="100" customFormat="1" ht="45.75" customHeight="1" x14ac:dyDescent="0.2">
      <c r="A6" s="96" t="s">
        <v>14</v>
      </c>
      <c r="B6" s="97" t="s">
        <v>0</v>
      </c>
      <c r="C6" s="96" t="s">
        <v>15</v>
      </c>
      <c r="D6" s="222" t="s">
        <v>16</v>
      </c>
      <c r="E6" s="99" t="s">
        <v>17</v>
      </c>
      <c r="F6" s="99" t="s">
        <v>326</v>
      </c>
    </row>
    <row r="7" spans="1:66" s="160" customFormat="1" ht="24" customHeight="1" x14ac:dyDescent="0.2">
      <c r="A7" s="169"/>
      <c r="B7" s="170" t="s">
        <v>91</v>
      </c>
      <c r="C7" s="169"/>
      <c r="D7" s="239"/>
      <c r="E7" s="99"/>
      <c r="F7" s="99"/>
    </row>
    <row r="8" spans="1:66" s="100" customFormat="1" x14ac:dyDescent="0.2">
      <c r="A8" s="172">
        <v>2.0009999999999999</v>
      </c>
      <c r="B8" s="173" t="s">
        <v>91</v>
      </c>
      <c r="C8" s="172" t="s">
        <v>659</v>
      </c>
      <c r="D8" s="240">
        <v>1</v>
      </c>
      <c r="E8" s="224">
        <v>8678.3176592769869</v>
      </c>
      <c r="F8" s="224">
        <f>$D8*E8</f>
        <v>8678.3176592769869</v>
      </c>
    </row>
    <row r="9" spans="1:66" s="104" customFormat="1" ht="15.75" x14ac:dyDescent="0.25">
      <c r="A9" s="169"/>
      <c r="B9" s="170" t="s">
        <v>92</v>
      </c>
      <c r="C9" s="169"/>
      <c r="D9" s="241"/>
      <c r="E9" s="225"/>
      <c r="F9" s="225"/>
    </row>
    <row r="10" spans="1:66" s="104" customFormat="1" ht="63" x14ac:dyDescent="0.25">
      <c r="A10" s="169"/>
      <c r="B10" s="170" t="s">
        <v>94</v>
      </c>
      <c r="C10" s="169"/>
      <c r="D10" s="241"/>
      <c r="E10" s="225"/>
      <c r="F10" s="225"/>
    </row>
    <row r="11" spans="1:66" s="104" customFormat="1" ht="15.75" x14ac:dyDescent="0.25">
      <c r="A11" s="169"/>
      <c r="B11" s="170" t="s">
        <v>95</v>
      </c>
      <c r="C11" s="169"/>
      <c r="D11" s="241"/>
      <c r="E11" s="225"/>
      <c r="F11" s="225"/>
    </row>
    <row r="12" spans="1:66" x14ac:dyDescent="0.2">
      <c r="A12" s="172">
        <v>2.0019999999999998</v>
      </c>
      <c r="B12" s="173" t="s">
        <v>95</v>
      </c>
      <c r="C12" s="172" t="s">
        <v>659</v>
      </c>
      <c r="D12" s="242">
        <v>1</v>
      </c>
      <c r="E12" s="224">
        <v>6175.6703196864419</v>
      </c>
      <c r="F12" s="224">
        <f>$D12*E12</f>
        <v>6175.6703196864419</v>
      </c>
    </row>
    <row r="13" spans="1:66" s="104" customFormat="1" ht="15.75" x14ac:dyDescent="0.25">
      <c r="A13" s="169"/>
      <c r="B13" s="170" t="s">
        <v>96</v>
      </c>
      <c r="C13" s="169"/>
      <c r="D13" s="241"/>
      <c r="E13" s="225"/>
      <c r="F13" s="225"/>
    </row>
    <row r="14" spans="1:66" x14ac:dyDescent="0.2">
      <c r="A14" s="172">
        <v>2.0029999999999997</v>
      </c>
      <c r="B14" s="173" t="s">
        <v>97</v>
      </c>
      <c r="C14" s="172" t="s">
        <v>659</v>
      </c>
      <c r="D14" s="242">
        <v>1</v>
      </c>
      <c r="E14" s="224">
        <v>192641.54715146203</v>
      </c>
      <c r="F14" s="224">
        <f>$D14*E14</f>
        <v>192641.54715146203</v>
      </c>
    </row>
    <row r="15" spans="1:66" s="104" customFormat="1" ht="15.75" x14ac:dyDescent="0.25">
      <c r="A15" s="172"/>
      <c r="B15" s="170" t="s">
        <v>99</v>
      </c>
      <c r="C15" s="172"/>
      <c r="D15" s="242"/>
      <c r="E15" s="223"/>
      <c r="F15" s="223"/>
    </row>
    <row r="16" spans="1:66" x14ac:dyDescent="0.2">
      <c r="A16" s="172">
        <v>2.0039999999999996</v>
      </c>
      <c r="B16" s="173" t="s">
        <v>100</v>
      </c>
      <c r="C16" s="172" t="s">
        <v>659</v>
      </c>
      <c r="D16" s="242">
        <v>1</v>
      </c>
      <c r="E16" s="224">
        <v>7430.4877950012169</v>
      </c>
      <c r="F16" s="224">
        <f>$D16*E16</f>
        <v>7430.4877950012169</v>
      </c>
    </row>
    <row r="17" spans="1:6" s="104" customFormat="1" ht="15.75" x14ac:dyDescent="0.25">
      <c r="A17" s="211"/>
      <c r="B17" s="213" t="s">
        <v>101</v>
      </c>
      <c r="C17" s="211"/>
      <c r="D17" s="242"/>
      <c r="E17" s="223"/>
      <c r="F17" s="223"/>
    </row>
    <row r="18" spans="1:6" s="104" customFormat="1" ht="15.75" x14ac:dyDescent="0.25">
      <c r="A18" s="211" t="s">
        <v>688</v>
      </c>
      <c r="B18" s="212" t="s">
        <v>100</v>
      </c>
      <c r="C18" s="211" t="s">
        <v>659</v>
      </c>
      <c r="D18" s="242">
        <v>1</v>
      </c>
      <c r="E18" s="224">
        <v>41561.5231235631</v>
      </c>
      <c r="F18" s="224">
        <f>$D18*E18</f>
        <v>41561.5231235631</v>
      </c>
    </row>
    <row r="19" spans="1:6" s="104" customFormat="1" ht="15.75" x14ac:dyDescent="0.25">
      <c r="A19" s="169"/>
      <c r="B19" s="170" t="s">
        <v>102</v>
      </c>
      <c r="C19" s="169"/>
      <c r="D19" s="241"/>
      <c r="E19" s="225"/>
      <c r="F19" s="225"/>
    </row>
    <row r="20" spans="1:6" ht="63" x14ac:dyDescent="0.2">
      <c r="A20" s="169"/>
      <c r="B20" s="170" t="s">
        <v>327</v>
      </c>
      <c r="C20" s="169"/>
      <c r="D20" s="241"/>
      <c r="E20" s="225"/>
      <c r="F20" s="225"/>
    </row>
    <row r="21" spans="1:6" s="104" customFormat="1" ht="15.75" x14ac:dyDescent="0.25">
      <c r="A21" s="169"/>
      <c r="B21" s="170" t="s">
        <v>95</v>
      </c>
      <c r="C21" s="169"/>
      <c r="D21" s="241"/>
      <c r="E21" s="225"/>
      <c r="F21" s="225"/>
    </row>
    <row r="22" spans="1:6" x14ac:dyDescent="0.2">
      <c r="A22" s="172">
        <v>2.0049999999999999</v>
      </c>
      <c r="B22" s="173" t="s">
        <v>104</v>
      </c>
      <c r="C22" s="172" t="s">
        <v>659</v>
      </c>
      <c r="D22" s="242">
        <v>1</v>
      </c>
      <c r="E22" s="224">
        <v>4920.8528443716668</v>
      </c>
      <c r="F22" s="224">
        <f>$D22*E22</f>
        <v>4920.8528443716668</v>
      </c>
    </row>
    <row r="23" spans="1:6" s="104" customFormat="1" ht="15.75" x14ac:dyDescent="0.25">
      <c r="A23" s="169"/>
      <c r="B23" s="170" t="s">
        <v>96</v>
      </c>
      <c r="C23" s="169"/>
      <c r="D23" s="241"/>
      <c r="E23" s="225"/>
      <c r="F23" s="225"/>
    </row>
    <row r="24" spans="1:6" x14ac:dyDescent="0.2">
      <c r="A24" s="172">
        <v>2.0059999999999998</v>
      </c>
      <c r="B24" s="173" t="s">
        <v>97</v>
      </c>
      <c r="C24" s="172" t="s">
        <v>659</v>
      </c>
      <c r="D24" s="242">
        <v>1</v>
      </c>
      <c r="E24" s="224">
        <v>4920.8528443716668</v>
      </c>
      <c r="F24" s="224">
        <f>$D24*E24</f>
        <v>4920.8528443716668</v>
      </c>
    </row>
    <row r="25" spans="1:6" ht="15.75" x14ac:dyDescent="0.2">
      <c r="A25" s="172"/>
      <c r="B25" s="170" t="s">
        <v>99</v>
      </c>
      <c r="C25" s="172"/>
      <c r="D25" s="242"/>
      <c r="E25" s="223"/>
      <c r="F25" s="223"/>
    </row>
    <row r="26" spans="1:6" x14ac:dyDescent="0.2">
      <c r="A26" s="172">
        <v>2.0070000000000001</v>
      </c>
      <c r="B26" s="173" t="s">
        <v>100</v>
      </c>
      <c r="C26" s="172" t="s">
        <v>659</v>
      </c>
      <c r="D26" s="242">
        <v>1</v>
      </c>
      <c r="E26" s="224">
        <v>4920.8528443716668</v>
      </c>
      <c r="F26" s="224">
        <f>$D26*E26</f>
        <v>4920.8528443716668</v>
      </c>
    </row>
    <row r="27" spans="1:6" ht="15.75" x14ac:dyDescent="0.2">
      <c r="A27" s="209"/>
      <c r="B27" s="213" t="s">
        <v>101</v>
      </c>
      <c r="C27" s="211"/>
      <c r="D27" s="242"/>
      <c r="E27" s="223"/>
      <c r="F27" s="223"/>
    </row>
    <row r="28" spans="1:6" s="104" customFormat="1" ht="15.75" x14ac:dyDescent="0.25">
      <c r="A28" s="209" t="s">
        <v>689</v>
      </c>
      <c r="B28" s="212" t="s">
        <v>100</v>
      </c>
      <c r="C28" s="211" t="s">
        <v>659</v>
      </c>
      <c r="D28" s="242">
        <v>1</v>
      </c>
      <c r="E28" s="224">
        <v>4920.8528443716668</v>
      </c>
      <c r="F28" s="224">
        <f>$D28*E28</f>
        <v>4920.8528443716668</v>
      </c>
    </row>
    <row r="29" spans="1:6" ht="63" x14ac:dyDescent="0.2">
      <c r="A29" s="172">
        <v>2.008</v>
      </c>
      <c r="B29" s="170" t="s">
        <v>105</v>
      </c>
      <c r="C29" s="172" t="s">
        <v>659</v>
      </c>
      <c r="D29" s="242">
        <v>1</v>
      </c>
      <c r="E29" s="224">
        <v>4920.8528443716668</v>
      </c>
      <c r="F29" s="224">
        <f>$D29*E29</f>
        <v>4920.8528443716668</v>
      </c>
    </row>
    <row r="30" spans="1:6" ht="63" x14ac:dyDescent="0.2">
      <c r="A30" s="172">
        <v>2.0089999999999999</v>
      </c>
      <c r="B30" s="170" t="s">
        <v>708</v>
      </c>
      <c r="C30" s="172" t="s">
        <v>659</v>
      </c>
      <c r="D30" s="242">
        <v>1</v>
      </c>
      <c r="E30" s="224">
        <v>4920.8528443716668</v>
      </c>
      <c r="F30" s="224">
        <f>$D30*E30</f>
        <v>4920.8528443716668</v>
      </c>
    </row>
    <row r="31" spans="1:6" s="104" customFormat="1" ht="31.5" x14ac:dyDescent="0.25">
      <c r="A31" s="172">
        <v>2.0099999999999998</v>
      </c>
      <c r="B31" s="170" t="s">
        <v>709</v>
      </c>
      <c r="C31" s="172" t="s">
        <v>659</v>
      </c>
      <c r="D31" s="242">
        <v>1</v>
      </c>
      <c r="E31" s="224">
        <v>22607.382137612312</v>
      </c>
      <c r="F31" s="224">
        <f>$D31*E31</f>
        <v>22607.382137612312</v>
      </c>
    </row>
    <row r="32" spans="1:6" ht="31.5" x14ac:dyDescent="0.2">
      <c r="A32" s="197"/>
      <c r="B32" s="170" t="s">
        <v>106</v>
      </c>
      <c r="C32" s="169"/>
      <c r="D32" s="241"/>
      <c r="E32" s="225"/>
      <c r="F32" s="225"/>
    </row>
    <row r="33" spans="1:6" s="104" customFormat="1" ht="90" x14ac:dyDescent="0.25">
      <c r="A33" s="172">
        <v>2.0110000000000001</v>
      </c>
      <c r="B33" s="173" t="s">
        <v>107</v>
      </c>
      <c r="C33" s="172" t="s">
        <v>659</v>
      </c>
      <c r="D33" s="242">
        <v>1</v>
      </c>
      <c r="E33" s="224">
        <v>66775.973098123519</v>
      </c>
      <c r="F33" s="224">
        <f>$D33*E33</f>
        <v>66775.973098123519</v>
      </c>
    </row>
    <row r="34" spans="1:6" ht="45" x14ac:dyDescent="0.2">
      <c r="A34" s="172">
        <v>2.012</v>
      </c>
      <c r="B34" s="173" t="s">
        <v>109</v>
      </c>
      <c r="C34" s="172" t="s">
        <v>659</v>
      </c>
      <c r="D34" s="242">
        <v>1</v>
      </c>
      <c r="E34" s="224">
        <v>179942.70769426646</v>
      </c>
      <c r="F34" s="224">
        <f>$D34*E34</f>
        <v>179942.70769426646</v>
      </c>
    </row>
    <row r="35" spans="1:6" s="104" customFormat="1" ht="15.75" x14ac:dyDescent="0.25">
      <c r="A35" s="172"/>
      <c r="B35" s="170" t="s">
        <v>111</v>
      </c>
      <c r="C35" s="172"/>
      <c r="D35" s="242"/>
      <c r="E35" s="223"/>
      <c r="F35" s="223"/>
    </row>
    <row r="36" spans="1:6" s="104" customFormat="1" ht="30" x14ac:dyDescent="0.25">
      <c r="A36" s="172">
        <v>2.0129999999999999</v>
      </c>
      <c r="B36" s="173" t="s">
        <v>112</v>
      </c>
      <c r="C36" s="172" t="s">
        <v>659</v>
      </c>
      <c r="D36" s="242">
        <v>1</v>
      </c>
      <c r="E36" s="224">
        <v>21651.752515235334</v>
      </c>
      <c r="F36" s="224">
        <f>$D36*E36</f>
        <v>21651.752515235334</v>
      </c>
    </row>
    <row r="37" spans="1:6" s="104" customFormat="1" ht="16.5" customHeight="1" x14ac:dyDescent="0.25">
      <c r="A37" s="172"/>
      <c r="B37" s="170" t="s">
        <v>328</v>
      </c>
      <c r="C37" s="172"/>
      <c r="D37" s="242"/>
      <c r="E37" s="223"/>
      <c r="F37" s="223"/>
    </row>
    <row r="38" spans="1:6" ht="30" x14ac:dyDescent="0.2">
      <c r="A38" s="172">
        <v>2.0139999999999998</v>
      </c>
      <c r="B38" s="173" t="s">
        <v>329</v>
      </c>
      <c r="C38" s="172" t="s">
        <v>659</v>
      </c>
      <c r="D38" s="242">
        <v>1</v>
      </c>
      <c r="E38" s="224">
        <v>18374.464520883805</v>
      </c>
      <c r="F38" s="224">
        <f>$D38*E38</f>
        <v>18374.464520883805</v>
      </c>
    </row>
    <row r="39" spans="1:6" ht="15.75" x14ac:dyDescent="0.2">
      <c r="A39" s="172"/>
      <c r="B39" s="180" t="s">
        <v>669</v>
      </c>
      <c r="C39" s="174"/>
      <c r="D39" s="242"/>
      <c r="E39" s="223"/>
      <c r="F39" s="223"/>
    </row>
    <row r="40" spans="1:6" ht="60" x14ac:dyDescent="0.2">
      <c r="A40" s="172" t="s">
        <v>690</v>
      </c>
      <c r="B40" s="173" t="s">
        <v>670</v>
      </c>
      <c r="C40" s="174" t="s">
        <v>659</v>
      </c>
      <c r="D40" s="242">
        <v>1</v>
      </c>
      <c r="E40" s="224">
        <v>63577.418749281947</v>
      </c>
      <c r="F40" s="224">
        <f>$D40*E40</f>
        <v>63577.418749281947</v>
      </c>
    </row>
    <row r="41" spans="1:6" ht="15.75" x14ac:dyDescent="0.2">
      <c r="A41" s="197"/>
      <c r="B41" s="170" t="s">
        <v>330</v>
      </c>
      <c r="C41" s="169"/>
      <c r="D41" s="241"/>
      <c r="E41" s="225"/>
      <c r="F41" s="225"/>
    </row>
    <row r="42" spans="1:6" x14ac:dyDescent="0.2">
      <c r="A42" s="172"/>
      <c r="B42" s="173" t="s">
        <v>114</v>
      </c>
      <c r="C42" s="172"/>
      <c r="D42" s="242"/>
      <c r="E42" s="223"/>
      <c r="F42" s="223"/>
    </row>
    <row r="43" spans="1:6" ht="220.5" x14ac:dyDescent="0.2">
      <c r="A43" s="172"/>
      <c r="B43" s="170" t="s">
        <v>702</v>
      </c>
      <c r="C43" s="169"/>
      <c r="D43" s="241"/>
      <c r="E43" s="225"/>
      <c r="F43" s="225"/>
    </row>
    <row r="44" spans="1:6" x14ac:dyDescent="0.2">
      <c r="A44" s="93">
        <v>2.0149999999999983</v>
      </c>
      <c r="B44" s="173" t="s">
        <v>115</v>
      </c>
      <c r="C44" s="172" t="s">
        <v>659</v>
      </c>
      <c r="D44" s="242">
        <v>1</v>
      </c>
      <c r="E44" s="224">
        <v>66923.598683454678</v>
      </c>
      <c r="F44" s="224">
        <f t="shared" ref="F44:F50" si="0">$D44*E44</f>
        <v>66923.598683454678</v>
      </c>
    </row>
    <row r="45" spans="1:6" s="104" customFormat="1" ht="15.75" x14ac:dyDescent="0.25">
      <c r="A45" s="93">
        <v>2.0159999999999982</v>
      </c>
      <c r="B45" s="173" t="s">
        <v>116</v>
      </c>
      <c r="C45" s="172" t="s">
        <v>659</v>
      </c>
      <c r="D45" s="242">
        <v>1</v>
      </c>
      <c r="E45" s="224">
        <v>21651.752515235334</v>
      </c>
      <c r="F45" s="224">
        <f t="shared" si="0"/>
        <v>21651.752515235334</v>
      </c>
    </row>
    <row r="46" spans="1:6" ht="21.75" customHeight="1" x14ac:dyDescent="0.2">
      <c r="A46" s="93">
        <v>2.0169999999999981</v>
      </c>
      <c r="B46" s="173" t="s">
        <v>117</v>
      </c>
      <c r="C46" s="172" t="s">
        <v>659</v>
      </c>
      <c r="D46" s="242">
        <v>1</v>
      </c>
      <c r="E46" s="224">
        <v>21651.752515235334</v>
      </c>
      <c r="F46" s="224">
        <f t="shared" si="0"/>
        <v>21651.752515235334</v>
      </c>
    </row>
    <row r="47" spans="1:6" x14ac:dyDescent="0.2">
      <c r="A47" s="93">
        <v>2.017999999999998</v>
      </c>
      <c r="B47" s="173" t="s">
        <v>331</v>
      </c>
      <c r="C47" s="172" t="s">
        <v>659</v>
      </c>
      <c r="D47" s="242">
        <v>1</v>
      </c>
      <c r="E47" s="224">
        <v>21651.752515235334</v>
      </c>
      <c r="F47" s="224">
        <f t="shared" si="0"/>
        <v>21651.752515235334</v>
      </c>
    </row>
    <row r="48" spans="1:6" s="104" customFormat="1" ht="15.75" x14ac:dyDescent="0.25">
      <c r="A48" s="93">
        <v>2.0189999999999979</v>
      </c>
      <c r="B48" s="173" t="s">
        <v>332</v>
      </c>
      <c r="C48" s="172" t="s">
        <v>659</v>
      </c>
      <c r="D48" s="242">
        <v>1</v>
      </c>
      <c r="E48" s="224">
        <v>21651.752515235334</v>
      </c>
      <c r="F48" s="224">
        <f t="shared" si="0"/>
        <v>21651.752515235334</v>
      </c>
    </row>
    <row r="49" spans="1:6" x14ac:dyDescent="0.2">
      <c r="A49" s="107">
        <v>2.02</v>
      </c>
      <c r="B49" s="173" t="s">
        <v>119</v>
      </c>
      <c r="C49" s="172" t="s">
        <v>659</v>
      </c>
      <c r="D49" s="242">
        <v>1</v>
      </c>
      <c r="E49" s="224">
        <v>30017.202350667169</v>
      </c>
      <c r="F49" s="224">
        <f t="shared" si="0"/>
        <v>30017.202350667169</v>
      </c>
    </row>
    <row r="50" spans="1:6" s="104" customFormat="1" ht="15.75" x14ac:dyDescent="0.25">
      <c r="A50" s="107">
        <v>2.0209999999999977</v>
      </c>
      <c r="B50" s="173" t="s">
        <v>120</v>
      </c>
      <c r="C50" s="172" t="s">
        <v>659</v>
      </c>
      <c r="D50" s="242">
        <v>1</v>
      </c>
      <c r="E50" s="224">
        <v>21651.752515235334</v>
      </c>
      <c r="F50" s="224">
        <f t="shared" si="0"/>
        <v>21651.752515235334</v>
      </c>
    </row>
    <row r="51" spans="1:6" ht="15.75" x14ac:dyDescent="0.2">
      <c r="A51" s="172"/>
      <c r="B51" s="170" t="s">
        <v>121</v>
      </c>
      <c r="C51" s="172"/>
      <c r="D51" s="242"/>
      <c r="E51" s="223"/>
      <c r="F51" s="223"/>
    </row>
    <row r="52" spans="1:6" s="104" customFormat="1" ht="45" x14ac:dyDescent="0.25">
      <c r="A52" s="172">
        <v>2.0219999999999998</v>
      </c>
      <c r="B52" s="173" t="s">
        <v>333</v>
      </c>
      <c r="C52" s="172" t="s">
        <v>659</v>
      </c>
      <c r="D52" s="242">
        <v>1</v>
      </c>
      <c r="E52" s="224">
        <v>13470.342576183002</v>
      </c>
      <c r="F52" s="224">
        <f>$D52*E52</f>
        <v>13470.342576183002</v>
      </c>
    </row>
    <row r="53" spans="1:6" ht="45" x14ac:dyDescent="0.2">
      <c r="A53" s="172">
        <v>2.0230000000000001</v>
      </c>
      <c r="B53" s="173" t="s">
        <v>123</v>
      </c>
      <c r="C53" s="172" t="s">
        <v>659</v>
      </c>
      <c r="D53" s="242">
        <v>1</v>
      </c>
      <c r="E53" s="224">
        <v>10050.546683458468</v>
      </c>
      <c r="F53" s="224">
        <f>$D53*E53</f>
        <v>10050.546683458468</v>
      </c>
    </row>
    <row r="54" spans="1:6" s="104" customFormat="1" ht="15.75" x14ac:dyDescent="0.25">
      <c r="A54" s="209"/>
      <c r="B54" s="210" t="s">
        <v>646</v>
      </c>
      <c r="C54" s="211"/>
      <c r="D54" s="243"/>
      <c r="E54" s="223"/>
      <c r="F54" s="223"/>
    </row>
    <row r="55" spans="1:6" ht="90" x14ac:dyDescent="0.2">
      <c r="A55" s="209">
        <v>2.024</v>
      </c>
      <c r="B55" s="212" t="s">
        <v>650</v>
      </c>
      <c r="C55" s="211" t="s">
        <v>659</v>
      </c>
      <c r="D55" s="243">
        <v>1</v>
      </c>
      <c r="E55" s="224">
        <v>125021.46507036577</v>
      </c>
      <c r="F55" s="224">
        <f>$D55*E55</f>
        <v>125021.46507036577</v>
      </c>
    </row>
    <row r="56" spans="1:6" s="104" customFormat="1" ht="15.75" x14ac:dyDescent="0.25">
      <c r="A56" s="211"/>
      <c r="B56" s="213" t="s">
        <v>124</v>
      </c>
      <c r="C56" s="211"/>
      <c r="D56" s="243"/>
      <c r="E56" s="223"/>
      <c r="F56" s="223"/>
    </row>
    <row r="57" spans="1:6" s="104" customFormat="1" ht="67.5" customHeight="1" x14ac:dyDescent="0.25">
      <c r="A57" s="211">
        <f>MAX(A43:A56)+0.001</f>
        <v>2.0249999999999999</v>
      </c>
      <c r="B57" s="212" t="s">
        <v>125</v>
      </c>
      <c r="C57" s="211" t="s">
        <v>659</v>
      </c>
      <c r="D57" s="243">
        <v>1</v>
      </c>
      <c r="E57" s="224">
        <v>83383.044853015643</v>
      </c>
      <c r="F57" s="224">
        <f>$D57*E57</f>
        <v>83383.044853015643</v>
      </c>
    </row>
    <row r="58" spans="1:6" ht="15.75" x14ac:dyDescent="0.2">
      <c r="A58" s="103"/>
      <c r="B58" s="170" t="s">
        <v>128</v>
      </c>
      <c r="C58" s="103"/>
      <c r="D58" s="244"/>
      <c r="E58" s="131"/>
      <c r="F58" s="131"/>
    </row>
    <row r="59" spans="1:6" s="104" customFormat="1" ht="41.25" customHeight="1" x14ac:dyDescent="0.25">
      <c r="A59" s="103">
        <f>MAX(A46:A57)+0.001</f>
        <v>2.0259999999999998</v>
      </c>
      <c r="B59" s="173" t="s">
        <v>129</v>
      </c>
      <c r="C59" s="103" t="s">
        <v>659</v>
      </c>
      <c r="D59" s="244">
        <v>1</v>
      </c>
      <c r="E59" s="224">
        <v>2710.405746679914</v>
      </c>
      <c r="F59" s="224">
        <f>$D59*E59</f>
        <v>2710.405746679914</v>
      </c>
    </row>
    <row r="60" spans="1:6" ht="15.75" x14ac:dyDescent="0.2">
      <c r="A60" s="205"/>
      <c r="B60" s="208" t="s">
        <v>126</v>
      </c>
      <c r="C60" s="205"/>
      <c r="D60" s="245"/>
      <c r="E60" s="131"/>
      <c r="F60" s="131"/>
    </row>
    <row r="61" spans="1:6" ht="30" x14ac:dyDescent="0.2">
      <c r="A61" s="211">
        <f>MAX(A49:A60)+0.001</f>
        <v>2.0269999999999997</v>
      </c>
      <c r="B61" s="206" t="s">
        <v>127</v>
      </c>
      <c r="C61" s="205" t="s">
        <v>659</v>
      </c>
      <c r="D61" s="245">
        <v>1</v>
      </c>
      <c r="E61" s="224">
        <v>33461.799341727339</v>
      </c>
      <c r="F61" s="224">
        <f>$D61*E61</f>
        <v>33461.799341727339</v>
      </c>
    </row>
    <row r="62" spans="1:6" s="104" customFormat="1" ht="15.75" x14ac:dyDescent="0.25">
      <c r="A62" s="197"/>
      <c r="B62" s="170" t="s">
        <v>130</v>
      </c>
      <c r="C62" s="169"/>
      <c r="D62" s="241"/>
      <c r="E62" s="225"/>
      <c r="F62" s="225"/>
    </row>
    <row r="63" spans="1:6" x14ac:dyDescent="0.2">
      <c r="A63" s="172"/>
      <c r="B63" s="173" t="s">
        <v>131</v>
      </c>
      <c r="C63" s="172"/>
      <c r="D63" s="242"/>
      <c r="E63" s="223"/>
      <c r="F63" s="223"/>
    </row>
    <row r="64" spans="1:6" s="104" customFormat="1" ht="60" x14ac:dyDescent="0.25">
      <c r="A64" s="172">
        <f>MAX(A53:A63)+0.001</f>
        <v>2.0279999999999996</v>
      </c>
      <c r="B64" s="173" t="s">
        <v>132</v>
      </c>
      <c r="C64" s="172" t="s">
        <v>659</v>
      </c>
      <c r="D64" s="242">
        <v>1</v>
      </c>
      <c r="E64" s="224">
        <v>6451.4349130850314</v>
      </c>
      <c r="F64" s="224">
        <f>$D64*E64</f>
        <v>6451.4349130850314</v>
      </c>
    </row>
    <row r="65" spans="1:6" ht="15.75" x14ac:dyDescent="0.2">
      <c r="A65" s="197"/>
      <c r="B65" s="170" t="s">
        <v>133</v>
      </c>
      <c r="C65" s="169"/>
      <c r="D65" s="241"/>
      <c r="E65" s="225"/>
      <c r="F65" s="225"/>
    </row>
    <row r="66" spans="1:6" ht="60" x14ac:dyDescent="0.2">
      <c r="A66" s="172">
        <f>MAX(A55:A65)+0.001</f>
        <v>2.0289999999999995</v>
      </c>
      <c r="B66" s="173" t="s">
        <v>134</v>
      </c>
      <c r="C66" s="172" t="s">
        <v>659</v>
      </c>
      <c r="D66" s="242">
        <v>1</v>
      </c>
      <c r="E66" s="224">
        <v>11594.513471908522</v>
      </c>
      <c r="F66" s="224">
        <f>$D66*E66</f>
        <v>11594.513471908522</v>
      </c>
    </row>
    <row r="67" spans="1:6" ht="60" x14ac:dyDescent="0.2">
      <c r="A67" s="172">
        <f>MAX(A60:A66)+0.001</f>
        <v>2.0299999999999994</v>
      </c>
      <c r="B67" s="173" t="s">
        <v>135</v>
      </c>
      <c r="C67" s="172" t="s">
        <v>659</v>
      </c>
      <c r="D67" s="242">
        <v>1</v>
      </c>
      <c r="E67" s="224">
        <v>7729.6756479390151</v>
      </c>
      <c r="F67" s="224">
        <f>$D67*E67</f>
        <v>7729.6756479390151</v>
      </c>
    </row>
    <row r="68" spans="1:6" ht="15.75" x14ac:dyDescent="0.2">
      <c r="A68" s="172"/>
      <c r="B68" s="170" t="s">
        <v>136</v>
      </c>
      <c r="C68" s="172"/>
      <c r="D68" s="242"/>
      <c r="E68" s="223"/>
      <c r="F68" s="223"/>
    </row>
    <row r="69" spans="1:6" x14ac:dyDescent="0.2">
      <c r="A69" s="172">
        <f>MAX(A62:A68)+0.001</f>
        <v>2.0309999999999993</v>
      </c>
      <c r="B69" s="173" t="s">
        <v>137</v>
      </c>
      <c r="C69" s="172" t="s">
        <v>659</v>
      </c>
      <c r="D69" s="242">
        <v>1</v>
      </c>
      <c r="E69" s="224">
        <v>1066492.0249240112</v>
      </c>
      <c r="F69" s="224">
        <f>$D69*E69</f>
        <v>1066492.0249240112</v>
      </c>
    </row>
    <row r="70" spans="1:6" ht="15.75" x14ac:dyDescent="0.2">
      <c r="A70" s="197"/>
      <c r="B70" s="170" t="s">
        <v>138</v>
      </c>
      <c r="C70" s="169"/>
      <c r="D70" s="241"/>
      <c r="E70" s="225"/>
      <c r="F70" s="225"/>
    </row>
    <row r="71" spans="1:6" ht="60" x14ac:dyDescent="0.2">
      <c r="A71" s="172">
        <f>MAX(A62:A70)+0.001</f>
        <v>2.0319999999999991</v>
      </c>
      <c r="B71" s="173" t="s">
        <v>334</v>
      </c>
      <c r="C71" s="172" t="s">
        <v>659</v>
      </c>
      <c r="D71" s="242">
        <v>1</v>
      </c>
      <c r="E71" s="224">
        <v>23423.259539209135</v>
      </c>
      <c r="F71" s="224">
        <f t="shared" ref="F71:F83" si="1">$D71*E71</f>
        <v>23423.259539209135</v>
      </c>
    </row>
    <row r="72" spans="1:6" x14ac:dyDescent="0.2">
      <c r="A72" s="172">
        <f>MAX(A62:A71)+0.001</f>
        <v>2.032999999999999</v>
      </c>
      <c r="B72" s="173" t="s">
        <v>141</v>
      </c>
      <c r="C72" s="172" t="s">
        <v>659</v>
      </c>
      <c r="D72" s="242">
        <v>1</v>
      </c>
      <c r="E72" s="224">
        <v>77497.527275440516</v>
      </c>
      <c r="F72" s="224">
        <f t="shared" si="1"/>
        <v>77497.527275440516</v>
      </c>
    </row>
    <row r="73" spans="1:6" x14ac:dyDescent="0.2">
      <c r="A73" s="172">
        <f t="shared" ref="A73:A83" si="2">MAX(A62:A72)+0.001</f>
        <v>2.0339999999999989</v>
      </c>
      <c r="B73" s="173" t="s">
        <v>142</v>
      </c>
      <c r="C73" s="172" t="s">
        <v>659</v>
      </c>
      <c r="D73" s="242">
        <v>1</v>
      </c>
      <c r="E73" s="224">
        <v>30115.619407554605</v>
      </c>
      <c r="F73" s="224">
        <f t="shared" si="1"/>
        <v>30115.619407554605</v>
      </c>
    </row>
    <row r="74" spans="1:6" x14ac:dyDescent="0.2">
      <c r="A74" s="172">
        <f t="shared" si="2"/>
        <v>2.0349999999999988</v>
      </c>
      <c r="B74" s="173" t="s">
        <v>143</v>
      </c>
      <c r="C74" s="172" t="s">
        <v>659</v>
      </c>
      <c r="D74" s="242">
        <v>1</v>
      </c>
      <c r="E74" s="224">
        <v>146395.37212005709</v>
      </c>
      <c r="F74" s="224">
        <f t="shared" si="1"/>
        <v>146395.37212005709</v>
      </c>
    </row>
    <row r="75" spans="1:6" ht="30" x14ac:dyDescent="0.2">
      <c r="A75" s="172">
        <f t="shared" si="2"/>
        <v>2.0359999999999987</v>
      </c>
      <c r="B75" s="173" t="s">
        <v>144</v>
      </c>
      <c r="C75" s="172" t="s">
        <v>659</v>
      </c>
      <c r="D75" s="242">
        <v>1</v>
      </c>
      <c r="E75" s="224">
        <v>292322.27904932998</v>
      </c>
      <c r="F75" s="224">
        <f t="shared" si="1"/>
        <v>292322.27904932998</v>
      </c>
    </row>
    <row r="76" spans="1:6" ht="30" x14ac:dyDescent="0.2">
      <c r="A76" s="172">
        <f t="shared" si="2"/>
        <v>2.0369999999999986</v>
      </c>
      <c r="B76" s="173" t="s">
        <v>145</v>
      </c>
      <c r="C76" s="172" t="s">
        <v>659</v>
      </c>
      <c r="D76" s="242">
        <v>1</v>
      </c>
      <c r="E76" s="224">
        <v>25839.201451681853</v>
      </c>
      <c r="F76" s="224">
        <f t="shared" si="1"/>
        <v>25839.201451681853</v>
      </c>
    </row>
    <row r="77" spans="1:6" ht="30" x14ac:dyDescent="0.2">
      <c r="A77" s="172">
        <f t="shared" si="2"/>
        <v>2.0379999999999985</v>
      </c>
      <c r="B77" s="173" t="s">
        <v>146</v>
      </c>
      <c r="C77" s="172" t="s">
        <v>659</v>
      </c>
      <c r="D77" s="242">
        <v>1</v>
      </c>
      <c r="E77" s="224">
        <v>17226.134301121234</v>
      </c>
      <c r="F77" s="224">
        <f t="shared" si="1"/>
        <v>17226.134301121234</v>
      </c>
    </row>
    <row r="78" spans="1:6" s="104" customFormat="1" ht="30" x14ac:dyDescent="0.25">
      <c r="A78" s="172">
        <f t="shared" si="2"/>
        <v>2.0389999999999984</v>
      </c>
      <c r="B78" s="173" t="s">
        <v>147</v>
      </c>
      <c r="C78" s="172" t="s">
        <v>659</v>
      </c>
      <c r="D78" s="242">
        <v>1</v>
      </c>
      <c r="E78" s="224">
        <v>335028.73700419307</v>
      </c>
      <c r="F78" s="224">
        <f t="shared" si="1"/>
        <v>335028.73700419307</v>
      </c>
    </row>
    <row r="79" spans="1:6" s="104" customFormat="1" ht="30" x14ac:dyDescent="0.25">
      <c r="A79" s="172">
        <f t="shared" si="2"/>
        <v>2.0399999999999983</v>
      </c>
      <c r="B79" s="173" t="s">
        <v>148</v>
      </c>
      <c r="C79" s="172" t="s">
        <v>659</v>
      </c>
      <c r="D79" s="242">
        <v>1</v>
      </c>
      <c r="E79" s="224">
        <v>223352.49133612873</v>
      </c>
      <c r="F79" s="224">
        <f t="shared" si="1"/>
        <v>223352.49133612873</v>
      </c>
    </row>
    <row r="80" spans="1:6" ht="30" x14ac:dyDescent="0.2">
      <c r="A80" s="172">
        <f t="shared" si="2"/>
        <v>2.0409999999999981</v>
      </c>
      <c r="B80" s="173" t="s">
        <v>149</v>
      </c>
      <c r="C80" s="172" t="s">
        <v>659</v>
      </c>
      <c r="D80" s="242">
        <v>1</v>
      </c>
      <c r="E80" s="224">
        <v>42825.916578513024</v>
      </c>
      <c r="F80" s="224">
        <f t="shared" si="1"/>
        <v>42825.916578513024</v>
      </c>
    </row>
    <row r="81" spans="1:6" s="104" customFormat="1" ht="60" x14ac:dyDescent="0.25">
      <c r="A81" s="172">
        <f t="shared" si="2"/>
        <v>2.041999999999998</v>
      </c>
      <c r="B81" s="173" t="s">
        <v>150</v>
      </c>
      <c r="C81" s="172" t="s">
        <v>659</v>
      </c>
      <c r="D81" s="242">
        <v>1</v>
      </c>
      <c r="E81" s="224">
        <v>28550.611052342018</v>
      </c>
      <c r="F81" s="224">
        <f t="shared" si="1"/>
        <v>28550.611052342018</v>
      </c>
    </row>
    <row r="82" spans="1:6" ht="29.1" customHeight="1" x14ac:dyDescent="0.2">
      <c r="A82" s="172">
        <f t="shared" si="2"/>
        <v>2.0429999999999979</v>
      </c>
      <c r="B82" s="173" t="s">
        <v>151</v>
      </c>
      <c r="C82" s="172" t="s">
        <v>659</v>
      </c>
      <c r="D82" s="242">
        <v>1</v>
      </c>
      <c r="E82" s="224">
        <v>42173.913418339471</v>
      </c>
      <c r="F82" s="224">
        <f t="shared" si="1"/>
        <v>42173.913418339471</v>
      </c>
    </row>
    <row r="83" spans="1:6" ht="15" customHeight="1" x14ac:dyDescent="0.2">
      <c r="A83" s="172">
        <f t="shared" si="2"/>
        <v>2.0439999999999978</v>
      </c>
      <c r="B83" s="173" t="s">
        <v>152</v>
      </c>
      <c r="C83" s="172" t="s">
        <v>659</v>
      </c>
      <c r="D83" s="242">
        <v>1</v>
      </c>
      <c r="E83" s="224">
        <v>11714.975949538742</v>
      </c>
      <c r="F83" s="224">
        <f t="shared" si="1"/>
        <v>11714.975949538742</v>
      </c>
    </row>
    <row r="84" spans="1:6" s="104" customFormat="1" ht="18.75" customHeight="1" x14ac:dyDescent="0.25">
      <c r="A84" s="172"/>
      <c r="B84" s="170" t="s">
        <v>153</v>
      </c>
      <c r="C84" s="172"/>
      <c r="D84" s="242"/>
      <c r="E84" s="223"/>
      <c r="F84" s="223"/>
    </row>
    <row r="85" spans="1:6" ht="90" x14ac:dyDescent="0.2">
      <c r="A85" s="172"/>
      <c r="B85" s="173" t="s">
        <v>154</v>
      </c>
      <c r="C85" s="172"/>
      <c r="D85" s="242"/>
      <c r="E85" s="223"/>
      <c r="F85" s="223"/>
    </row>
    <row r="86" spans="1:6" s="104" customFormat="1" ht="29.25" customHeight="1" x14ac:dyDescent="0.25">
      <c r="A86" s="172">
        <f>MAX(A75:A85)+0.001</f>
        <v>2.0449999999999977</v>
      </c>
      <c r="B86" s="173" t="s">
        <v>155</v>
      </c>
      <c r="C86" s="172" t="s">
        <v>659</v>
      </c>
      <c r="D86" s="242">
        <v>1</v>
      </c>
      <c r="E86" s="224">
        <v>1528912.6690678264</v>
      </c>
      <c r="F86" s="224">
        <f>$D86*E86</f>
        <v>1528912.6690678264</v>
      </c>
    </row>
    <row r="87" spans="1:6" s="104" customFormat="1" ht="26.25" customHeight="1" x14ac:dyDescent="0.25">
      <c r="A87" s="172"/>
      <c r="B87" s="170" t="s">
        <v>156</v>
      </c>
      <c r="C87" s="172"/>
      <c r="D87" s="242"/>
      <c r="E87" s="223"/>
      <c r="F87" s="223"/>
    </row>
    <row r="88" spans="1:6" ht="51" customHeight="1" x14ac:dyDescent="0.2">
      <c r="A88" s="172">
        <f t="shared" ref="A88:A89" si="3">MAX(A77:A87)+0.001</f>
        <v>2.0459999999999976</v>
      </c>
      <c r="B88" s="173" t="s">
        <v>335</v>
      </c>
      <c r="C88" s="172" t="s">
        <v>659</v>
      </c>
      <c r="D88" s="242">
        <v>1</v>
      </c>
      <c r="E88" s="224">
        <v>133010.65238336616</v>
      </c>
      <c r="F88" s="224">
        <f>$D88*E88</f>
        <v>133010.65238336616</v>
      </c>
    </row>
    <row r="89" spans="1:6" ht="51" customHeight="1" x14ac:dyDescent="0.2">
      <c r="A89" s="172">
        <f t="shared" si="3"/>
        <v>2.0469999999999975</v>
      </c>
      <c r="B89" s="173" t="s">
        <v>336</v>
      </c>
      <c r="C89" s="172" t="s">
        <v>659</v>
      </c>
      <c r="D89" s="242">
        <v>1</v>
      </c>
      <c r="E89" s="224">
        <v>26769.439473381874</v>
      </c>
      <c r="F89" s="224">
        <f>$D89*E89</f>
        <v>26769.439473381874</v>
      </c>
    </row>
    <row r="90" spans="1:6" ht="24" customHeight="1" x14ac:dyDescent="0.2">
      <c r="A90" s="198"/>
      <c r="B90" s="170" t="s">
        <v>337</v>
      </c>
      <c r="C90" s="172"/>
      <c r="D90" s="246"/>
      <c r="E90" s="223"/>
      <c r="F90" s="238"/>
    </row>
    <row r="91" spans="1:6" ht="82.5" customHeight="1" x14ac:dyDescent="0.2">
      <c r="A91" s="172">
        <f>MAX(A80:A90)+0.001</f>
        <v>2.0479999999999974</v>
      </c>
      <c r="B91" s="173" t="s">
        <v>338</v>
      </c>
      <c r="C91" s="172" t="s">
        <v>671</v>
      </c>
      <c r="D91" s="242">
        <v>1</v>
      </c>
      <c r="E91" s="224">
        <v>308383.94273335912</v>
      </c>
      <c r="F91" s="224">
        <f>$D91*E91</f>
        <v>308383.94273335912</v>
      </c>
    </row>
    <row r="92" spans="1:6" ht="51" customHeight="1" x14ac:dyDescent="0.2">
      <c r="A92" s="197"/>
      <c r="B92" s="170" t="s">
        <v>159</v>
      </c>
      <c r="C92" s="169"/>
      <c r="D92" s="241"/>
      <c r="E92" s="225"/>
      <c r="F92" s="225"/>
    </row>
    <row r="93" spans="1:6" ht="36" customHeight="1" x14ac:dyDescent="0.2">
      <c r="A93" s="197"/>
      <c r="B93" s="173" t="s">
        <v>160</v>
      </c>
      <c r="C93" s="169"/>
      <c r="D93" s="241"/>
      <c r="E93" s="225"/>
      <c r="F93" s="225"/>
    </row>
    <row r="94" spans="1:6" ht="51" customHeight="1" x14ac:dyDescent="0.2">
      <c r="A94" s="172">
        <f t="shared" ref="A94:A102" si="4">MAX(A83:A93)+0.001</f>
        <v>2.0489999999999973</v>
      </c>
      <c r="B94" s="173" t="s">
        <v>339</v>
      </c>
      <c r="C94" s="172" t="s">
        <v>659</v>
      </c>
      <c r="D94" s="242">
        <v>1</v>
      </c>
      <c r="E94" s="224">
        <v>24112.178937421169</v>
      </c>
      <c r="F94" s="224">
        <f t="shared" ref="F94:F102" si="5">$D94*E94</f>
        <v>24112.178937421169</v>
      </c>
    </row>
    <row r="95" spans="1:6" ht="51" customHeight="1" x14ac:dyDescent="0.2">
      <c r="A95" s="172">
        <f t="shared" si="4"/>
        <v>2.0499999999999972</v>
      </c>
      <c r="B95" s="173" t="s">
        <v>167</v>
      </c>
      <c r="C95" s="172" t="s">
        <v>659</v>
      </c>
      <c r="D95" s="242">
        <v>1</v>
      </c>
      <c r="E95" s="224">
        <v>43299.568348195171</v>
      </c>
      <c r="F95" s="224">
        <f t="shared" si="5"/>
        <v>43299.568348195171</v>
      </c>
    </row>
    <row r="96" spans="1:6" ht="51" customHeight="1" x14ac:dyDescent="0.2">
      <c r="A96" s="172">
        <f t="shared" si="4"/>
        <v>2.050999999999997</v>
      </c>
      <c r="B96" s="173" t="s">
        <v>169</v>
      </c>
      <c r="C96" s="172" t="s">
        <v>659</v>
      </c>
      <c r="D96" s="242">
        <v>1</v>
      </c>
      <c r="E96" s="224">
        <v>6023.12388151092</v>
      </c>
      <c r="F96" s="224">
        <f t="shared" si="5"/>
        <v>6023.12388151092</v>
      </c>
    </row>
    <row r="97" spans="1:76" s="104" customFormat="1" ht="51" customHeight="1" x14ac:dyDescent="0.25">
      <c r="A97" s="172">
        <f t="shared" si="4"/>
        <v>2.0519999999999969</v>
      </c>
      <c r="B97" s="173" t="s">
        <v>340</v>
      </c>
      <c r="C97" s="172" t="s">
        <v>659</v>
      </c>
      <c r="D97" s="242">
        <v>1</v>
      </c>
      <c r="E97" s="224">
        <v>30115.619407554605</v>
      </c>
      <c r="F97" s="224">
        <f t="shared" si="5"/>
        <v>30115.619407554605</v>
      </c>
    </row>
    <row r="98" spans="1:76" ht="51" customHeight="1" x14ac:dyDescent="0.2">
      <c r="A98" s="172">
        <f t="shared" si="4"/>
        <v>2.0529999999999968</v>
      </c>
      <c r="B98" s="173" t="s">
        <v>172</v>
      </c>
      <c r="C98" s="172" t="s">
        <v>659</v>
      </c>
      <c r="D98" s="242">
        <v>1</v>
      </c>
      <c r="E98" s="224">
        <v>18738.607631367307</v>
      </c>
      <c r="F98" s="224">
        <f t="shared" si="5"/>
        <v>18738.607631367307</v>
      </c>
    </row>
    <row r="99" spans="1:76" ht="51" customHeight="1" x14ac:dyDescent="0.2">
      <c r="A99" s="172">
        <f t="shared" si="4"/>
        <v>2.0539999999999967</v>
      </c>
      <c r="B99" s="173" t="s">
        <v>341</v>
      </c>
      <c r="C99" s="172" t="s">
        <v>659</v>
      </c>
      <c r="D99" s="242">
        <v>1</v>
      </c>
      <c r="E99" s="224">
        <v>7233.6536812263503</v>
      </c>
      <c r="F99" s="224">
        <f t="shared" si="5"/>
        <v>7233.6536812263503</v>
      </c>
    </row>
    <row r="100" spans="1:76" ht="51" customHeight="1" x14ac:dyDescent="0.2">
      <c r="A100" s="172">
        <f t="shared" si="4"/>
        <v>2.0549999999999966</v>
      </c>
      <c r="B100" s="173" t="s">
        <v>342</v>
      </c>
      <c r="C100" s="172" t="s">
        <v>659</v>
      </c>
      <c r="D100" s="242">
        <v>1</v>
      </c>
      <c r="E100" s="224">
        <v>10038.5398025182</v>
      </c>
      <c r="F100" s="224">
        <f t="shared" si="5"/>
        <v>10038.5398025182</v>
      </c>
    </row>
    <row r="101" spans="1:76" ht="51" customHeight="1" x14ac:dyDescent="0.2">
      <c r="A101" s="172">
        <f t="shared" si="4"/>
        <v>2.0559999999999965</v>
      </c>
      <c r="B101" s="173" t="s">
        <v>173</v>
      </c>
      <c r="C101" s="172" t="s">
        <v>659</v>
      </c>
      <c r="D101" s="242">
        <v>1</v>
      </c>
      <c r="E101" s="224">
        <v>1171.1629769604567</v>
      </c>
      <c r="F101" s="224">
        <f t="shared" si="5"/>
        <v>1171.1629769604567</v>
      </c>
    </row>
    <row r="102" spans="1:76" ht="51" customHeight="1" x14ac:dyDescent="0.2">
      <c r="A102" s="172">
        <f t="shared" si="4"/>
        <v>2.0569999999999964</v>
      </c>
      <c r="B102" s="173" t="s">
        <v>343</v>
      </c>
      <c r="C102" s="172" t="s">
        <v>659</v>
      </c>
      <c r="D102" s="242">
        <v>1</v>
      </c>
      <c r="E102" s="224">
        <v>12046.24776302184</v>
      </c>
      <c r="F102" s="224">
        <f t="shared" si="5"/>
        <v>12046.24776302184</v>
      </c>
    </row>
    <row r="103" spans="1:76" ht="51" customHeight="1" x14ac:dyDescent="0.2">
      <c r="A103" s="172"/>
      <c r="B103" s="170" t="s">
        <v>175</v>
      </c>
      <c r="C103" s="172"/>
      <c r="D103" s="242"/>
      <c r="E103" s="223"/>
      <c r="F103" s="223"/>
    </row>
    <row r="104" spans="1:76" s="139" customFormat="1" ht="25.5" customHeight="1" x14ac:dyDescent="0.25">
      <c r="A104" s="172">
        <f t="shared" ref="A104:A109" si="6">MAX(A93:A103)+0.001</f>
        <v>2.0579999999999963</v>
      </c>
      <c r="B104" s="173" t="s">
        <v>344</v>
      </c>
      <c r="C104" s="172" t="s">
        <v>659</v>
      </c>
      <c r="D104" s="242">
        <v>1</v>
      </c>
      <c r="E104" s="224">
        <v>7932.4147851271273</v>
      </c>
      <c r="F104" s="224">
        <f t="shared" ref="F104:F109" si="7">$D104*E104</f>
        <v>7932.4147851271273</v>
      </c>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row>
    <row r="105" spans="1:76" x14ac:dyDescent="0.2">
      <c r="A105" s="172">
        <f t="shared" si="6"/>
        <v>2.0589999999999962</v>
      </c>
      <c r="B105" s="173" t="s">
        <v>182</v>
      </c>
      <c r="C105" s="172" t="s">
        <v>659</v>
      </c>
      <c r="D105" s="242">
        <v>1</v>
      </c>
      <c r="E105" s="224">
        <v>6593.9428114580342</v>
      </c>
      <c r="F105" s="224">
        <f t="shared" si="7"/>
        <v>6593.9428114580342</v>
      </c>
    </row>
    <row r="106" spans="1:76" x14ac:dyDescent="0.2">
      <c r="A106" s="172">
        <f t="shared" si="6"/>
        <v>2.0599999999999961</v>
      </c>
      <c r="B106" s="173" t="s">
        <v>345</v>
      </c>
      <c r="C106" s="172" t="s">
        <v>659</v>
      </c>
      <c r="D106" s="242">
        <v>1</v>
      </c>
      <c r="E106" s="224">
        <v>10038.5398025182</v>
      </c>
      <c r="F106" s="224">
        <f t="shared" si="7"/>
        <v>10038.5398025182</v>
      </c>
    </row>
    <row r="107" spans="1:76" x14ac:dyDescent="0.2">
      <c r="A107" s="172">
        <f t="shared" si="6"/>
        <v>2.0609999999999959</v>
      </c>
      <c r="B107" s="173" t="s">
        <v>346</v>
      </c>
      <c r="C107" s="172" t="s">
        <v>659</v>
      </c>
      <c r="D107" s="242">
        <v>1</v>
      </c>
      <c r="E107" s="224">
        <v>5353.8878946763734</v>
      </c>
      <c r="F107" s="224">
        <f t="shared" si="7"/>
        <v>5353.8878946763734</v>
      </c>
    </row>
    <row r="108" spans="1:76" x14ac:dyDescent="0.2">
      <c r="A108" s="172">
        <f t="shared" si="6"/>
        <v>2.0619999999999958</v>
      </c>
      <c r="B108" s="173" t="s">
        <v>183</v>
      </c>
      <c r="C108" s="172" t="s">
        <v>659</v>
      </c>
      <c r="D108" s="242">
        <v>1</v>
      </c>
      <c r="E108" s="224">
        <v>2007.7079605036404</v>
      </c>
      <c r="F108" s="224">
        <f t="shared" si="7"/>
        <v>2007.7079605036404</v>
      </c>
    </row>
    <row r="109" spans="1:76" x14ac:dyDescent="0.2">
      <c r="A109" s="172">
        <f t="shared" si="6"/>
        <v>2.0629999999999957</v>
      </c>
      <c r="B109" s="173" t="s">
        <v>184</v>
      </c>
      <c r="C109" s="172" t="s">
        <v>659</v>
      </c>
      <c r="D109" s="242">
        <v>1</v>
      </c>
      <c r="E109" s="224">
        <v>1003.8539802518202</v>
      </c>
      <c r="F109" s="224">
        <f t="shared" si="7"/>
        <v>1003.8539802518202</v>
      </c>
    </row>
    <row r="110" spans="1:76" ht="15.75" x14ac:dyDescent="0.25">
      <c r="A110" s="183"/>
      <c r="B110" s="171" t="s">
        <v>186</v>
      </c>
      <c r="C110" s="171"/>
      <c r="D110" s="222"/>
      <c r="E110" s="226"/>
      <c r="F110" s="225">
        <f>SUM(F8:F109)</f>
        <v>5703758.9704749901</v>
      </c>
    </row>
    <row r="111" spans="1:76" x14ac:dyDescent="0.2">
      <c r="E111" s="220"/>
    </row>
  </sheetData>
  <sheetProtection formatCells="0" formatColumns="0" formatRows="0" insertColumns="0" insertRows="0" insertHyperlinks="0" deleteColumns="0" deleteRows="0" sort="0" autoFilter="0" pivotTables="0"/>
  <protectedRanges>
    <protectedRange sqref="F13" name="Range1_3_5_1_1"/>
    <protectedRange sqref="F13" name="Range2_2_5_1_1"/>
    <protectedRange sqref="E62" name="Range1_3_1_1"/>
    <protectedRange sqref="E65" name="Range1_2_1_1"/>
    <protectedRange sqref="E70" name="Range1_5_1"/>
    <protectedRange sqref="F110" name="Range1_1_1"/>
  </protectedRanges>
  <autoFilter ref="A6:BX110" xr:uid="{C4A3E016-F41E-476E-B6FE-66B306D20897}"/>
  <pageMargins left="0.47244094488188981" right="0.47244094488188981" top="0.74803149606299213" bottom="0.74803149606299213" header="0.31496062992125984" footer="0.31496062992125984"/>
  <pageSetup paperSize="9" scale="94" fitToHeight="0" orientation="landscape" r:id="rId1"/>
  <headerFooter>
    <oddFooter>&amp;C&amp;"Arial,Bold"&amp;16&amp;P/&amp;N</oddFooter>
  </headerFooter>
  <rowBreaks count="11" manualBreakCount="11">
    <brk id="20" max="5" man="1"/>
    <brk id="33" max="5" man="1"/>
    <brk id="40" max="5" man="1"/>
    <brk id="50" max="5" man="1"/>
    <brk id="59" max="5" man="1"/>
    <brk id="67" max="5" man="1"/>
    <brk id="74" max="5" man="1"/>
    <brk id="83" max="5" man="1"/>
    <brk id="89" max="5" man="1"/>
    <brk id="96" max="5" man="1"/>
    <brk id="102" max="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EA90C-C6B0-4AB8-A089-9B5B9AE9A841}">
  <dimension ref="A1:BO87"/>
  <sheetViews>
    <sheetView view="pageBreakPreview" topLeftCell="C33" zoomScale="40" zoomScaleNormal="100" zoomScaleSheetLayoutView="40" workbookViewId="0">
      <selection activeCell="C3" sqref="C3"/>
    </sheetView>
  </sheetViews>
  <sheetFormatPr defaultColWidth="9.140625" defaultRowHeight="15" x14ac:dyDescent="0.2"/>
  <cols>
    <col min="1" max="1" width="9.140625" style="88"/>
    <col min="2" max="2" width="75.28515625" style="86" customWidth="1"/>
    <col min="3" max="3" width="14.140625" style="86" customWidth="1"/>
    <col min="4" max="4" width="14.28515625" style="88" customWidth="1"/>
    <col min="5" max="5" width="18" style="109" customWidth="1"/>
    <col min="6" max="6" width="19.5703125" style="109" customWidth="1"/>
    <col min="7" max="16384" width="9.140625" style="90"/>
  </cols>
  <sheetData>
    <row r="1" spans="1:57" x14ac:dyDescent="0.2">
      <c r="A1" s="86"/>
      <c r="B1" s="87"/>
      <c r="E1" s="89"/>
      <c r="F1" s="89"/>
    </row>
    <row r="2" spans="1:57" x14ac:dyDescent="0.2">
      <c r="A2" s="86"/>
      <c r="B2" s="87"/>
      <c r="E2" s="89"/>
      <c r="F2" s="89"/>
    </row>
    <row r="3" spans="1:57" ht="12" customHeight="1" thickBot="1" x14ac:dyDescent="0.25">
      <c r="A3" s="86"/>
      <c r="B3" s="273"/>
      <c r="C3" s="275"/>
      <c r="E3" s="89"/>
      <c r="F3" s="89"/>
    </row>
    <row r="4" spans="1:57" ht="33.950000000000003" customHeight="1" x14ac:dyDescent="0.2">
      <c r="A4" s="86"/>
      <c r="B4" s="87"/>
      <c r="E4" s="89"/>
      <c r="F4" s="89"/>
    </row>
    <row r="5" spans="1:57" s="95" customFormat="1" ht="15.75" x14ac:dyDescent="0.2">
      <c r="A5" s="91"/>
      <c r="B5" s="92" t="s">
        <v>187</v>
      </c>
      <c r="C5" s="91"/>
      <c r="D5" s="93"/>
      <c r="E5" s="94"/>
      <c r="F5" s="94"/>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row>
    <row r="6" spans="1:57" s="100" customFormat="1" ht="45.75" customHeight="1" x14ac:dyDescent="0.2">
      <c r="A6" s="96" t="s">
        <v>14</v>
      </c>
      <c r="B6" s="97" t="s">
        <v>0</v>
      </c>
      <c r="C6" s="98" t="s">
        <v>15</v>
      </c>
      <c r="D6" s="98" t="s">
        <v>16</v>
      </c>
      <c r="E6" s="99" t="s">
        <v>17</v>
      </c>
      <c r="F6" s="99" t="s">
        <v>320</v>
      </c>
    </row>
    <row r="7" spans="1:57" s="104" customFormat="1" ht="15.75" x14ac:dyDescent="0.25">
      <c r="A7" s="169"/>
      <c r="B7" s="170" t="s">
        <v>188</v>
      </c>
      <c r="C7" s="171"/>
      <c r="D7" s="169"/>
      <c r="E7" s="106"/>
      <c r="F7" s="106"/>
    </row>
    <row r="8" spans="1:57" s="104" customFormat="1" ht="15.75" x14ac:dyDescent="0.25">
      <c r="A8" s="169"/>
      <c r="B8" s="170" t="s">
        <v>189</v>
      </c>
      <c r="C8" s="171"/>
      <c r="D8" s="169"/>
      <c r="E8" s="106"/>
      <c r="F8" s="106"/>
    </row>
    <row r="9" spans="1:57" x14ac:dyDescent="0.2">
      <c r="A9" s="172">
        <v>3.0009999999999999</v>
      </c>
      <c r="B9" s="173" t="s">
        <v>347</v>
      </c>
      <c r="C9" s="174" t="s">
        <v>659</v>
      </c>
      <c r="D9" s="172">
        <v>1</v>
      </c>
      <c r="E9" s="223">
        <v>26342.80153177485</v>
      </c>
      <c r="F9" s="223">
        <f>$D9*E9</f>
        <v>26342.80153177485</v>
      </c>
    </row>
    <row r="10" spans="1:57" x14ac:dyDescent="0.2">
      <c r="A10" s="172">
        <v>3.0019999999999998</v>
      </c>
      <c r="B10" s="173" t="s">
        <v>348</v>
      </c>
      <c r="C10" s="174" t="s">
        <v>659</v>
      </c>
      <c r="D10" s="172">
        <v>1</v>
      </c>
      <c r="E10" s="223">
        <v>15805.680919064909</v>
      </c>
      <c r="F10" s="223">
        <f>$D10*E10</f>
        <v>15805.680919064909</v>
      </c>
    </row>
    <row r="11" spans="1:57" x14ac:dyDescent="0.2">
      <c r="A11" s="172">
        <v>3.0029999999999997</v>
      </c>
      <c r="B11" s="173" t="s">
        <v>349</v>
      </c>
      <c r="C11" s="174" t="s">
        <v>659</v>
      </c>
      <c r="D11" s="172">
        <v>1</v>
      </c>
      <c r="E11" s="223">
        <v>14762.558533115001</v>
      </c>
      <c r="F11" s="223">
        <f>$D11*E11</f>
        <v>14762.558533115001</v>
      </c>
    </row>
    <row r="12" spans="1:57" ht="30" x14ac:dyDescent="0.2">
      <c r="A12" s="172">
        <v>3.0039999999999996</v>
      </c>
      <c r="B12" s="173" t="s">
        <v>350</v>
      </c>
      <c r="C12" s="174" t="s">
        <v>659</v>
      </c>
      <c r="D12" s="172">
        <v>1</v>
      </c>
      <c r="E12" s="223">
        <v>3802.5988771938946</v>
      </c>
      <c r="F12" s="223">
        <f>$D12*E12</f>
        <v>3802.5988771938946</v>
      </c>
    </row>
    <row r="13" spans="1:57" s="104" customFormat="1" ht="15.75" x14ac:dyDescent="0.25">
      <c r="A13" s="169"/>
      <c r="B13" s="170" t="s">
        <v>195</v>
      </c>
      <c r="C13" s="171"/>
      <c r="D13" s="169"/>
      <c r="E13" s="225"/>
      <c r="F13" s="225"/>
    </row>
    <row r="14" spans="1:57" x14ac:dyDescent="0.2">
      <c r="A14" s="172">
        <v>3.0049999999999994</v>
      </c>
      <c r="B14" s="173" t="s">
        <v>351</v>
      </c>
      <c r="C14" s="174" t="s">
        <v>659</v>
      </c>
      <c r="D14" s="172">
        <v>1</v>
      </c>
      <c r="E14" s="223">
        <v>24604.264221858335</v>
      </c>
      <c r="F14" s="223">
        <f>$D14*E14</f>
        <v>24604.264221858335</v>
      </c>
    </row>
    <row r="15" spans="1:57" ht="30" x14ac:dyDescent="0.2">
      <c r="A15" s="172">
        <v>3.0059999999999993</v>
      </c>
      <c r="B15" s="173" t="s">
        <v>352</v>
      </c>
      <c r="C15" s="174" t="s">
        <v>659</v>
      </c>
      <c r="D15" s="172">
        <v>1</v>
      </c>
      <c r="E15" s="223">
        <v>9841.7056887433337</v>
      </c>
      <c r="F15" s="223">
        <f>$D15*E15</f>
        <v>9841.7056887433337</v>
      </c>
    </row>
    <row r="16" spans="1:57" s="104" customFormat="1" ht="15.75" x14ac:dyDescent="0.25">
      <c r="A16" s="172"/>
      <c r="B16" s="170" t="s">
        <v>198</v>
      </c>
      <c r="C16" s="174"/>
      <c r="D16" s="172"/>
      <c r="E16" s="225"/>
      <c r="F16" s="225"/>
    </row>
    <row r="17" spans="1:6" ht="45" x14ac:dyDescent="0.2">
      <c r="A17" s="172">
        <v>3.0069999999999992</v>
      </c>
      <c r="B17" s="173" t="s">
        <v>199</v>
      </c>
      <c r="C17" s="174" t="s">
        <v>659</v>
      </c>
      <c r="D17" s="172">
        <v>1</v>
      </c>
      <c r="E17" s="223">
        <v>6337.6647953231577</v>
      </c>
      <c r="F17" s="223">
        <f>$D17*E17</f>
        <v>6337.6647953231577</v>
      </c>
    </row>
    <row r="18" spans="1:6" ht="60" x14ac:dyDescent="0.2">
      <c r="A18" s="172">
        <v>3.0079999999999991</v>
      </c>
      <c r="B18" s="173" t="s">
        <v>200</v>
      </c>
      <c r="C18" s="174" t="s">
        <v>659</v>
      </c>
      <c r="D18" s="172">
        <v>1</v>
      </c>
      <c r="E18" s="223">
        <v>3802.5988771938946</v>
      </c>
      <c r="F18" s="223">
        <f>$D18*E18</f>
        <v>3802.5988771938946</v>
      </c>
    </row>
    <row r="19" spans="1:6" s="104" customFormat="1" ht="15.75" x14ac:dyDescent="0.25">
      <c r="A19" s="169"/>
      <c r="B19" s="170" t="s">
        <v>201</v>
      </c>
      <c r="C19" s="171"/>
      <c r="D19" s="169"/>
      <c r="E19" s="225"/>
      <c r="F19" s="225"/>
    </row>
    <row r="20" spans="1:6" ht="30" x14ac:dyDescent="0.2">
      <c r="A20" s="172">
        <v>3.008999999999999</v>
      </c>
      <c r="B20" s="173" t="s">
        <v>202</v>
      </c>
      <c r="C20" s="174" t="s">
        <v>659</v>
      </c>
      <c r="D20" s="172">
        <v>1</v>
      </c>
      <c r="E20" s="223">
        <v>6337.6647953231577</v>
      </c>
      <c r="F20" s="223">
        <f>$D20*E20</f>
        <v>6337.6647953231577</v>
      </c>
    </row>
    <row r="21" spans="1:6" ht="60" x14ac:dyDescent="0.2">
      <c r="A21" s="172">
        <v>3.0099999999999989</v>
      </c>
      <c r="B21" s="173" t="s">
        <v>203</v>
      </c>
      <c r="C21" s="174" t="s">
        <v>659</v>
      </c>
      <c r="D21" s="172">
        <v>1</v>
      </c>
      <c r="E21" s="223">
        <v>3802.5988771938946</v>
      </c>
      <c r="F21" s="223">
        <f>$D21*E21</f>
        <v>3802.5988771938946</v>
      </c>
    </row>
    <row r="22" spans="1:6" s="104" customFormat="1" ht="15.75" x14ac:dyDescent="0.25">
      <c r="A22" s="169"/>
      <c r="B22" s="170" t="s">
        <v>204</v>
      </c>
      <c r="C22" s="171"/>
      <c r="D22" s="169"/>
      <c r="E22" s="225"/>
      <c r="F22" s="225"/>
    </row>
    <row r="23" spans="1:6" ht="60" x14ac:dyDescent="0.2">
      <c r="A23" s="172">
        <v>3.0109999999999988</v>
      </c>
      <c r="B23" s="173" t="s">
        <v>205</v>
      </c>
      <c r="C23" s="174" t="s">
        <v>659</v>
      </c>
      <c r="D23" s="172">
        <v>1</v>
      </c>
      <c r="E23" s="223">
        <v>108545.05779466222</v>
      </c>
      <c r="F23" s="223">
        <f>$D23*E23</f>
        <v>108545.05779466222</v>
      </c>
    </row>
    <row r="24" spans="1:6" s="104" customFormat="1" ht="15.75" x14ac:dyDescent="0.25">
      <c r="A24" s="172"/>
      <c r="B24" s="170" t="s">
        <v>206</v>
      </c>
      <c r="C24" s="174"/>
      <c r="D24" s="172"/>
      <c r="E24" s="223"/>
      <c r="F24" s="223"/>
    </row>
    <row r="25" spans="1:6" ht="45" x14ac:dyDescent="0.2">
      <c r="A25" s="172">
        <v>3.0119999999999987</v>
      </c>
      <c r="B25" s="173" t="s">
        <v>207</v>
      </c>
      <c r="C25" s="174" t="s">
        <v>659</v>
      </c>
      <c r="D25" s="172">
        <v>1</v>
      </c>
      <c r="E25" s="223">
        <v>541293.81288088334</v>
      </c>
      <c r="F25" s="223">
        <f>$D25*E25</f>
        <v>541293.81288088334</v>
      </c>
    </row>
    <row r="26" spans="1:6" ht="45" x14ac:dyDescent="0.2">
      <c r="A26" s="172">
        <v>3.0129999999999986</v>
      </c>
      <c r="B26" s="173" t="s">
        <v>208</v>
      </c>
      <c r="C26" s="174" t="s">
        <v>659</v>
      </c>
      <c r="D26" s="172">
        <v>1</v>
      </c>
      <c r="E26" s="223">
        <v>49208.52844371667</v>
      </c>
      <c r="F26" s="223">
        <f>$D26*E26</f>
        <v>49208.52844371667</v>
      </c>
    </row>
    <row r="27" spans="1:6" s="104" customFormat="1" ht="15.75" x14ac:dyDescent="0.25">
      <c r="A27" s="172"/>
      <c r="B27" s="170" t="s">
        <v>209</v>
      </c>
      <c r="C27" s="174"/>
      <c r="D27" s="172"/>
      <c r="E27" s="223"/>
      <c r="F27" s="223"/>
    </row>
    <row r="28" spans="1:6" ht="45" x14ac:dyDescent="0.2">
      <c r="A28" s="172">
        <v>3.0139999999999985</v>
      </c>
      <c r="B28" s="173" t="s">
        <v>353</v>
      </c>
      <c r="C28" s="174" t="s">
        <v>659</v>
      </c>
      <c r="D28" s="172">
        <v>1</v>
      </c>
      <c r="E28" s="223">
        <v>24604.264221858335</v>
      </c>
      <c r="F28" s="223">
        <f>$D28*E28</f>
        <v>24604.264221858335</v>
      </c>
    </row>
    <row r="29" spans="1:6" ht="45" x14ac:dyDescent="0.2">
      <c r="A29" s="172">
        <v>3.0149999999999983</v>
      </c>
      <c r="B29" s="173" t="s">
        <v>354</v>
      </c>
      <c r="C29" s="174" t="s">
        <v>659</v>
      </c>
      <c r="D29" s="172">
        <v>1</v>
      </c>
      <c r="E29" s="223">
        <v>7381.2792665575007</v>
      </c>
      <c r="F29" s="223">
        <f>$D29*E29</f>
        <v>7381.2792665575007</v>
      </c>
    </row>
    <row r="30" spans="1:6" s="104" customFormat="1" ht="15.75" x14ac:dyDescent="0.25">
      <c r="A30" s="169"/>
      <c r="B30" s="170" t="s">
        <v>212</v>
      </c>
      <c r="C30" s="171"/>
      <c r="D30" s="169"/>
      <c r="E30" s="225"/>
      <c r="F30" s="225"/>
    </row>
    <row r="31" spans="1:6" ht="30" x14ac:dyDescent="0.2">
      <c r="A31" s="172">
        <v>3.0159999999999982</v>
      </c>
      <c r="B31" s="173" t="s">
        <v>213</v>
      </c>
      <c r="C31" s="174" t="s">
        <v>659</v>
      </c>
      <c r="D31" s="172">
        <v>1</v>
      </c>
      <c r="E31" s="223">
        <v>9841.7056887433337</v>
      </c>
      <c r="F31" s="223">
        <f>$D31*E31</f>
        <v>9841.7056887433337</v>
      </c>
    </row>
    <row r="32" spans="1:6" ht="30" x14ac:dyDescent="0.2">
      <c r="A32" s="172">
        <v>3.0169999999999981</v>
      </c>
      <c r="B32" s="173" t="s">
        <v>214</v>
      </c>
      <c r="C32" s="174" t="s">
        <v>659</v>
      </c>
      <c r="D32" s="172">
        <v>1</v>
      </c>
      <c r="E32" s="223">
        <v>2460.4264221858334</v>
      </c>
      <c r="F32" s="223">
        <f>$D32*E32</f>
        <v>2460.4264221858334</v>
      </c>
    </row>
    <row r="33" spans="1:6" s="104" customFormat="1" ht="15.75" x14ac:dyDescent="0.25">
      <c r="A33" s="169"/>
      <c r="B33" s="213" t="s">
        <v>660</v>
      </c>
      <c r="C33" s="171"/>
      <c r="D33" s="169"/>
      <c r="E33" s="225"/>
      <c r="F33" s="225"/>
    </row>
    <row r="34" spans="1:6" ht="30" x14ac:dyDescent="0.2">
      <c r="A34" s="172">
        <v>3.017999999999998</v>
      </c>
      <c r="B34" s="212" t="s">
        <v>661</v>
      </c>
      <c r="C34" s="174" t="s">
        <v>659</v>
      </c>
      <c r="D34" s="172">
        <v>1</v>
      </c>
      <c r="E34" s="223">
        <v>49208.52844371667</v>
      </c>
      <c r="F34" s="223">
        <f>$D34*E34</f>
        <v>49208.52844371667</v>
      </c>
    </row>
    <row r="35" spans="1:6" ht="30" x14ac:dyDescent="0.2">
      <c r="A35" s="172">
        <v>3.0189999999999979</v>
      </c>
      <c r="B35" s="212" t="s">
        <v>662</v>
      </c>
      <c r="C35" s="174" t="s">
        <v>659</v>
      </c>
      <c r="D35" s="172">
        <v>1</v>
      </c>
      <c r="E35" s="223">
        <v>9841.7056887433337</v>
      </c>
      <c r="F35" s="223">
        <f>$D35*E35</f>
        <v>9841.7056887433337</v>
      </c>
    </row>
    <row r="36" spans="1:6" s="104" customFormat="1" ht="31.5" x14ac:dyDescent="0.25">
      <c r="A36" s="172"/>
      <c r="B36" s="170" t="s">
        <v>218</v>
      </c>
      <c r="C36" s="174"/>
      <c r="D36" s="172"/>
      <c r="E36" s="223"/>
      <c r="F36" s="223"/>
    </row>
    <row r="37" spans="1:6" ht="30" x14ac:dyDescent="0.2">
      <c r="A37" s="172">
        <v>3.0199999999999978</v>
      </c>
      <c r="B37" s="173" t="s">
        <v>219</v>
      </c>
      <c r="C37" s="174" t="s">
        <v>659</v>
      </c>
      <c r="D37" s="172">
        <v>1</v>
      </c>
      <c r="E37" s="223">
        <v>9841.7056887433337</v>
      </c>
      <c r="F37" s="223">
        <f>$D37*E37</f>
        <v>9841.7056887433337</v>
      </c>
    </row>
    <row r="38" spans="1:6" ht="45" x14ac:dyDescent="0.2">
      <c r="A38" s="172">
        <v>3.0209999999999977</v>
      </c>
      <c r="B38" s="173" t="s">
        <v>220</v>
      </c>
      <c r="C38" s="174" t="s">
        <v>659</v>
      </c>
      <c r="D38" s="172">
        <v>1</v>
      </c>
      <c r="E38" s="223">
        <v>2460.4264221858334</v>
      </c>
      <c r="F38" s="223">
        <f>$D38*E38</f>
        <v>2460.4264221858334</v>
      </c>
    </row>
    <row r="39" spans="1:6" s="104" customFormat="1" ht="15.75" x14ac:dyDescent="0.25">
      <c r="A39" s="172"/>
      <c r="B39" s="170" t="s">
        <v>355</v>
      </c>
      <c r="C39" s="174"/>
      <c r="D39" s="172"/>
      <c r="E39" s="223"/>
      <c r="F39" s="223"/>
    </row>
    <row r="40" spans="1:6" ht="30" x14ac:dyDescent="0.2">
      <c r="A40" s="172">
        <v>3.0219999999999976</v>
      </c>
      <c r="B40" s="173" t="s">
        <v>222</v>
      </c>
      <c r="C40" s="174" t="s">
        <v>659</v>
      </c>
      <c r="D40" s="172">
        <v>1</v>
      </c>
      <c r="E40" s="223">
        <v>9841.7056887433337</v>
      </c>
      <c r="F40" s="223">
        <f>$D40*E40</f>
        <v>9841.7056887433337</v>
      </c>
    </row>
    <row r="41" spans="1:6" ht="30" x14ac:dyDescent="0.2">
      <c r="A41" s="172">
        <v>3.0229999999999975</v>
      </c>
      <c r="B41" s="173" t="s">
        <v>223</v>
      </c>
      <c r="C41" s="174" t="s">
        <v>659</v>
      </c>
      <c r="D41" s="172">
        <v>1</v>
      </c>
      <c r="E41" s="223">
        <v>1279.9138248210706</v>
      </c>
      <c r="F41" s="223">
        <f>$D41*E41</f>
        <v>1279.9138248210706</v>
      </c>
    </row>
    <row r="42" spans="1:6" s="104" customFormat="1" ht="15.75" x14ac:dyDescent="0.25">
      <c r="A42" s="172"/>
      <c r="B42" s="170" t="s">
        <v>224</v>
      </c>
      <c r="C42" s="174"/>
      <c r="D42" s="172"/>
      <c r="E42" s="223"/>
      <c r="F42" s="223"/>
    </row>
    <row r="43" spans="1:6" ht="30" x14ac:dyDescent="0.2">
      <c r="A43" s="172">
        <v>3.0239999999999974</v>
      </c>
      <c r="B43" s="173" t="s">
        <v>225</v>
      </c>
      <c r="C43" s="174" t="s">
        <v>659</v>
      </c>
      <c r="D43" s="172">
        <v>1</v>
      </c>
      <c r="E43" s="223">
        <v>8173.0444892169016</v>
      </c>
      <c r="F43" s="223">
        <f>$D43*E43</f>
        <v>8173.0444892169016</v>
      </c>
    </row>
    <row r="44" spans="1:6" ht="45" x14ac:dyDescent="0.2">
      <c r="A44" s="172">
        <v>3.0249999999999972</v>
      </c>
      <c r="B44" s="173" t="s">
        <v>226</v>
      </c>
      <c r="C44" s="174" t="s">
        <v>659</v>
      </c>
      <c r="D44" s="172">
        <v>1</v>
      </c>
      <c r="E44" s="223">
        <v>4903.8266935301417</v>
      </c>
      <c r="F44" s="223">
        <f>$D44*E44</f>
        <v>4903.8266935301417</v>
      </c>
    </row>
    <row r="45" spans="1:6" s="104" customFormat="1" ht="15.75" x14ac:dyDescent="0.25">
      <c r="A45" s="172"/>
      <c r="B45" s="170" t="s">
        <v>227</v>
      </c>
      <c r="C45" s="174"/>
      <c r="D45" s="172"/>
      <c r="E45" s="223"/>
      <c r="F45" s="223"/>
    </row>
    <row r="46" spans="1:6" ht="60" x14ac:dyDescent="0.2">
      <c r="A46" s="172">
        <v>3.0259999999999971</v>
      </c>
      <c r="B46" s="173" t="s">
        <v>228</v>
      </c>
      <c r="C46" s="174" t="s">
        <v>659</v>
      </c>
      <c r="D46" s="172">
        <v>1</v>
      </c>
      <c r="E46" s="223">
        <v>31428.995031717404</v>
      </c>
      <c r="F46" s="223">
        <f>$D46*E46</f>
        <v>31428.995031717404</v>
      </c>
    </row>
    <row r="47" spans="1:6" s="104" customFormat="1" ht="15.75" x14ac:dyDescent="0.25">
      <c r="A47" s="172"/>
      <c r="B47" s="170" t="s">
        <v>356</v>
      </c>
      <c r="C47" s="174"/>
      <c r="D47" s="172"/>
      <c r="E47" s="223"/>
      <c r="F47" s="223"/>
    </row>
    <row r="48" spans="1:6" ht="30" x14ac:dyDescent="0.2">
      <c r="A48" s="172">
        <v>3.026999999999997</v>
      </c>
      <c r="B48" s="173" t="s">
        <v>230</v>
      </c>
      <c r="C48" s="174" t="s">
        <v>659</v>
      </c>
      <c r="D48" s="172">
        <v>1</v>
      </c>
      <c r="E48" s="223">
        <v>81563.135895460378</v>
      </c>
      <c r="F48" s="223">
        <f>$D48*E48</f>
        <v>81563.135895460378</v>
      </c>
    </row>
    <row r="49" spans="1:6" ht="30" x14ac:dyDescent="0.2">
      <c r="A49" s="172">
        <v>3.0279999999999969</v>
      </c>
      <c r="B49" s="173" t="s">
        <v>231</v>
      </c>
      <c r="C49" s="174" t="s">
        <v>659</v>
      </c>
      <c r="D49" s="172">
        <v>1</v>
      </c>
      <c r="E49" s="223">
        <v>48937.881537276226</v>
      </c>
      <c r="F49" s="223">
        <f>$D49*E49</f>
        <v>48937.881537276226</v>
      </c>
    </row>
    <row r="50" spans="1:6" s="104" customFormat="1" ht="15.75" x14ac:dyDescent="0.25">
      <c r="A50" s="169"/>
      <c r="B50" s="170" t="s">
        <v>232</v>
      </c>
      <c r="C50" s="171"/>
      <c r="D50" s="169"/>
      <c r="E50" s="225"/>
      <c r="F50" s="225"/>
    </row>
    <row r="51" spans="1:6" ht="30" x14ac:dyDescent="0.2">
      <c r="A51" s="172">
        <v>3.0289999999999968</v>
      </c>
      <c r="B51" s="173" t="s">
        <v>233</v>
      </c>
      <c r="C51" s="174" t="s">
        <v>659</v>
      </c>
      <c r="D51" s="172">
        <v>1</v>
      </c>
      <c r="E51" s="223">
        <v>37644.524259443249</v>
      </c>
      <c r="F51" s="223">
        <f>$D51*E51</f>
        <v>37644.524259443249</v>
      </c>
    </row>
    <row r="52" spans="1:6" ht="30" x14ac:dyDescent="0.2">
      <c r="A52" s="172">
        <v>3.0299999999999967</v>
      </c>
      <c r="B52" s="173" t="s">
        <v>234</v>
      </c>
      <c r="C52" s="174" t="s">
        <v>659</v>
      </c>
      <c r="D52" s="172">
        <v>1</v>
      </c>
      <c r="E52" s="223">
        <v>22586.714555665953</v>
      </c>
      <c r="F52" s="223">
        <f>$D52*E52</f>
        <v>22586.714555665953</v>
      </c>
    </row>
    <row r="53" spans="1:6" ht="45" x14ac:dyDescent="0.2">
      <c r="A53" s="172">
        <v>3.0309999999999966</v>
      </c>
      <c r="B53" s="173" t="s">
        <v>236</v>
      </c>
      <c r="C53" s="174" t="s">
        <v>659</v>
      </c>
      <c r="D53" s="172">
        <v>1</v>
      </c>
      <c r="E53" s="223">
        <v>30078.811428278703</v>
      </c>
      <c r="F53" s="223">
        <f>$D53*E53</f>
        <v>30078.811428278703</v>
      </c>
    </row>
    <row r="54" spans="1:6" ht="30" x14ac:dyDescent="0.2">
      <c r="A54" s="172">
        <v>3.0319999999999965</v>
      </c>
      <c r="B54" s="173" t="s">
        <v>237</v>
      </c>
      <c r="C54" s="174" t="s">
        <v>659</v>
      </c>
      <c r="D54" s="172">
        <v>1</v>
      </c>
      <c r="E54" s="223">
        <v>18047.286856967221</v>
      </c>
      <c r="F54" s="223">
        <f>$D54*E54</f>
        <v>18047.286856967221</v>
      </c>
    </row>
    <row r="55" spans="1:6" s="104" customFormat="1" ht="15.75" x14ac:dyDescent="0.25">
      <c r="A55" s="172"/>
      <c r="B55" s="170" t="s">
        <v>238</v>
      </c>
      <c r="C55" s="174"/>
      <c r="D55" s="172"/>
      <c r="E55" s="223"/>
      <c r="F55" s="223"/>
    </row>
    <row r="56" spans="1:6" ht="30" x14ac:dyDescent="0.2">
      <c r="A56" s="172">
        <v>3.0329999999999964</v>
      </c>
      <c r="B56" s="173" t="s">
        <v>239</v>
      </c>
      <c r="C56" s="174" t="s">
        <v>659</v>
      </c>
      <c r="D56" s="172">
        <v>1</v>
      </c>
      <c r="E56" s="223">
        <v>2927.9074424011419</v>
      </c>
      <c r="F56" s="223">
        <f>$D56*E56</f>
        <v>2927.9074424011419</v>
      </c>
    </row>
    <row r="57" spans="1:6" ht="30" x14ac:dyDescent="0.2">
      <c r="A57" s="172">
        <v>3.0339999999999963</v>
      </c>
      <c r="B57" s="173" t="s">
        <v>240</v>
      </c>
      <c r="C57" s="174" t="s">
        <v>659</v>
      </c>
      <c r="D57" s="172">
        <v>1</v>
      </c>
      <c r="E57" s="223">
        <v>1756.7444654406854</v>
      </c>
      <c r="F57" s="223">
        <f>$D57*E57</f>
        <v>1756.7444654406854</v>
      </c>
    </row>
    <row r="58" spans="1:6" s="104" customFormat="1" ht="15.75" x14ac:dyDescent="0.25">
      <c r="A58" s="172"/>
      <c r="B58" s="170" t="s">
        <v>357</v>
      </c>
      <c r="C58" s="174"/>
      <c r="D58" s="172"/>
      <c r="E58" s="223"/>
      <c r="F58" s="223"/>
    </row>
    <row r="59" spans="1:6" ht="30" x14ac:dyDescent="0.2">
      <c r="A59" s="172">
        <v>3.0349999999999961</v>
      </c>
      <c r="B59" s="173" t="s">
        <v>358</v>
      </c>
      <c r="C59" s="174" t="s">
        <v>659</v>
      </c>
      <c r="D59" s="172">
        <v>1</v>
      </c>
      <c r="E59" s="223">
        <v>24853.751461067979</v>
      </c>
      <c r="F59" s="223">
        <f>$D59*E59</f>
        <v>24853.751461067979</v>
      </c>
    </row>
    <row r="60" spans="1:6" ht="30" x14ac:dyDescent="0.2">
      <c r="A60" s="172">
        <v>3.035999999999996</v>
      </c>
      <c r="B60" s="173" t="s">
        <v>359</v>
      </c>
      <c r="C60" s="174" t="s">
        <v>659</v>
      </c>
      <c r="D60" s="172">
        <v>1</v>
      </c>
      <c r="E60" s="223">
        <v>14912.250876640788</v>
      </c>
      <c r="F60" s="223">
        <f>$D60*E60</f>
        <v>14912.250876640788</v>
      </c>
    </row>
    <row r="61" spans="1:6" s="104" customFormat="1" ht="15.75" x14ac:dyDescent="0.25">
      <c r="A61" s="172"/>
      <c r="B61" s="170" t="s">
        <v>360</v>
      </c>
      <c r="C61" s="174"/>
      <c r="D61" s="172"/>
      <c r="E61" s="223"/>
      <c r="F61" s="223"/>
    </row>
    <row r="62" spans="1:6" ht="30" x14ac:dyDescent="0.2">
      <c r="A62" s="172">
        <v>3.0369999999999959</v>
      </c>
      <c r="B62" s="173" t="s">
        <v>202</v>
      </c>
      <c r="C62" s="174" t="s">
        <v>659</v>
      </c>
      <c r="D62" s="172">
        <v>1</v>
      </c>
      <c r="E62" s="223">
        <v>11525.916783257982</v>
      </c>
      <c r="F62" s="223">
        <f>$D62*E62</f>
        <v>11525.916783257982</v>
      </c>
    </row>
    <row r="63" spans="1:6" ht="60" x14ac:dyDescent="0.2">
      <c r="A63" s="172">
        <v>3.0379999999999958</v>
      </c>
      <c r="B63" s="173" t="s">
        <v>203</v>
      </c>
      <c r="C63" s="174" t="s">
        <v>659</v>
      </c>
      <c r="D63" s="172">
        <v>1</v>
      </c>
      <c r="E63" s="223">
        <v>6915.5500699547893</v>
      </c>
      <c r="F63" s="223">
        <f>$D63*E63</f>
        <v>6915.5500699547893</v>
      </c>
    </row>
    <row r="64" spans="1:6" s="104" customFormat="1" ht="15.75" x14ac:dyDescent="0.25">
      <c r="A64" s="172"/>
      <c r="B64" s="170" t="s">
        <v>241</v>
      </c>
      <c r="C64" s="174"/>
      <c r="D64" s="185"/>
      <c r="E64" s="223"/>
      <c r="F64" s="223"/>
    </row>
    <row r="65" spans="1:6" ht="30" x14ac:dyDescent="0.2">
      <c r="A65" s="172">
        <v>3.0389999999999957</v>
      </c>
      <c r="B65" s="173" t="s">
        <v>242</v>
      </c>
      <c r="C65" s="174" t="s">
        <v>659</v>
      </c>
      <c r="D65" s="172">
        <v>1</v>
      </c>
      <c r="E65" s="223">
        <v>24564.306896762038</v>
      </c>
      <c r="F65" s="223">
        <f t="shared" ref="F65:F70" si="0">$D65*E65</f>
        <v>24564.306896762038</v>
      </c>
    </row>
    <row r="66" spans="1:6" ht="30" x14ac:dyDescent="0.2">
      <c r="A66" s="172">
        <v>3.0399999999999956</v>
      </c>
      <c r="B66" s="173" t="s">
        <v>361</v>
      </c>
      <c r="C66" s="174" t="s">
        <v>659</v>
      </c>
      <c r="D66" s="172">
        <v>1</v>
      </c>
      <c r="E66" s="223">
        <v>14738.584138057224</v>
      </c>
      <c r="F66" s="223">
        <f t="shared" si="0"/>
        <v>14738.584138057224</v>
      </c>
    </row>
    <row r="67" spans="1:6" ht="30" x14ac:dyDescent="0.2">
      <c r="A67" s="172">
        <v>3.0409999999999955</v>
      </c>
      <c r="B67" s="173" t="s">
        <v>244</v>
      </c>
      <c r="C67" s="174" t="s">
        <v>659</v>
      </c>
      <c r="D67" s="172">
        <v>1</v>
      </c>
      <c r="E67" s="223">
        <v>19829.46228990762</v>
      </c>
      <c r="F67" s="223">
        <f t="shared" si="0"/>
        <v>19829.46228990762</v>
      </c>
    </row>
    <row r="68" spans="1:6" ht="30" x14ac:dyDescent="0.2">
      <c r="A68" s="172">
        <v>3.0419999999999954</v>
      </c>
      <c r="B68" s="173" t="s">
        <v>362</v>
      </c>
      <c r="C68" s="174" t="s">
        <v>659</v>
      </c>
      <c r="D68" s="172">
        <v>1</v>
      </c>
      <c r="E68" s="223">
        <v>11897.677373944573</v>
      </c>
      <c r="F68" s="223">
        <f t="shared" si="0"/>
        <v>11897.677373944573</v>
      </c>
    </row>
    <row r="69" spans="1:6" ht="30" x14ac:dyDescent="0.2">
      <c r="A69" s="172">
        <v>3.0429999999999953</v>
      </c>
      <c r="B69" s="173" t="s">
        <v>246</v>
      </c>
      <c r="C69" s="174" t="s">
        <v>659</v>
      </c>
      <c r="D69" s="172">
        <v>1</v>
      </c>
      <c r="E69" s="223">
        <v>90723.303465258243</v>
      </c>
      <c r="F69" s="223">
        <f t="shared" si="0"/>
        <v>90723.303465258243</v>
      </c>
    </row>
    <row r="70" spans="1:6" ht="45" x14ac:dyDescent="0.2">
      <c r="A70" s="172">
        <v>3.0439999999999952</v>
      </c>
      <c r="B70" s="173" t="s">
        <v>363</v>
      </c>
      <c r="C70" s="174" t="s">
        <v>659</v>
      </c>
      <c r="D70" s="172">
        <v>1</v>
      </c>
      <c r="E70" s="223">
        <v>54433.98207915495</v>
      </c>
      <c r="F70" s="223">
        <f t="shared" si="0"/>
        <v>54433.98207915495</v>
      </c>
    </row>
    <row r="71" spans="1:6" s="104" customFormat="1" ht="15.75" x14ac:dyDescent="0.25">
      <c r="A71" s="172"/>
      <c r="B71" s="170" t="s">
        <v>248</v>
      </c>
      <c r="C71" s="174"/>
      <c r="D71" s="172"/>
      <c r="E71" s="223"/>
      <c r="F71" s="223"/>
    </row>
    <row r="72" spans="1:6" ht="30" x14ac:dyDescent="0.2">
      <c r="A72" s="172">
        <v>3.044999999999995</v>
      </c>
      <c r="B72" s="173" t="s">
        <v>225</v>
      </c>
      <c r="C72" s="174" t="s">
        <v>659</v>
      </c>
      <c r="D72" s="172">
        <v>1</v>
      </c>
      <c r="E72" s="223">
        <v>71194.997369426172</v>
      </c>
      <c r="F72" s="223">
        <f>$D72*E72</f>
        <v>71194.997369426172</v>
      </c>
    </row>
    <row r="73" spans="1:6" ht="60" x14ac:dyDescent="0.2">
      <c r="A73" s="172">
        <v>3.0459999999999949</v>
      </c>
      <c r="B73" s="173" t="s">
        <v>249</v>
      </c>
      <c r="C73" s="174" t="s">
        <v>659</v>
      </c>
      <c r="D73" s="172">
        <v>1</v>
      </c>
      <c r="E73" s="223">
        <v>42716.998421655706</v>
      </c>
      <c r="F73" s="223">
        <f>$D73*E73</f>
        <v>42716.998421655706</v>
      </c>
    </row>
    <row r="74" spans="1:6" s="104" customFormat="1" ht="15.75" x14ac:dyDescent="0.25">
      <c r="A74" s="172"/>
      <c r="B74" s="170" t="s">
        <v>250</v>
      </c>
      <c r="C74" s="174"/>
      <c r="D74" s="172"/>
      <c r="E74" s="223"/>
      <c r="F74" s="223"/>
    </row>
    <row r="75" spans="1:6" ht="35.450000000000003" customHeight="1" x14ac:dyDescent="0.2">
      <c r="A75" s="172">
        <v>3.0469999999999948</v>
      </c>
      <c r="B75" s="173" t="s">
        <v>251</v>
      </c>
      <c r="C75" s="174" t="s">
        <v>659</v>
      </c>
      <c r="D75" s="172">
        <v>1</v>
      </c>
      <c r="E75" s="223">
        <v>7381.2792665575007</v>
      </c>
      <c r="F75" s="223">
        <f>$D75*E75</f>
        <v>7381.2792665575007</v>
      </c>
    </row>
    <row r="76" spans="1:6" ht="45" x14ac:dyDescent="0.2">
      <c r="A76" s="172">
        <v>3.0479999999999947</v>
      </c>
      <c r="B76" s="173" t="s">
        <v>252</v>
      </c>
      <c r="C76" s="174" t="s">
        <v>659</v>
      </c>
      <c r="D76" s="172">
        <v>1</v>
      </c>
      <c r="E76" s="223">
        <v>2460.4264221858334</v>
      </c>
      <c r="F76" s="223">
        <f>$D76*E76</f>
        <v>2460.4264221858334</v>
      </c>
    </row>
    <row r="77" spans="1:6" s="104" customFormat="1" ht="15.75" x14ac:dyDescent="0.25">
      <c r="A77" s="172"/>
      <c r="B77" s="170" t="s">
        <v>253</v>
      </c>
      <c r="C77" s="174"/>
      <c r="D77" s="172"/>
      <c r="E77" s="223"/>
      <c r="F77" s="223"/>
    </row>
    <row r="78" spans="1:6" ht="45" x14ac:dyDescent="0.2">
      <c r="A78" s="172">
        <v>3.0489999999999946</v>
      </c>
      <c r="B78" s="173" t="s">
        <v>254</v>
      </c>
      <c r="C78" s="174" t="s">
        <v>659</v>
      </c>
      <c r="D78" s="172">
        <v>1</v>
      </c>
      <c r="E78" s="223">
        <v>41827.249177159167</v>
      </c>
      <c r="F78" s="223">
        <f>$D78*E78</f>
        <v>41827.249177159167</v>
      </c>
    </row>
    <row r="79" spans="1:6" ht="45" x14ac:dyDescent="0.2">
      <c r="A79" s="172">
        <v>3.0499999999999945</v>
      </c>
      <c r="B79" s="173" t="s">
        <v>255</v>
      </c>
      <c r="C79" s="174" t="s">
        <v>659</v>
      </c>
      <c r="D79" s="172">
        <v>1</v>
      </c>
      <c r="E79" s="223">
        <v>25096.349506295504</v>
      </c>
      <c r="F79" s="223">
        <f>$D79*E79</f>
        <v>25096.349506295504</v>
      </c>
    </row>
    <row r="80" spans="1:6" s="104" customFormat="1" ht="15.75" x14ac:dyDescent="0.25">
      <c r="A80" s="172"/>
      <c r="B80" s="170" t="s">
        <v>153</v>
      </c>
      <c r="C80" s="174"/>
      <c r="D80" s="172"/>
      <c r="E80" s="223"/>
      <c r="F80" s="223"/>
    </row>
    <row r="81" spans="1:67" ht="60" x14ac:dyDescent="0.2">
      <c r="A81" s="172">
        <v>3.0509999999999944</v>
      </c>
      <c r="B81" s="173" t="s">
        <v>256</v>
      </c>
      <c r="C81" s="174" t="s">
        <v>659</v>
      </c>
      <c r="D81" s="172">
        <v>1</v>
      </c>
      <c r="E81" s="223">
        <v>344459.69910601672</v>
      </c>
      <c r="F81" s="223">
        <f>$D81*E81</f>
        <v>344459.69910601672</v>
      </c>
    </row>
    <row r="82" spans="1:67" s="104" customFormat="1" ht="15.75" x14ac:dyDescent="0.25">
      <c r="A82" s="176"/>
      <c r="B82" s="140" t="s">
        <v>257</v>
      </c>
      <c r="C82" s="141"/>
      <c r="D82" s="181"/>
      <c r="E82" s="178"/>
      <c r="F82" s="223"/>
    </row>
    <row r="83" spans="1:67" x14ac:dyDescent="0.2">
      <c r="A83" s="172">
        <v>3.0519999999999943</v>
      </c>
      <c r="B83" s="142" t="s">
        <v>258</v>
      </c>
      <c r="C83" s="172" t="s">
        <v>659</v>
      </c>
      <c r="D83" s="181">
        <v>1</v>
      </c>
      <c r="E83" s="223">
        <v>41827.249177159167</v>
      </c>
      <c r="F83" s="223">
        <f>$D83*E83</f>
        <v>41827.249177159167</v>
      </c>
    </row>
    <row r="84" spans="1:67" s="104" customFormat="1" ht="35.450000000000003" customHeight="1" x14ac:dyDescent="0.25">
      <c r="A84" s="205"/>
      <c r="B84" s="204" t="s">
        <v>648</v>
      </c>
      <c r="C84" s="205"/>
      <c r="D84" s="205"/>
      <c r="E84" s="131"/>
      <c r="F84" s="131"/>
    </row>
    <row r="85" spans="1:67" ht="75" x14ac:dyDescent="0.2">
      <c r="A85" s="205">
        <v>3.0529999999999942</v>
      </c>
      <c r="B85" s="206" t="s">
        <v>724</v>
      </c>
      <c r="C85" s="205" t="s">
        <v>659</v>
      </c>
      <c r="D85" s="205">
        <v>1</v>
      </c>
      <c r="E85" s="223">
        <v>125481.74753147752</v>
      </c>
      <c r="F85" s="223">
        <f>$D85*E85</f>
        <v>125481.74753147752</v>
      </c>
    </row>
    <row r="86" spans="1:67" s="139" customFormat="1" ht="25.5" customHeight="1" x14ac:dyDescent="0.25">
      <c r="A86" s="177"/>
      <c r="B86" s="171" t="s">
        <v>663</v>
      </c>
      <c r="C86" s="174"/>
      <c r="D86" s="178"/>
      <c r="E86" s="224"/>
      <c r="F86" s="225">
        <f>SUM(F9:F85)</f>
        <v>2206138.851659683</v>
      </c>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row>
    <row r="87" spans="1:67" x14ac:dyDescent="0.2">
      <c r="E87" s="88"/>
    </row>
  </sheetData>
  <sheetProtection formatCells="0" formatColumns="0" formatRows="0" insertColumns="0" insertRows="0" insertHyperlinks="0" deleteColumns="0" deleteRows="0" sort="0" autoFilter="0" pivotTables="0"/>
  <protectedRanges>
    <protectedRange sqref="F86" name="Range1_1"/>
  </protectedRanges>
  <autoFilter ref="A6:F86" xr:uid="{7C2EA90C-C6B0-4AB8-A089-9B5B9AE9A841}"/>
  <pageMargins left="0.47244094488188981" right="0.47244094488188981" top="0.74803149606299213" bottom="0.74803149606299213" header="0.31496062992125984" footer="0.31496062992125984"/>
  <pageSetup paperSize="9" scale="93" orientation="landscape" r:id="rId1"/>
  <headerFooter>
    <oddFooter>&amp;C&amp;"Arial,Bold"&amp;16&amp;P/&amp;N</oddFooter>
  </headerFooter>
  <rowBreaks count="5" manualBreakCount="5">
    <brk id="21" max="5" man="1"/>
    <brk id="29" max="5" man="1"/>
    <brk id="41" max="5" man="1"/>
    <brk id="70" max="5" man="1"/>
    <brk id="79" max="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EDCA0-7D50-46C1-A294-D30A890A4385}">
  <dimension ref="A1:F43"/>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88"/>
    <col min="2" max="2" width="75.28515625" style="86" customWidth="1"/>
    <col min="3" max="3" width="16.85546875" style="86" customWidth="1"/>
    <col min="4" max="4" width="14.28515625" style="88" customWidth="1"/>
    <col min="5" max="5" width="18" style="109" customWidth="1"/>
    <col min="6" max="6" width="19.5703125" style="109" customWidth="1"/>
    <col min="7" max="16384" width="9.140625" style="90"/>
  </cols>
  <sheetData>
    <row r="1" spans="1:6" x14ac:dyDescent="0.2">
      <c r="A1" s="86"/>
      <c r="B1" s="87"/>
      <c r="E1" s="89"/>
      <c r="F1" s="89"/>
    </row>
    <row r="2" spans="1:6" x14ac:dyDescent="0.2">
      <c r="A2" s="86"/>
      <c r="B2" s="87"/>
      <c r="E2" s="89"/>
      <c r="F2" s="89"/>
    </row>
    <row r="3" spans="1:6" ht="12" customHeight="1" thickBot="1" x14ac:dyDescent="0.25">
      <c r="A3" s="86"/>
      <c r="B3" s="273"/>
      <c r="C3" s="275"/>
      <c r="E3" s="89"/>
      <c r="F3" s="89"/>
    </row>
    <row r="4" spans="1:6" ht="33.950000000000003" customHeight="1" x14ac:dyDescent="0.2">
      <c r="A4" s="86"/>
      <c r="B4" s="87"/>
      <c r="E4" s="89"/>
      <c r="F4" s="89"/>
    </row>
    <row r="5" spans="1:6" s="95" customFormat="1" ht="15.75" x14ac:dyDescent="0.2">
      <c r="A5" s="91"/>
      <c r="B5" s="92" t="s">
        <v>259</v>
      </c>
      <c r="C5" s="91"/>
      <c r="D5" s="93"/>
      <c r="E5" s="94"/>
      <c r="F5" s="94"/>
    </row>
    <row r="6" spans="1:6" s="100" customFormat="1" ht="45.75" customHeight="1" x14ac:dyDescent="0.2">
      <c r="A6" s="96" t="s">
        <v>14</v>
      </c>
      <c r="B6" s="97" t="s">
        <v>0</v>
      </c>
      <c r="C6" s="98" t="s">
        <v>15</v>
      </c>
      <c r="D6" s="98" t="s">
        <v>16</v>
      </c>
      <c r="E6" s="99" t="s">
        <v>17</v>
      </c>
      <c r="F6" s="99" t="s">
        <v>53</v>
      </c>
    </row>
    <row r="7" spans="1:6" s="104" customFormat="1" ht="15.75" x14ac:dyDescent="0.25">
      <c r="A7" s="169"/>
      <c r="B7" s="170" t="s">
        <v>364</v>
      </c>
      <c r="C7" s="171"/>
      <c r="D7" s="169"/>
      <c r="E7" s="106"/>
      <c r="F7" s="106"/>
    </row>
    <row r="8" spans="1:6" s="104" customFormat="1" ht="78.75" x14ac:dyDescent="0.25">
      <c r="A8" s="169"/>
      <c r="B8" s="170" t="s">
        <v>261</v>
      </c>
      <c r="C8" s="171"/>
      <c r="D8" s="169"/>
      <c r="E8" s="106"/>
      <c r="F8" s="106"/>
    </row>
    <row r="9" spans="1:6" s="104" customFormat="1" ht="15.75" x14ac:dyDescent="0.25">
      <c r="A9" s="169"/>
      <c r="B9" s="170" t="s">
        <v>262</v>
      </c>
      <c r="C9" s="171"/>
      <c r="D9" s="169"/>
      <c r="E9" s="106"/>
      <c r="F9" s="106"/>
    </row>
    <row r="10" spans="1:6" s="104" customFormat="1" ht="15.75" x14ac:dyDescent="0.25">
      <c r="A10" s="172">
        <v>4.0010000000000003</v>
      </c>
      <c r="B10" s="173" t="s">
        <v>263</v>
      </c>
      <c r="C10" s="174" t="s">
        <v>659</v>
      </c>
      <c r="D10" s="172">
        <v>1</v>
      </c>
      <c r="E10" s="223">
        <v>1739.3041756237769</v>
      </c>
      <c r="F10" s="223">
        <f>$D10*E10</f>
        <v>1739.3041756237769</v>
      </c>
    </row>
    <row r="11" spans="1:6" s="104" customFormat="1" ht="15.75" x14ac:dyDescent="0.25">
      <c r="A11" s="209">
        <v>4.0020000000000007</v>
      </c>
      <c r="B11" s="212" t="s">
        <v>264</v>
      </c>
      <c r="C11" s="219" t="s">
        <v>659</v>
      </c>
      <c r="D11" s="211">
        <v>1</v>
      </c>
      <c r="E11" s="223">
        <v>2342.3259539209134</v>
      </c>
      <c r="F11" s="223">
        <f>$D11*E11</f>
        <v>2342.3259539209134</v>
      </c>
    </row>
    <row r="12" spans="1:6" s="104" customFormat="1" ht="15.75" x14ac:dyDescent="0.25">
      <c r="A12" s="169"/>
      <c r="B12" s="170" t="s">
        <v>96</v>
      </c>
      <c r="C12" s="171"/>
      <c r="D12" s="169"/>
      <c r="E12" s="225"/>
      <c r="F12" s="225"/>
    </row>
    <row r="13" spans="1:6" ht="150" x14ac:dyDescent="0.2">
      <c r="A13" s="169"/>
      <c r="B13" s="199" t="s">
        <v>664</v>
      </c>
      <c r="C13" s="171"/>
      <c r="D13" s="169"/>
      <c r="E13" s="225"/>
      <c r="F13" s="225"/>
    </row>
    <row r="14" spans="1:6" s="104" customFormat="1" ht="15.75" x14ac:dyDescent="0.25">
      <c r="A14" s="172">
        <v>4.003000000000001</v>
      </c>
      <c r="B14" s="173" t="s">
        <v>96</v>
      </c>
      <c r="C14" s="174" t="s">
        <v>659</v>
      </c>
      <c r="D14" s="172">
        <v>1</v>
      </c>
      <c r="E14" s="223">
        <v>77938.399866487511</v>
      </c>
      <c r="F14" s="223">
        <f>$D14*E14</f>
        <v>77938.399866487511</v>
      </c>
    </row>
    <row r="15" spans="1:6" s="104" customFormat="1" ht="15.75" x14ac:dyDescent="0.25">
      <c r="A15" s="172"/>
      <c r="B15" s="170" t="s">
        <v>265</v>
      </c>
      <c r="C15" s="174"/>
      <c r="D15" s="172"/>
      <c r="E15" s="225"/>
      <c r="F15" s="225"/>
    </row>
    <row r="16" spans="1:6" ht="78.75" x14ac:dyDescent="0.2">
      <c r="A16" s="172"/>
      <c r="B16" s="170" t="s">
        <v>266</v>
      </c>
      <c r="C16" s="174"/>
      <c r="D16" s="172"/>
      <c r="E16" s="225"/>
      <c r="F16" s="225"/>
    </row>
    <row r="17" spans="1:6" s="104" customFormat="1" ht="15.75" x14ac:dyDescent="0.25">
      <c r="A17" s="172">
        <v>4.0040000000000013</v>
      </c>
      <c r="B17" s="173" t="s">
        <v>267</v>
      </c>
      <c r="C17" s="174" t="s">
        <v>659</v>
      </c>
      <c r="D17" s="172">
        <v>1</v>
      </c>
      <c r="E17" s="223">
        <v>2455.3599120972685</v>
      </c>
      <c r="F17" s="223">
        <f>$D17*E17</f>
        <v>2455.3599120972685</v>
      </c>
    </row>
    <row r="18" spans="1:6" s="104" customFormat="1" ht="141.75" x14ac:dyDescent="0.25">
      <c r="A18" s="169"/>
      <c r="B18" s="170" t="s">
        <v>672</v>
      </c>
      <c r="C18" s="171"/>
      <c r="D18" s="169"/>
      <c r="E18" s="225"/>
      <c r="F18" s="225"/>
    </row>
    <row r="19" spans="1:6" ht="15.75" x14ac:dyDescent="0.2">
      <c r="A19" s="169"/>
      <c r="B19" s="170" t="s">
        <v>270</v>
      </c>
      <c r="C19" s="171"/>
      <c r="D19" s="169"/>
      <c r="E19" s="225"/>
      <c r="F19" s="225"/>
    </row>
    <row r="20" spans="1:6" s="104" customFormat="1" ht="15.75" x14ac:dyDescent="0.25">
      <c r="A20" s="172">
        <v>4.0050000000000017</v>
      </c>
      <c r="B20" s="173" t="s">
        <v>271</v>
      </c>
      <c r="C20" s="174" t="s">
        <v>659</v>
      </c>
      <c r="D20" s="172">
        <v>1</v>
      </c>
      <c r="E20" s="223">
        <v>2119.7514494194802</v>
      </c>
      <c r="F20" s="223">
        <f>$D20*E20</f>
        <v>2119.7514494194802</v>
      </c>
    </row>
    <row r="21" spans="1:6" x14ac:dyDescent="0.2">
      <c r="A21" s="211">
        <v>4.006000000000002</v>
      </c>
      <c r="B21" s="212" t="s">
        <v>272</v>
      </c>
      <c r="C21" s="219" t="s">
        <v>659</v>
      </c>
      <c r="D21" s="211">
        <v>1</v>
      </c>
      <c r="E21" s="223">
        <v>3346.1799341727342</v>
      </c>
      <c r="F21" s="223">
        <f>$D21*E21</f>
        <v>3346.1799341727342</v>
      </c>
    </row>
    <row r="22" spans="1:6" s="104" customFormat="1" ht="15.75" x14ac:dyDescent="0.25">
      <c r="A22" s="169"/>
      <c r="B22" s="170" t="s">
        <v>96</v>
      </c>
      <c r="C22" s="171"/>
      <c r="D22" s="169"/>
      <c r="E22" s="225"/>
      <c r="F22" s="225"/>
    </row>
    <row r="23" spans="1:6" x14ac:dyDescent="0.2">
      <c r="A23" s="172">
        <v>4.0070000000000023</v>
      </c>
      <c r="B23" s="173" t="s">
        <v>97</v>
      </c>
      <c r="C23" s="174" t="s">
        <v>659</v>
      </c>
      <c r="D23" s="172">
        <v>1</v>
      </c>
      <c r="E23" s="223">
        <v>75502.822570161065</v>
      </c>
      <c r="F23" s="223">
        <f>$D23*E23</f>
        <v>75502.822570161065</v>
      </c>
    </row>
    <row r="24" spans="1:6" s="104" customFormat="1" ht="15.75" x14ac:dyDescent="0.25">
      <c r="A24" s="172"/>
      <c r="B24" s="170" t="s">
        <v>95</v>
      </c>
      <c r="C24" s="174"/>
      <c r="D24" s="172"/>
      <c r="E24" s="223"/>
      <c r="F24" s="223"/>
    </row>
    <row r="25" spans="1:6" x14ac:dyDescent="0.2">
      <c r="A25" s="172">
        <v>4.0080000000000027</v>
      </c>
      <c r="B25" s="173" t="s">
        <v>104</v>
      </c>
      <c r="C25" s="174" t="s">
        <v>659</v>
      </c>
      <c r="D25" s="172">
        <v>1</v>
      </c>
      <c r="E25" s="223">
        <v>2050.3516775847374</v>
      </c>
      <c r="F25" s="223">
        <f>$D25*E25</f>
        <v>2050.3516775847374</v>
      </c>
    </row>
    <row r="26" spans="1:6" ht="47.25" x14ac:dyDescent="0.2">
      <c r="A26" s="169"/>
      <c r="B26" s="170" t="s">
        <v>673</v>
      </c>
      <c r="C26" s="171"/>
      <c r="D26" s="169"/>
      <c r="E26" s="225"/>
      <c r="F26" s="225"/>
    </row>
    <row r="27" spans="1:6" x14ac:dyDescent="0.2">
      <c r="A27" s="172">
        <v>4.009000000000003</v>
      </c>
      <c r="B27" s="173" t="s">
        <v>77</v>
      </c>
      <c r="C27" s="174" t="s">
        <v>659</v>
      </c>
      <c r="D27" s="172">
        <v>1</v>
      </c>
      <c r="E27" s="223">
        <v>37477.215262734615</v>
      </c>
      <c r="F27" s="223">
        <f t="shared" ref="F27:F35" si="0">$D27*E27</f>
        <v>37477.215262734615</v>
      </c>
    </row>
    <row r="28" spans="1:6" x14ac:dyDescent="0.2">
      <c r="A28" s="172">
        <v>4.0100000000000033</v>
      </c>
      <c r="B28" s="173" t="s">
        <v>273</v>
      </c>
      <c r="C28" s="174" t="s">
        <v>659</v>
      </c>
      <c r="D28" s="172">
        <v>1</v>
      </c>
      <c r="E28" s="223">
        <v>37606.32426931474</v>
      </c>
      <c r="F28" s="223">
        <f t="shared" si="0"/>
        <v>37606.32426931474</v>
      </c>
    </row>
    <row r="29" spans="1:6" x14ac:dyDescent="0.2">
      <c r="A29" s="172">
        <v>4.0110000000000037</v>
      </c>
      <c r="B29" s="173" t="s">
        <v>365</v>
      </c>
      <c r="C29" s="174" t="s">
        <v>659</v>
      </c>
      <c r="D29" s="172">
        <v>1</v>
      </c>
      <c r="E29" s="223">
        <v>53554.431991097779</v>
      </c>
      <c r="F29" s="223">
        <f t="shared" si="0"/>
        <v>53554.431991097779</v>
      </c>
    </row>
    <row r="30" spans="1:6" x14ac:dyDescent="0.2">
      <c r="A30" s="172">
        <v>4.012000000000004</v>
      </c>
      <c r="B30" s="173" t="s">
        <v>275</v>
      </c>
      <c r="C30" s="174" t="s">
        <v>659</v>
      </c>
      <c r="D30" s="172">
        <v>1</v>
      </c>
      <c r="E30" s="223">
        <v>2740.989831278253</v>
      </c>
      <c r="F30" s="223">
        <f t="shared" si="0"/>
        <v>2740.989831278253</v>
      </c>
    </row>
    <row r="31" spans="1:6" x14ac:dyDescent="0.2">
      <c r="A31" s="172">
        <v>4.0130000000000043</v>
      </c>
      <c r="B31" s="173" t="s">
        <v>276</v>
      </c>
      <c r="C31" s="174" t="s">
        <v>659</v>
      </c>
      <c r="D31" s="172">
        <v>1</v>
      </c>
      <c r="E31" s="223">
        <v>6626.2661222856877</v>
      </c>
      <c r="F31" s="223">
        <f t="shared" si="0"/>
        <v>6626.2661222856877</v>
      </c>
    </row>
    <row r="32" spans="1:6" x14ac:dyDescent="0.2">
      <c r="A32" s="172">
        <v>4.0140000000000047</v>
      </c>
      <c r="B32" s="173" t="s">
        <v>277</v>
      </c>
      <c r="C32" s="174" t="s">
        <v>659</v>
      </c>
      <c r="D32" s="172">
        <v>1</v>
      </c>
      <c r="E32" s="223">
        <v>7211.8074566067062</v>
      </c>
      <c r="F32" s="223">
        <f t="shared" si="0"/>
        <v>7211.8074566067062</v>
      </c>
    </row>
    <row r="33" spans="1:6" x14ac:dyDescent="0.2">
      <c r="A33" s="172">
        <v>4.015000000000005</v>
      </c>
      <c r="B33" s="173" t="s">
        <v>278</v>
      </c>
      <c r="C33" s="174" t="s">
        <v>659</v>
      </c>
      <c r="D33" s="172">
        <v>1</v>
      </c>
      <c r="E33" s="223">
        <v>12258.134568813528</v>
      </c>
      <c r="F33" s="223">
        <f t="shared" si="0"/>
        <v>12258.134568813528</v>
      </c>
    </row>
    <row r="34" spans="1:6" s="104" customFormat="1" ht="15.75" x14ac:dyDescent="0.25">
      <c r="A34" s="172">
        <v>4.0160000000000053</v>
      </c>
      <c r="B34" s="200" t="s">
        <v>80</v>
      </c>
      <c r="C34" s="174" t="s">
        <v>659</v>
      </c>
      <c r="D34" s="172">
        <v>1</v>
      </c>
      <c r="E34" s="223">
        <v>210118.1556180394</v>
      </c>
      <c r="F34" s="223">
        <f t="shared" si="0"/>
        <v>210118.1556180394</v>
      </c>
    </row>
    <row r="35" spans="1:6" s="104" customFormat="1" ht="15.75" x14ac:dyDescent="0.25">
      <c r="A35" s="172">
        <v>4.0170000000000057</v>
      </c>
      <c r="B35" s="200" t="s">
        <v>279</v>
      </c>
      <c r="C35" s="174" t="s">
        <v>659</v>
      </c>
      <c r="D35" s="172">
        <v>1</v>
      </c>
      <c r="E35" s="223">
        <v>4718.1137071835547</v>
      </c>
      <c r="F35" s="223">
        <f t="shared" si="0"/>
        <v>4718.1137071835547</v>
      </c>
    </row>
    <row r="36" spans="1:6" s="104" customFormat="1" ht="15.75" x14ac:dyDescent="0.25">
      <c r="A36" s="169"/>
      <c r="B36" s="170" t="s">
        <v>280</v>
      </c>
      <c r="C36" s="171"/>
      <c r="D36" s="169"/>
      <c r="E36" s="225"/>
      <c r="F36" s="225"/>
    </row>
    <row r="37" spans="1:6" ht="15.75" x14ac:dyDescent="0.2">
      <c r="A37" s="169"/>
      <c r="B37" s="170" t="s">
        <v>281</v>
      </c>
      <c r="C37" s="171"/>
      <c r="D37" s="169"/>
      <c r="E37" s="225"/>
      <c r="F37" s="225"/>
    </row>
    <row r="38" spans="1:6" s="104" customFormat="1" ht="94.5" x14ac:dyDescent="0.25">
      <c r="A38" s="169"/>
      <c r="B38" s="170" t="s">
        <v>712</v>
      </c>
      <c r="C38" s="171"/>
      <c r="D38" s="169"/>
      <c r="E38" s="225"/>
      <c r="F38" s="225"/>
    </row>
    <row r="39" spans="1:6" x14ac:dyDescent="0.2">
      <c r="A39" s="172">
        <v>4.018000000000006</v>
      </c>
      <c r="B39" s="173" t="s">
        <v>674</v>
      </c>
      <c r="C39" s="174" t="s">
        <v>659</v>
      </c>
      <c r="D39" s="172">
        <v>1</v>
      </c>
      <c r="E39" s="223">
        <v>8030.8318420145615</v>
      </c>
      <c r="F39" s="223">
        <f>$D39*E39</f>
        <v>8030.8318420145615</v>
      </c>
    </row>
    <row r="40" spans="1:6" s="95" customFormat="1" ht="141.75" x14ac:dyDescent="0.2">
      <c r="A40" s="169"/>
      <c r="B40" s="170" t="s">
        <v>719</v>
      </c>
      <c r="C40" s="171"/>
      <c r="D40" s="169"/>
      <c r="E40" s="225"/>
      <c r="F40" s="225"/>
    </row>
    <row r="41" spans="1:6" x14ac:dyDescent="0.2">
      <c r="A41" s="172">
        <v>4.0190000000000063</v>
      </c>
      <c r="B41" s="173" t="s">
        <v>283</v>
      </c>
      <c r="C41" s="174" t="s">
        <v>659</v>
      </c>
      <c r="D41" s="172">
        <v>1</v>
      </c>
      <c r="E41" s="223">
        <v>18738.607631367307</v>
      </c>
      <c r="F41" s="223">
        <f>$D41*E41</f>
        <v>18738.607631367307</v>
      </c>
    </row>
    <row r="42" spans="1:6" ht="15.75" x14ac:dyDescent="0.2">
      <c r="A42" s="177"/>
      <c r="B42" s="171" t="s">
        <v>284</v>
      </c>
      <c r="C42" s="174"/>
      <c r="D42" s="178"/>
      <c r="E42" s="224"/>
      <c r="F42" s="225">
        <f>SUM(F10:F41)</f>
        <v>566575.37384020363</v>
      </c>
    </row>
    <row r="43" spans="1:6" x14ac:dyDescent="0.2">
      <c r="E43" s="88"/>
    </row>
  </sheetData>
  <sheetProtection formatCells="0" formatColumns="0" formatRows="0" insertColumns="0" insertRows="0" insertHyperlinks="0" deleteColumns="0" deleteRows="0" sort="0" autoFilter="0" pivotTables="0"/>
  <autoFilter ref="A6:F42" xr:uid="{81BEDCA0-7D50-46C1-A294-D30A890A4385}"/>
  <conditionalFormatting sqref="B11:B39">
    <cfRule type="cellIs" dxfId="0" priority="1" operator="equal">
      <formula>0</formula>
    </cfRule>
  </conditionalFormatting>
  <pageMargins left="0.47244094488188981" right="0.47244094488188981" top="0.74803149606299213" bottom="0.74803149606299213" header="0.31496062992125984" footer="0.31496062992125984"/>
  <pageSetup paperSize="9" scale="91" orientation="landscape" r:id="rId1"/>
  <headerFooter>
    <oddFooter>&amp;C&amp;"Arial,Bold"&amp;16&amp;P/&amp;N</oddFooter>
  </headerFooter>
  <rowBreaks count="1" manualBreakCount="1">
    <brk id="13" max="5"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16F1-EBE9-43AF-8093-BAAC58133368}">
  <dimension ref="A1:F42"/>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146"/>
    <col min="2" max="2" width="75.28515625" style="86" customWidth="1"/>
    <col min="3" max="3" width="13.5703125" style="88" customWidth="1"/>
    <col min="4" max="4" width="14.28515625" style="88" customWidth="1"/>
    <col min="5" max="5" width="17.85546875" style="125" customWidth="1"/>
    <col min="6" max="6" width="19.5703125" style="109" customWidth="1"/>
    <col min="7" max="16384" width="9.140625" style="90"/>
  </cols>
  <sheetData>
    <row r="1" spans="1:6" x14ac:dyDescent="0.2">
      <c r="A1" s="143"/>
      <c r="B1" s="87"/>
      <c r="F1" s="89"/>
    </row>
    <row r="2" spans="1:6" x14ac:dyDescent="0.2">
      <c r="A2" s="143"/>
      <c r="B2" s="87"/>
      <c r="F2" s="89"/>
    </row>
    <row r="3" spans="1:6" ht="12" customHeight="1" thickBot="1" x14ac:dyDescent="0.25">
      <c r="A3" s="143"/>
      <c r="B3" s="273"/>
      <c r="C3" s="274"/>
      <c r="F3" s="89"/>
    </row>
    <row r="4" spans="1:6" ht="33.950000000000003" customHeight="1" x14ac:dyDescent="0.2">
      <c r="A4" s="143"/>
      <c r="B4" s="87"/>
      <c r="F4" s="89"/>
    </row>
    <row r="5" spans="1:6" s="95" customFormat="1" ht="15.75" x14ac:dyDescent="0.2">
      <c r="A5" s="144"/>
      <c r="B5" s="92" t="s">
        <v>285</v>
      </c>
      <c r="C5" s="93"/>
      <c r="D5" s="93"/>
      <c r="E5" s="103"/>
      <c r="F5" s="94"/>
    </row>
    <row r="6" spans="1:6" s="100" customFormat="1" ht="63" x14ac:dyDescent="0.2">
      <c r="A6" s="138" t="s">
        <v>14</v>
      </c>
      <c r="B6" s="97" t="s">
        <v>0</v>
      </c>
      <c r="C6" s="96" t="s">
        <v>15</v>
      </c>
      <c r="D6" s="98" t="s">
        <v>16</v>
      </c>
      <c r="E6" s="99" t="s">
        <v>17</v>
      </c>
      <c r="F6" s="99" t="s">
        <v>53</v>
      </c>
    </row>
    <row r="7" spans="1:6" s="104" customFormat="1" ht="15.75" x14ac:dyDescent="0.25">
      <c r="A7" s="107"/>
      <c r="B7" s="101" t="s">
        <v>286</v>
      </c>
      <c r="C7" s="93"/>
      <c r="D7" s="93"/>
      <c r="E7" s="103"/>
      <c r="F7" s="103"/>
    </row>
    <row r="8" spans="1:6" s="104" customFormat="1" ht="15.75" x14ac:dyDescent="0.25">
      <c r="A8" s="147"/>
      <c r="B8" s="148" t="s">
        <v>287</v>
      </c>
      <c r="C8" s="93"/>
      <c r="D8" s="149"/>
      <c r="E8" s="150"/>
      <c r="F8" s="103"/>
    </row>
    <row r="9" spans="1:6" s="104" customFormat="1" ht="30" x14ac:dyDescent="0.25">
      <c r="A9" s="147">
        <v>5.0010000000000003</v>
      </c>
      <c r="B9" s="151" t="s">
        <v>288</v>
      </c>
      <c r="C9" s="93" t="s">
        <v>289</v>
      </c>
      <c r="D9" s="149">
        <v>1</v>
      </c>
      <c r="E9" s="224">
        <v>124949.70492194405</v>
      </c>
      <c r="F9" s="223">
        <f>$D9*E9</f>
        <v>124949.70492194405</v>
      </c>
    </row>
    <row r="10" spans="1:6" s="104" customFormat="1" ht="45" x14ac:dyDescent="0.25">
      <c r="A10" s="107">
        <v>5.0020000000000007</v>
      </c>
      <c r="B10" s="151" t="s">
        <v>290</v>
      </c>
      <c r="C10" s="93" t="s">
        <v>289</v>
      </c>
      <c r="D10" s="149">
        <v>1</v>
      </c>
      <c r="E10" s="224">
        <v>40667.797829968316</v>
      </c>
      <c r="F10" s="223">
        <f>$D10*E10</f>
        <v>40667.797829968316</v>
      </c>
    </row>
    <row r="11" spans="1:6" s="104" customFormat="1" ht="45" x14ac:dyDescent="0.25">
      <c r="A11" s="107">
        <v>5.003000000000001</v>
      </c>
      <c r="B11" s="151" t="s">
        <v>291</v>
      </c>
      <c r="C11" s="93" t="s">
        <v>289</v>
      </c>
      <c r="D11" s="149">
        <v>1</v>
      </c>
      <c r="E11" s="224">
        <v>531639.39485139691</v>
      </c>
      <c r="F11" s="223">
        <f t="shared" ref="F11:F18" si="0">$D11*E11</f>
        <v>531639.39485139691</v>
      </c>
    </row>
    <row r="12" spans="1:6" s="104" customFormat="1" ht="30" x14ac:dyDescent="0.25">
      <c r="A12" s="107">
        <v>5.0040000000000013</v>
      </c>
      <c r="B12" s="151" t="s">
        <v>292</v>
      </c>
      <c r="C12" s="93" t="s">
        <v>659</v>
      </c>
      <c r="D12" s="201">
        <v>1</v>
      </c>
      <c r="E12" s="224">
        <v>147036.16557745117</v>
      </c>
      <c r="F12" s="223">
        <f t="shared" si="0"/>
        <v>147036.16557745117</v>
      </c>
    </row>
    <row r="13" spans="1:6" s="104" customFormat="1" ht="45" x14ac:dyDescent="0.25">
      <c r="A13" s="107">
        <v>5.0050000000000017</v>
      </c>
      <c r="B13" s="151" t="s">
        <v>293</v>
      </c>
      <c r="C13" s="93" t="s">
        <v>659</v>
      </c>
      <c r="D13" s="201">
        <v>1</v>
      </c>
      <c r="E13" s="224">
        <v>446271.6523707821</v>
      </c>
      <c r="F13" s="223">
        <f t="shared" si="0"/>
        <v>446271.6523707821</v>
      </c>
    </row>
    <row r="14" spans="1:6" s="104" customFormat="1" ht="45" x14ac:dyDescent="0.25">
      <c r="A14" s="107">
        <v>5.006000000000002</v>
      </c>
      <c r="B14" s="151" t="s">
        <v>294</v>
      </c>
      <c r="C14" s="93" t="s">
        <v>289</v>
      </c>
      <c r="D14" s="149">
        <v>8</v>
      </c>
      <c r="E14" s="224">
        <v>184262.41734512284</v>
      </c>
      <c r="F14" s="223">
        <f t="shared" si="0"/>
        <v>1474099.3387609827</v>
      </c>
    </row>
    <row r="15" spans="1:6" s="104" customFormat="1" ht="15.75" x14ac:dyDescent="0.25">
      <c r="A15" s="107">
        <v>5.0070000000000023</v>
      </c>
      <c r="B15" s="151" t="s">
        <v>295</v>
      </c>
      <c r="C15" s="93" t="s">
        <v>289</v>
      </c>
      <c r="D15" s="149">
        <v>8</v>
      </c>
      <c r="E15" s="224">
        <v>3588.7779794002572</v>
      </c>
      <c r="F15" s="223">
        <f t="shared" si="0"/>
        <v>28710.223835202058</v>
      </c>
    </row>
    <row r="16" spans="1:6" s="104" customFormat="1" ht="45" x14ac:dyDescent="0.25">
      <c r="A16" s="107">
        <v>5.0080000000000027</v>
      </c>
      <c r="B16" s="151" t="s">
        <v>296</v>
      </c>
      <c r="C16" s="93" t="s">
        <v>289</v>
      </c>
      <c r="D16" s="149">
        <v>2</v>
      </c>
      <c r="E16" s="224">
        <v>29212.150825327968</v>
      </c>
      <c r="F16" s="223">
        <f t="shared" si="0"/>
        <v>58424.301650655936</v>
      </c>
    </row>
    <row r="17" spans="1:6" s="104" customFormat="1" ht="15.75" x14ac:dyDescent="0.25">
      <c r="A17" s="107">
        <v>5.009000000000003</v>
      </c>
      <c r="B17" s="102" t="s">
        <v>297</v>
      </c>
      <c r="C17" s="93" t="s">
        <v>659</v>
      </c>
      <c r="D17" s="93">
        <v>1</v>
      </c>
      <c r="E17" s="224">
        <v>7968.9275132323655</v>
      </c>
      <c r="F17" s="223">
        <f t="shared" si="0"/>
        <v>7968.9275132323655</v>
      </c>
    </row>
    <row r="18" spans="1:6" s="104" customFormat="1" ht="15.75" x14ac:dyDescent="0.25">
      <c r="A18" s="107">
        <v>5.0100000000000033</v>
      </c>
      <c r="B18" s="102" t="s">
        <v>298</v>
      </c>
      <c r="C18" s="93" t="s">
        <v>659</v>
      </c>
      <c r="D18" s="201">
        <v>1</v>
      </c>
      <c r="E18" s="224">
        <v>119528.89342858423</v>
      </c>
      <c r="F18" s="223">
        <f t="shared" si="0"/>
        <v>119528.89342858423</v>
      </c>
    </row>
    <row r="19" spans="1:6" s="104" customFormat="1" ht="15.75" x14ac:dyDescent="0.25">
      <c r="A19" s="147"/>
      <c r="B19" s="152" t="s">
        <v>299</v>
      </c>
      <c r="C19" s="93"/>
      <c r="D19" s="149"/>
      <c r="E19" s="224"/>
      <c r="F19" s="223"/>
    </row>
    <row r="20" spans="1:6" s="104" customFormat="1" ht="45" x14ac:dyDescent="0.25">
      <c r="A20" s="107">
        <v>5.0110000000000037</v>
      </c>
      <c r="B20" s="151" t="s">
        <v>300</v>
      </c>
      <c r="C20" s="93" t="s">
        <v>79</v>
      </c>
      <c r="D20" s="149">
        <v>8</v>
      </c>
      <c r="E20" s="224">
        <v>14221.26472023412</v>
      </c>
      <c r="F20" s="223">
        <f>$D20*E20</f>
        <v>113770.11776187296</v>
      </c>
    </row>
    <row r="21" spans="1:6" s="104" customFormat="1" ht="15.75" x14ac:dyDescent="0.25">
      <c r="A21" s="107">
        <v>5.012000000000004</v>
      </c>
      <c r="B21" s="152" t="s">
        <v>301</v>
      </c>
      <c r="C21" s="93"/>
      <c r="D21" s="149"/>
      <c r="E21" s="224"/>
      <c r="F21" s="223"/>
    </row>
    <row r="22" spans="1:6" s="104" customFormat="1" ht="60" x14ac:dyDescent="0.25">
      <c r="A22" s="107">
        <v>5.0130000000000043</v>
      </c>
      <c r="B22" s="151" t="s">
        <v>302</v>
      </c>
      <c r="C22" s="93" t="s">
        <v>289</v>
      </c>
      <c r="D22" s="149">
        <v>4</v>
      </c>
      <c r="E22" s="224">
        <v>99607.411190486848</v>
      </c>
      <c r="F22" s="223">
        <f>$D22*E22</f>
        <v>398429.64476194739</v>
      </c>
    </row>
    <row r="23" spans="1:6" s="104" customFormat="1" ht="45" x14ac:dyDescent="0.25">
      <c r="A23" s="107">
        <v>5.0140000000000047</v>
      </c>
      <c r="B23" s="151" t="s">
        <v>303</v>
      </c>
      <c r="C23" s="93" t="s">
        <v>289</v>
      </c>
      <c r="D23" s="149">
        <v>4</v>
      </c>
      <c r="E23" s="224">
        <v>119528.89342858423</v>
      </c>
      <c r="F23" s="223">
        <f>$D23*E23</f>
        <v>478115.5737143369</v>
      </c>
    </row>
    <row r="24" spans="1:6" s="104" customFormat="1" ht="30" x14ac:dyDescent="0.25">
      <c r="A24" s="107">
        <v>5.015000000000005</v>
      </c>
      <c r="B24" s="151" t="s">
        <v>304</v>
      </c>
      <c r="C24" s="93" t="s">
        <v>289</v>
      </c>
      <c r="D24" s="149">
        <v>10</v>
      </c>
      <c r="E24" s="224">
        <v>41318.629827164921</v>
      </c>
      <c r="F24" s="223">
        <f>$D24*E24</f>
        <v>413186.29827164923</v>
      </c>
    </row>
    <row r="25" spans="1:6" s="104" customFormat="1" ht="15.75" x14ac:dyDescent="0.25">
      <c r="A25" s="107"/>
      <c r="B25" s="140" t="s">
        <v>257</v>
      </c>
      <c r="C25" s="141"/>
      <c r="D25" s="201"/>
      <c r="E25" s="108"/>
      <c r="F25" s="223"/>
    </row>
    <row r="26" spans="1:6" s="104" customFormat="1" ht="15.75" x14ac:dyDescent="0.25">
      <c r="A26" s="107">
        <v>5.0160000000000053</v>
      </c>
      <c r="B26" s="142" t="s">
        <v>258</v>
      </c>
      <c r="C26" s="93" t="s">
        <v>659</v>
      </c>
      <c r="D26" s="201">
        <v>1</v>
      </c>
      <c r="E26" s="224">
        <v>147566.53509701756</v>
      </c>
      <c r="F26" s="223">
        <f>$D26*E26</f>
        <v>147566.53509701756</v>
      </c>
    </row>
    <row r="27" spans="1:6" s="104" customFormat="1" ht="15.75" x14ac:dyDescent="0.25">
      <c r="A27" s="107"/>
      <c r="B27" s="140" t="s">
        <v>305</v>
      </c>
      <c r="C27" s="141"/>
      <c r="D27" s="201"/>
      <c r="E27" s="108"/>
      <c r="F27" s="223"/>
    </row>
    <row r="28" spans="1:6" s="104" customFormat="1" ht="15.75" x14ac:dyDescent="0.25">
      <c r="A28" s="107"/>
      <c r="B28" s="202" t="s">
        <v>306</v>
      </c>
      <c r="C28" s="93"/>
      <c r="D28" s="201"/>
      <c r="E28" s="108"/>
      <c r="F28" s="223"/>
    </row>
    <row r="29" spans="1:6" s="104" customFormat="1" ht="15.75" x14ac:dyDescent="0.25">
      <c r="A29" s="107">
        <v>5.0170000000000057</v>
      </c>
      <c r="B29" s="151" t="s">
        <v>307</v>
      </c>
      <c r="C29" s="141" t="s">
        <v>289</v>
      </c>
      <c r="D29" s="201">
        <v>1</v>
      </c>
      <c r="E29" s="224">
        <v>68434.398923733665</v>
      </c>
      <c r="F29" s="223">
        <f>$D29*E29</f>
        <v>68434.398923733665</v>
      </c>
    </row>
    <row r="30" spans="1:6" s="104" customFormat="1" ht="15.75" x14ac:dyDescent="0.25">
      <c r="A30" s="107">
        <v>5.018000000000006</v>
      </c>
      <c r="B30" s="151" t="s">
        <v>308</v>
      </c>
      <c r="C30" s="141" t="s">
        <v>289</v>
      </c>
      <c r="D30" s="201">
        <v>1</v>
      </c>
      <c r="E30" s="224">
        <v>7528.9048518886511</v>
      </c>
      <c r="F30" s="223">
        <f>$D30*E30</f>
        <v>7528.9048518886511</v>
      </c>
    </row>
    <row r="31" spans="1:6" s="104" customFormat="1" ht="15.75" x14ac:dyDescent="0.25">
      <c r="A31" s="107">
        <v>5.0190000000000063</v>
      </c>
      <c r="B31" s="151" t="s">
        <v>309</v>
      </c>
      <c r="C31" s="141" t="s">
        <v>289</v>
      </c>
      <c r="D31" s="201">
        <v>1</v>
      </c>
      <c r="E31" s="224">
        <v>11910.727475687847</v>
      </c>
      <c r="F31" s="223">
        <f>$D31*E31</f>
        <v>11910.727475687847</v>
      </c>
    </row>
    <row r="32" spans="1:6" s="104" customFormat="1" ht="15.75" x14ac:dyDescent="0.25">
      <c r="A32" s="107">
        <v>5.0200000000000067</v>
      </c>
      <c r="B32" s="151" t="s">
        <v>310</v>
      </c>
      <c r="C32" s="141" t="s">
        <v>289</v>
      </c>
      <c r="D32" s="201">
        <v>1</v>
      </c>
      <c r="E32" s="224">
        <v>1425.4726519575845</v>
      </c>
      <c r="F32" s="223">
        <f>$D32*E32</f>
        <v>1425.4726519575845</v>
      </c>
    </row>
    <row r="33" spans="1:6" s="104" customFormat="1" ht="15.75" x14ac:dyDescent="0.25">
      <c r="A33" s="107">
        <v>5.021000000000007</v>
      </c>
      <c r="B33" s="142" t="s">
        <v>311</v>
      </c>
      <c r="C33" s="141" t="s">
        <v>289</v>
      </c>
      <c r="D33" s="201">
        <v>1</v>
      </c>
      <c r="E33" s="224">
        <v>8345.3727558267983</v>
      </c>
      <c r="F33" s="223">
        <f>$D33*E33</f>
        <v>8345.3727558267983</v>
      </c>
    </row>
    <row r="34" spans="1:6" s="104" customFormat="1" ht="15.75" x14ac:dyDescent="0.25">
      <c r="A34" s="107"/>
      <c r="B34" s="202" t="s">
        <v>312</v>
      </c>
      <c r="C34" s="93"/>
      <c r="D34" s="201"/>
      <c r="E34" s="108"/>
      <c r="F34" s="223"/>
    </row>
    <row r="35" spans="1:6" s="104" customFormat="1" ht="96" customHeight="1" x14ac:dyDescent="0.25">
      <c r="A35" s="107">
        <v>5.0220000000000073</v>
      </c>
      <c r="B35" s="151" t="s">
        <v>313</v>
      </c>
      <c r="C35" s="93" t="s">
        <v>659</v>
      </c>
      <c r="D35" s="201">
        <v>1</v>
      </c>
      <c r="E35" s="224">
        <v>250863.10966492986</v>
      </c>
      <c r="F35" s="223">
        <f>$D35*E35</f>
        <v>250863.10966492986</v>
      </c>
    </row>
    <row r="36" spans="1:6" s="104" customFormat="1" ht="15.75" x14ac:dyDescent="0.25">
      <c r="A36" s="107"/>
      <c r="B36" s="195" t="s">
        <v>314</v>
      </c>
      <c r="C36" s="141"/>
      <c r="D36" s="201"/>
      <c r="E36" s="108"/>
      <c r="F36" s="223"/>
    </row>
    <row r="37" spans="1:6" s="104" customFormat="1" ht="15.75" x14ac:dyDescent="0.25">
      <c r="A37" s="107">
        <v>5.0230000000000077</v>
      </c>
      <c r="B37" s="142" t="s">
        <v>315</v>
      </c>
      <c r="C37" s="93" t="s">
        <v>659</v>
      </c>
      <c r="D37" s="201">
        <v>1</v>
      </c>
      <c r="E37" s="224">
        <v>103296.57456791231</v>
      </c>
      <c r="F37" s="223">
        <f>$D37*E37</f>
        <v>103296.57456791231</v>
      </c>
    </row>
    <row r="38" spans="1:6" s="104" customFormat="1" ht="45" x14ac:dyDescent="0.25">
      <c r="A38" s="107">
        <v>5.024000000000008</v>
      </c>
      <c r="B38" s="151" t="s">
        <v>316</v>
      </c>
      <c r="C38" s="93" t="s">
        <v>659</v>
      </c>
      <c r="D38" s="201">
        <v>1</v>
      </c>
      <c r="E38" s="224">
        <v>44269.960529105265</v>
      </c>
      <c r="F38" s="223">
        <f>$D38*E38</f>
        <v>44269.960529105265</v>
      </c>
    </row>
    <row r="39" spans="1:6" s="104" customFormat="1" ht="15.75" x14ac:dyDescent="0.25">
      <c r="A39" s="107">
        <v>5.0250000000000083</v>
      </c>
      <c r="B39" s="142" t="s">
        <v>317</v>
      </c>
      <c r="C39" s="93" t="s">
        <v>659</v>
      </c>
      <c r="D39" s="201">
        <v>1</v>
      </c>
      <c r="E39" s="224">
        <v>44269.960529105265</v>
      </c>
      <c r="F39" s="223">
        <f>$D39*E39</f>
        <v>44269.960529105265</v>
      </c>
    </row>
    <row r="40" spans="1:6" s="104" customFormat="1" ht="30" x14ac:dyDescent="0.25">
      <c r="A40" s="107">
        <v>5.0260000000000087</v>
      </c>
      <c r="B40" s="102" t="s">
        <v>318</v>
      </c>
      <c r="C40" s="93" t="s">
        <v>659</v>
      </c>
      <c r="D40" s="93">
        <v>1</v>
      </c>
      <c r="E40" s="224">
        <v>49208.52844371667</v>
      </c>
      <c r="F40" s="223">
        <f>$D40*E40</f>
        <v>49208.52844371667</v>
      </c>
    </row>
    <row r="41" spans="1:6" s="95" customFormat="1" ht="25.5" customHeight="1" x14ac:dyDescent="0.2">
      <c r="A41" s="145"/>
      <c r="B41" s="98" t="s">
        <v>319</v>
      </c>
      <c r="C41" s="91"/>
      <c r="D41" s="108"/>
      <c r="E41" s="224"/>
      <c r="F41" s="225">
        <f>SUM(F9:F40)</f>
        <v>5119917.5807408858</v>
      </c>
    </row>
    <row r="42" spans="1:6" x14ac:dyDescent="0.2">
      <c r="D42" s="250"/>
      <c r="E42" s="250"/>
    </row>
  </sheetData>
  <sheetProtection formatCells="0" formatColumns="0" formatRows="0" insertColumns="0" insertRows="0" insertHyperlinks="0" deleteColumns="0" deleteRows="0" sort="0" autoFilter="0" pivotTables="0"/>
  <protectedRanges>
    <protectedRange sqref="F41" name="Range1_1_1"/>
  </protectedRanges>
  <autoFilter ref="A6:F41" xr:uid="{A76416F1-EBE9-43AF-8093-BAAC58133368}"/>
  <pageMargins left="0.47244094488188981" right="0.47244094488188981" top="0.74803149606299213" bottom="0.74803149606299213" header="0.31496062992125984" footer="0.31496062992125984"/>
  <pageSetup paperSize="9" scale="88" fitToHeight="0" orientation="landscape" r:id="rId1"/>
  <headerFooter>
    <oddFooter>&amp;C&amp;"Arial,Bold"&amp;16&amp;P/&amp;N</oddFooter>
  </headerFooter>
  <rowBreaks count="2" manualBreakCount="2">
    <brk id="18" max="5" man="1"/>
    <brk id="33" max="5"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E540-0057-4503-845F-FD5B9AC10B5D}">
  <dimension ref="A1:X22"/>
  <sheetViews>
    <sheetView view="pageBreakPreview" topLeftCell="C1" zoomScale="40" zoomScaleNormal="100" zoomScaleSheetLayoutView="40" workbookViewId="0">
      <selection activeCell="C3" sqref="C3"/>
    </sheetView>
  </sheetViews>
  <sheetFormatPr defaultRowHeight="15.75" x14ac:dyDescent="0.25"/>
  <cols>
    <col min="1" max="1" width="17.28515625" style="62" customWidth="1"/>
    <col min="2" max="2" width="101.140625" style="84" customWidth="1"/>
    <col min="3" max="3" width="123" style="85" customWidth="1"/>
    <col min="4" max="5" width="8.85546875" style="65"/>
    <col min="6" max="6" width="36.42578125" style="65" customWidth="1"/>
    <col min="7" max="7" width="27.28515625" style="65" customWidth="1"/>
    <col min="8" max="255" width="8.85546875" style="65"/>
    <col min="256" max="256" width="11.7109375" style="65" customWidth="1"/>
    <col min="257" max="257" width="87" style="65" customWidth="1"/>
    <col min="258" max="258" width="70.5703125" style="65" customWidth="1"/>
    <col min="259" max="259" width="70.7109375" style="65" customWidth="1"/>
    <col min="260" max="511" width="8.85546875" style="65"/>
    <col min="512" max="512" width="11.7109375" style="65" customWidth="1"/>
    <col min="513" max="513" width="87" style="65" customWidth="1"/>
    <col min="514" max="514" width="70.5703125" style="65" customWidth="1"/>
    <col min="515" max="515" width="70.7109375" style="65" customWidth="1"/>
    <col min="516" max="767" width="8.85546875" style="65"/>
    <col min="768" max="768" width="11.7109375" style="65" customWidth="1"/>
    <col min="769" max="769" width="87" style="65" customWidth="1"/>
    <col min="770" max="770" width="70.5703125" style="65" customWidth="1"/>
    <col min="771" max="771" width="70.7109375" style="65" customWidth="1"/>
    <col min="772" max="1023" width="8.85546875" style="65"/>
    <col min="1024" max="1024" width="11.7109375" style="65" customWidth="1"/>
    <col min="1025" max="1025" width="87" style="65" customWidth="1"/>
    <col min="1026" max="1026" width="70.5703125" style="65" customWidth="1"/>
    <col min="1027" max="1027" width="70.7109375" style="65" customWidth="1"/>
    <col min="1028" max="1279" width="8.85546875" style="65"/>
    <col min="1280" max="1280" width="11.7109375" style="65" customWidth="1"/>
    <col min="1281" max="1281" width="87" style="65" customWidth="1"/>
    <col min="1282" max="1282" width="70.5703125" style="65" customWidth="1"/>
    <col min="1283" max="1283" width="70.7109375" style="65" customWidth="1"/>
    <col min="1284" max="1535" width="8.85546875" style="65"/>
    <col min="1536" max="1536" width="11.7109375" style="65" customWidth="1"/>
    <col min="1537" max="1537" width="87" style="65" customWidth="1"/>
    <col min="1538" max="1538" width="70.5703125" style="65" customWidth="1"/>
    <col min="1539" max="1539" width="70.7109375" style="65" customWidth="1"/>
    <col min="1540" max="1791" width="8.85546875" style="65"/>
    <col min="1792" max="1792" width="11.7109375" style="65" customWidth="1"/>
    <col min="1793" max="1793" width="87" style="65" customWidth="1"/>
    <col min="1794" max="1794" width="70.5703125" style="65" customWidth="1"/>
    <col min="1795" max="1795" width="70.7109375" style="65" customWidth="1"/>
    <col min="1796" max="2047" width="8.85546875" style="65"/>
    <col min="2048" max="2048" width="11.7109375" style="65" customWidth="1"/>
    <col min="2049" max="2049" width="87" style="65" customWidth="1"/>
    <col min="2050" max="2050" width="70.5703125" style="65" customWidth="1"/>
    <col min="2051" max="2051" width="70.7109375" style="65" customWidth="1"/>
    <col min="2052" max="2303" width="8.85546875" style="65"/>
    <col min="2304" max="2304" width="11.7109375" style="65" customWidth="1"/>
    <col min="2305" max="2305" width="87" style="65" customWidth="1"/>
    <col min="2306" max="2306" width="70.5703125" style="65" customWidth="1"/>
    <col min="2307" max="2307" width="70.7109375" style="65" customWidth="1"/>
    <col min="2308" max="2559" width="8.85546875" style="65"/>
    <col min="2560" max="2560" width="11.7109375" style="65" customWidth="1"/>
    <col min="2561" max="2561" width="87" style="65" customWidth="1"/>
    <col min="2562" max="2562" width="70.5703125" style="65" customWidth="1"/>
    <col min="2563" max="2563" width="70.7109375" style="65" customWidth="1"/>
    <col min="2564" max="2815" width="8.85546875" style="65"/>
    <col min="2816" max="2816" width="11.7109375" style="65" customWidth="1"/>
    <col min="2817" max="2817" width="87" style="65" customWidth="1"/>
    <col min="2818" max="2818" width="70.5703125" style="65" customWidth="1"/>
    <col min="2819" max="2819" width="70.7109375" style="65" customWidth="1"/>
    <col min="2820" max="3071" width="8.85546875" style="65"/>
    <col min="3072" max="3072" width="11.7109375" style="65" customWidth="1"/>
    <col min="3073" max="3073" width="87" style="65" customWidth="1"/>
    <col min="3074" max="3074" width="70.5703125" style="65" customWidth="1"/>
    <col min="3075" max="3075" width="70.7109375" style="65" customWidth="1"/>
    <col min="3076" max="3327" width="8.85546875" style="65"/>
    <col min="3328" max="3328" width="11.7109375" style="65" customWidth="1"/>
    <col min="3329" max="3329" width="87" style="65" customWidth="1"/>
    <col min="3330" max="3330" width="70.5703125" style="65" customWidth="1"/>
    <col min="3331" max="3331" width="70.7109375" style="65" customWidth="1"/>
    <col min="3332" max="3583" width="8.85546875" style="65"/>
    <col min="3584" max="3584" width="11.7109375" style="65" customWidth="1"/>
    <col min="3585" max="3585" width="87" style="65" customWidth="1"/>
    <col min="3586" max="3586" width="70.5703125" style="65" customWidth="1"/>
    <col min="3587" max="3587" width="70.7109375" style="65" customWidth="1"/>
    <col min="3588" max="3839" width="8.85546875" style="65"/>
    <col min="3840" max="3840" width="11.7109375" style="65" customWidth="1"/>
    <col min="3841" max="3841" width="87" style="65" customWidth="1"/>
    <col min="3842" max="3842" width="70.5703125" style="65" customWidth="1"/>
    <col min="3843" max="3843" width="70.7109375" style="65" customWidth="1"/>
    <col min="3844" max="4095" width="8.85546875" style="65"/>
    <col min="4096" max="4096" width="11.7109375" style="65" customWidth="1"/>
    <col min="4097" max="4097" width="87" style="65" customWidth="1"/>
    <col min="4098" max="4098" width="70.5703125" style="65" customWidth="1"/>
    <col min="4099" max="4099" width="70.7109375" style="65" customWidth="1"/>
    <col min="4100" max="4351" width="8.85546875" style="65"/>
    <col min="4352" max="4352" width="11.7109375" style="65" customWidth="1"/>
    <col min="4353" max="4353" width="87" style="65" customWidth="1"/>
    <col min="4354" max="4354" width="70.5703125" style="65" customWidth="1"/>
    <col min="4355" max="4355" width="70.7109375" style="65" customWidth="1"/>
    <col min="4356" max="4607" width="8.85546875" style="65"/>
    <col min="4608" max="4608" width="11.7109375" style="65" customWidth="1"/>
    <col min="4609" max="4609" width="87" style="65" customWidth="1"/>
    <col min="4610" max="4610" width="70.5703125" style="65" customWidth="1"/>
    <col min="4611" max="4611" width="70.7109375" style="65" customWidth="1"/>
    <col min="4612" max="4863" width="8.85546875" style="65"/>
    <col min="4864" max="4864" width="11.7109375" style="65" customWidth="1"/>
    <col min="4865" max="4865" width="87" style="65" customWidth="1"/>
    <col min="4866" max="4866" width="70.5703125" style="65" customWidth="1"/>
    <col min="4867" max="4867" width="70.7109375" style="65" customWidth="1"/>
    <col min="4868" max="5119" width="8.85546875" style="65"/>
    <col min="5120" max="5120" width="11.7109375" style="65" customWidth="1"/>
    <col min="5121" max="5121" width="87" style="65" customWidth="1"/>
    <col min="5122" max="5122" width="70.5703125" style="65" customWidth="1"/>
    <col min="5123" max="5123" width="70.7109375" style="65" customWidth="1"/>
    <col min="5124" max="5375" width="8.85546875" style="65"/>
    <col min="5376" max="5376" width="11.7109375" style="65" customWidth="1"/>
    <col min="5377" max="5377" width="87" style="65" customWidth="1"/>
    <col min="5378" max="5378" width="70.5703125" style="65" customWidth="1"/>
    <col min="5379" max="5379" width="70.7109375" style="65" customWidth="1"/>
    <col min="5380" max="5631" width="8.85546875" style="65"/>
    <col min="5632" max="5632" width="11.7109375" style="65" customWidth="1"/>
    <col min="5633" max="5633" width="87" style="65" customWidth="1"/>
    <col min="5634" max="5634" width="70.5703125" style="65" customWidth="1"/>
    <col min="5635" max="5635" width="70.7109375" style="65" customWidth="1"/>
    <col min="5636" max="5887" width="8.85546875" style="65"/>
    <col min="5888" max="5888" width="11.7109375" style="65" customWidth="1"/>
    <col min="5889" max="5889" width="87" style="65" customWidth="1"/>
    <col min="5890" max="5890" width="70.5703125" style="65" customWidth="1"/>
    <col min="5891" max="5891" width="70.7109375" style="65" customWidth="1"/>
    <col min="5892" max="6143" width="8.85546875" style="65"/>
    <col min="6144" max="6144" width="11.7109375" style="65" customWidth="1"/>
    <col min="6145" max="6145" width="87" style="65" customWidth="1"/>
    <col min="6146" max="6146" width="70.5703125" style="65" customWidth="1"/>
    <col min="6147" max="6147" width="70.7109375" style="65" customWidth="1"/>
    <col min="6148" max="6399" width="8.85546875" style="65"/>
    <col min="6400" max="6400" width="11.7109375" style="65" customWidth="1"/>
    <col min="6401" max="6401" width="87" style="65" customWidth="1"/>
    <col min="6402" max="6402" width="70.5703125" style="65" customWidth="1"/>
    <col min="6403" max="6403" width="70.7109375" style="65" customWidth="1"/>
    <col min="6404" max="6655" width="8.85546875" style="65"/>
    <col min="6656" max="6656" width="11.7109375" style="65" customWidth="1"/>
    <col min="6657" max="6657" width="87" style="65" customWidth="1"/>
    <col min="6658" max="6658" width="70.5703125" style="65" customWidth="1"/>
    <col min="6659" max="6659" width="70.7109375" style="65" customWidth="1"/>
    <col min="6660" max="6911" width="8.85546875" style="65"/>
    <col min="6912" max="6912" width="11.7109375" style="65" customWidth="1"/>
    <col min="6913" max="6913" width="87" style="65" customWidth="1"/>
    <col min="6914" max="6914" width="70.5703125" style="65" customWidth="1"/>
    <col min="6915" max="6915" width="70.7109375" style="65" customWidth="1"/>
    <col min="6916" max="7167" width="8.85546875" style="65"/>
    <col min="7168" max="7168" width="11.7109375" style="65" customWidth="1"/>
    <col min="7169" max="7169" width="87" style="65" customWidth="1"/>
    <col min="7170" max="7170" width="70.5703125" style="65" customWidth="1"/>
    <col min="7171" max="7171" width="70.7109375" style="65" customWidth="1"/>
    <col min="7172" max="7423" width="8.85546875" style="65"/>
    <col min="7424" max="7424" width="11.7109375" style="65" customWidth="1"/>
    <col min="7425" max="7425" width="87" style="65" customWidth="1"/>
    <col min="7426" max="7426" width="70.5703125" style="65" customWidth="1"/>
    <col min="7427" max="7427" width="70.7109375" style="65" customWidth="1"/>
    <col min="7428" max="7679" width="8.85546875" style="65"/>
    <col min="7680" max="7680" width="11.7109375" style="65" customWidth="1"/>
    <col min="7681" max="7681" width="87" style="65" customWidth="1"/>
    <col min="7682" max="7682" width="70.5703125" style="65" customWidth="1"/>
    <col min="7683" max="7683" width="70.7109375" style="65" customWidth="1"/>
    <col min="7684" max="7935" width="8.85546875" style="65"/>
    <col min="7936" max="7936" width="11.7109375" style="65" customWidth="1"/>
    <col min="7937" max="7937" width="87" style="65" customWidth="1"/>
    <col min="7938" max="7938" width="70.5703125" style="65" customWidth="1"/>
    <col min="7939" max="7939" width="70.7109375" style="65" customWidth="1"/>
    <col min="7940" max="8191" width="8.85546875" style="65"/>
    <col min="8192" max="8192" width="11.7109375" style="65" customWidth="1"/>
    <col min="8193" max="8193" width="87" style="65" customWidth="1"/>
    <col min="8194" max="8194" width="70.5703125" style="65" customWidth="1"/>
    <col min="8195" max="8195" width="70.7109375" style="65" customWidth="1"/>
    <col min="8196" max="8447" width="8.85546875" style="65"/>
    <col min="8448" max="8448" width="11.7109375" style="65" customWidth="1"/>
    <col min="8449" max="8449" width="87" style="65" customWidth="1"/>
    <col min="8450" max="8450" width="70.5703125" style="65" customWidth="1"/>
    <col min="8451" max="8451" width="70.7109375" style="65" customWidth="1"/>
    <col min="8452" max="8703" width="8.85546875" style="65"/>
    <col min="8704" max="8704" width="11.7109375" style="65" customWidth="1"/>
    <col min="8705" max="8705" width="87" style="65" customWidth="1"/>
    <col min="8706" max="8706" width="70.5703125" style="65" customWidth="1"/>
    <col min="8707" max="8707" width="70.7109375" style="65" customWidth="1"/>
    <col min="8708" max="8959" width="8.85546875" style="65"/>
    <col min="8960" max="8960" width="11.7109375" style="65" customWidth="1"/>
    <col min="8961" max="8961" width="87" style="65" customWidth="1"/>
    <col min="8962" max="8962" width="70.5703125" style="65" customWidth="1"/>
    <col min="8963" max="8963" width="70.7109375" style="65" customWidth="1"/>
    <col min="8964" max="9215" width="8.85546875" style="65"/>
    <col min="9216" max="9216" width="11.7109375" style="65" customWidth="1"/>
    <col min="9217" max="9217" width="87" style="65" customWidth="1"/>
    <col min="9218" max="9218" width="70.5703125" style="65" customWidth="1"/>
    <col min="9219" max="9219" width="70.7109375" style="65" customWidth="1"/>
    <col min="9220" max="9471" width="8.85546875" style="65"/>
    <col min="9472" max="9472" width="11.7109375" style="65" customWidth="1"/>
    <col min="9473" max="9473" width="87" style="65" customWidth="1"/>
    <col min="9474" max="9474" width="70.5703125" style="65" customWidth="1"/>
    <col min="9475" max="9475" width="70.7109375" style="65" customWidth="1"/>
    <col min="9476" max="9727" width="8.85546875" style="65"/>
    <col min="9728" max="9728" width="11.7109375" style="65" customWidth="1"/>
    <col min="9729" max="9729" width="87" style="65" customWidth="1"/>
    <col min="9730" max="9730" width="70.5703125" style="65" customWidth="1"/>
    <col min="9731" max="9731" width="70.7109375" style="65" customWidth="1"/>
    <col min="9732" max="9983" width="8.85546875" style="65"/>
    <col min="9984" max="9984" width="11.7109375" style="65" customWidth="1"/>
    <col min="9985" max="9985" width="87" style="65" customWidth="1"/>
    <col min="9986" max="9986" width="70.5703125" style="65" customWidth="1"/>
    <col min="9987" max="9987" width="70.7109375" style="65" customWidth="1"/>
    <col min="9988" max="10239" width="8.85546875" style="65"/>
    <col min="10240" max="10240" width="11.7109375" style="65" customWidth="1"/>
    <col min="10241" max="10241" width="87" style="65" customWidth="1"/>
    <col min="10242" max="10242" width="70.5703125" style="65" customWidth="1"/>
    <col min="10243" max="10243" width="70.7109375" style="65" customWidth="1"/>
    <col min="10244" max="10495" width="8.85546875" style="65"/>
    <col min="10496" max="10496" width="11.7109375" style="65" customWidth="1"/>
    <col min="10497" max="10497" width="87" style="65" customWidth="1"/>
    <col min="10498" max="10498" width="70.5703125" style="65" customWidth="1"/>
    <col min="10499" max="10499" width="70.7109375" style="65" customWidth="1"/>
    <col min="10500" max="10751" width="8.85546875" style="65"/>
    <col min="10752" max="10752" width="11.7109375" style="65" customWidth="1"/>
    <col min="10753" max="10753" width="87" style="65" customWidth="1"/>
    <col min="10754" max="10754" width="70.5703125" style="65" customWidth="1"/>
    <col min="10755" max="10755" width="70.7109375" style="65" customWidth="1"/>
    <col min="10756" max="11007" width="8.85546875" style="65"/>
    <col min="11008" max="11008" width="11.7109375" style="65" customWidth="1"/>
    <col min="11009" max="11009" width="87" style="65" customWidth="1"/>
    <col min="11010" max="11010" width="70.5703125" style="65" customWidth="1"/>
    <col min="11011" max="11011" width="70.7109375" style="65" customWidth="1"/>
    <col min="11012" max="11263" width="8.85546875" style="65"/>
    <col min="11264" max="11264" width="11.7109375" style="65" customWidth="1"/>
    <col min="11265" max="11265" width="87" style="65" customWidth="1"/>
    <col min="11266" max="11266" width="70.5703125" style="65" customWidth="1"/>
    <col min="11267" max="11267" width="70.7109375" style="65" customWidth="1"/>
    <col min="11268" max="11519" width="8.85546875" style="65"/>
    <col min="11520" max="11520" width="11.7109375" style="65" customWidth="1"/>
    <col min="11521" max="11521" width="87" style="65" customWidth="1"/>
    <col min="11522" max="11522" width="70.5703125" style="65" customWidth="1"/>
    <col min="11523" max="11523" width="70.7109375" style="65" customWidth="1"/>
    <col min="11524" max="11775" width="8.85546875" style="65"/>
    <col min="11776" max="11776" width="11.7109375" style="65" customWidth="1"/>
    <col min="11777" max="11777" width="87" style="65" customWidth="1"/>
    <col min="11778" max="11778" width="70.5703125" style="65" customWidth="1"/>
    <col min="11779" max="11779" width="70.7109375" style="65" customWidth="1"/>
    <col min="11780" max="12031" width="8.85546875" style="65"/>
    <col min="12032" max="12032" width="11.7109375" style="65" customWidth="1"/>
    <col min="12033" max="12033" width="87" style="65" customWidth="1"/>
    <col min="12034" max="12034" width="70.5703125" style="65" customWidth="1"/>
    <col min="12035" max="12035" width="70.7109375" style="65" customWidth="1"/>
    <col min="12036" max="12287" width="8.85546875" style="65"/>
    <col min="12288" max="12288" width="11.7109375" style="65" customWidth="1"/>
    <col min="12289" max="12289" width="87" style="65" customWidth="1"/>
    <col min="12290" max="12290" width="70.5703125" style="65" customWidth="1"/>
    <col min="12291" max="12291" width="70.7109375" style="65" customWidth="1"/>
    <col min="12292" max="12543" width="8.85546875" style="65"/>
    <col min="12544" max="12544" width="11.7109375" style="65" customWidth="1"/>
    <col min="12545" max="12545" width="87" style="65" customWidth="1"/>
    <col min="12546" max="12546" width="70.5703125" style="65" customWidth="1"/>
    <col min="12547" max="12547" width="70.7109375" style="65" customWidth="1"/>
    <col min="12548" max="12799" width="8.85546875" style="65"/>
    <col min="12800" max="12800" width="11.7109375" style="65" customWidth="1"/>
    <col min="12801" max="12801" width="87" style="65" customWidth="1"/>
    <col min="12802" max="12802" width="70.5703125" style="65" customWidth="1"/>
    <col min="12803" max="12803" width="70.7109375" style="65" customWidth="1"/>
    <col min="12804" max="13055" width="8.85546875" style="65"/>
    <col min="13056" max="13056" width="11.7109375" style="65" customWidth="1"/>
    <col min="13057" max="13057" width="87" style="65" customWidth="1"/>
    <col min="13058" max="13058" width="70.5703125" style="65" customWidth="1"/>
    <col min="13059" max="13059" width="70.7109375" style="65" customWidth="1"/>
    <col min="13060" max="13311" width="8.85546875" style="65"/>
    <col min="13312" max="13312" width="11.7109375" style="65" customWidth="1"/>
    <col min="13313" max="13313" width="87" style="65" customWidth="1"/>
    <col min="13314" max="13314" width="70.5703125" style="65" customWidth="1"/>
    <col min="13315" max="13315" width="70.7109375" style="65" customWidth="1"/>
    <col min="13316" max="13567" width="8.85546875" style="65"/>
    <col min="13568" max="13568" width="11.7109375" style="65" customWidth="1"/>
    <col min="13569" max="13569" width="87" style="65" customWidth="1"/>
    <col min="13570" max="13570" width="70.5703125" style="65" customWidth="1"/>
    <col min="13571" max="13571" width="70.7109375" style="65" customWidth="1"/>
    <col min="13572" max="13823" width="8.85546875" style="65"/>
    <col min="13824" max="13824" width="11.7109375" style="65" customWidth="1"/>
    <col min="13825" max="13825" width="87" style="65" customWidth="1"/>
    <col min="13826" max="13826" width="70.5703125" style="65" customWidth="1"/>
    <col min="13827" max="13827" width="70.7109375" style="65" customWidth="1"/>
    <col min="13828" max="14079" width="8.85546875" style="65"/>
    <col min="14080" max="14080" width="11.7109375" style="65" customWidth="1"/>
    <col min="14081" max="14081" width="87" style="65" customWidth="1"/>
    <col min="14082" max="14082" width="70.5703125" style="65" customWidth="1"/>
    <col min="14083" max="14083" width="70.7109375" style="65" customWidth="1"/>
    <col min="14084" max="14335" width="8.85546875" style="65"/>
    <col min="14336" max="14336" width="11.7109375" style="65" customWidth="1"/>
    <col min="14337" max="14337" width="87" style="65" customWidth="1"/>
    <col min="14338" max="14338" width="70.5703125" style="65" customWidth="1"/>
    <col min="14339" max="14339" width="70.7109375" style="65" customWidth="1"/>
    <col min="14340" max="14591" width="8.85546875" style="65"/>
    <col min="14592" max="14592" width="11.7109375" style="65" customWidth="1"/>
    <col min="14593" max="14593" width="87" style="65" customWidth="1"/>
    <col min="14594" max="14594" width="70.5703125" style="65" customWidth="1"/>
    <col min="14595" max="14595" width="70.7109375" style="65" customWidth="1"/>
    <col min="14596" max="14847" width="8.85546875" style="65"/>
    <col min="14848" max="14848" width="11.7109375" style="65" customWidth="1"/>
    <col min="14849" max="14849" width="87" style="65" customWidth="1"/>
    <col min="14850" max="14850" width="70.5703125" style="65" customWidth="1"/>
    <col min="14851" max="14851" width="70.7109375" style="65" customWidth="1"/>
    <col min="14852" max="15103" width="8.85546875" style="65"/>
    <col min="15104" max="15104" width="11.7109375" style="65" customWidth="1"/>
    <col min="15105" max="15105" width="87" style="65" customWidth="1"/>
    <col min="15106" max="15106" width="70.5703125" style="65" customWidth="1"/>
    <col min="15107" max="15107" width="70.7109375" style="65" customWidth="1"/>
    <col min="15108" max="15359" width="8.85546875" style="65"/>
    <col min="15360" max="15360" width="11.7109375" style="65" customWidth="1"/>
    <col min="15361" max="15361" width="87" style="65" customWidth="1"/>
    <col min="15362" max="15362" width="70.5703125" style="65" customWidth="1"/>
    <col min="15363" max="15363" width="70.7109375" style="65" customWidth="1"/>
    <col min="15364" max="15615" width="8.85546875" style="65"/>
    <col min="15616" max="15616" width="11.7109375" style="65" customWidth="1"/>
    <col min="15617" max="15617" width="87" style="65" customWidth="1"/>
    <col min="15618" max="15618" width="70.5703125" style="65" customWidth="1"/>
    <col min="15619" max="15619" width="70.7109375" style="65" customWidth="1"/>
    <col min="15620" max="15871" width="8.85546875" style="65"/>
    <col min="15872" max="15872" width="11.7109375" style="65" customWidth="1"/>
    <col min="15873" max="15873" width="87" style="65" customWidth="1"/>
    <col min="15874" max="15874" width="70.5703125" style="65" customWidth="1"/>
    <col min="15875" max="15875" width="70.7109375" style="65" customWidth="1"/>
    <col min="15876" max="16127" width="8.85546875" style="65"/>
    <col min="16128" max="16128" width="11.7109375" style="65" customWidth="1"/>
    <col min="16129" max="16129" width="87" style="65" customWidth="1"/>
    <col min="16130" max="16130" width="70.5703125" style="65" customWidth="1"/>
    <col min="16131" max="16131" width="70.7109375" style="65" customWidth="1"/>
    <col min="16132" max="16384" width="8.85546875" style="65"/>
  </cols>
  <sheetData>
    <row r="1" spans="1:24" s="62" customFormat="1" ht="20.100000000000001" customHeight="1" x14ac:dyDescent="0.2">
      <c r="A1" s="59"/>
      <c r="B1" s="60"/>
      <c r="C1" s="61"/>
    </row>
    <row r="2" spans="1:24" s="62" customFormat="1" ht="20.100000000000001" customHeight="1" x14ac:dyDescent="0.2">
      <c r="A2" s="59"/>
      <c r="B2" s="60"/>
      <c r="C2" s="61"/>
    </row>
    <row r="3" spans="1:24" s="66" customFormat="1" ht="108.75" customHeight="1" thickBot="1" x14ac:dyDescent="0.3">
      <c r="A3" s="63"/>
      <c r="B3" s="63"/>
      <c r="C3" s="64"/>
      <c r="D3" s="65"/>
      <c r="E3" s="65"/>
      <c r="F3" s="65"/>
      <c r="G3" s="65"/>
      <c r="H3" s="65"/>
      <c r="I3" s="65"/>
      <c r="J3" s="65"/>
      <c r="K3" s="65"/>
      <c r="L3" s="65"/>
      <c r="M3" s="65"/>
      <c r="N3" s="65"/>
      <c r="O3" s="65"/>
      <c r="P3" s="65"/>
      <c r="Q3" s="65"/>
      <c r="R3" s="65"/>
      <c r="S3" s="65"/>
      <c r="T3" s="65"/>
      <c r="U3" s="65"/>
      <c r="V3" s="65"/>
      <c r="W3" s="65"/>
      <c r="X3" s="65"/>
    </row>
    <row r="4" spans="1:24" ht="14.25" customHeight="1" x14ac:dyDescent="0.25">
      <c r="A4" s="67"/>
      <c r="B4" s="67"/>
      <c r="C4" s="68"/>
    </row>
    <row r="5" spans="1:24" s="72" customFormat="1" ht="32.25" customHeight="1" x14ac:dyDescent="0.45">
      <c r="A5" s="69"/>
      <c r="B5" s="70" t="s">
        <v>367</v>
      </c>
      <c r="C5" s="71"/>
    </row>
    <row r="6" spans="1:24" s="73" customFormat="1" ht="42.75" customHeight="1" x14ac:dyDescent="0.4">
      <c r="A6" s="20" t="s">
        <v>6</v>
      </c>
      <c r="B6" s="20" t="s">
        <v>0</v>
      </c>
      <c r="C6" s="32" t="s">
        <v>1</v>
      </c>
    </row>
    <row r="7" spans="1:24" s="73" customFormat="1" ht="27.75" x14ac:dyDescent="0.4">
      <c r="A7" s="74">
        <v>1</v>
      </c>
      <c r="B7" s="31" t="s">
        <v>46</v>
      </c>
      <c r="C7" s="110">
        <f>'AL SAAD-Bill 01'!F63</f>
        <v>939505.77479922329</v>
      </c>
      <c r="F7" s="75"/>
    </row>
    <row r="8" spans="1:24" s="73" customFormat="1" ht="27.75" x14ac:dyDescent="0.4">
      <c r="A8" s="34">
        <v>2</v>
      </c>
      <c r="B8" s="31" t="s">
        <v>47</v>
      </c>
      <c r="C8" s="110">
        <f>'AL SAAD- Bill 02'!F141</f>
        <v>7924905.5521398904</v>
      </c>
      <c r="F8" s="75"/>
    </row>
    <row r="9" spans="1:24" s="73" customFormat="1" ht="27.75" x14ac:dyDescent="0.4">
      <c r="A9" s="74">
        <v>3</v>
      </c>
      <c r="B9" s="31" t="s">
        <v>49</v>
      </c>
      <c r="C9" s="110">
        <f>'AL SAAD-Bill 03'!F119</f>
        <v>2611404.6073926101</v>
      </c>
      <c r="F9" s="75"/>
    </row>
    <row r="10" spans="1:24" s="73" customFormat="1" ht="27.75" x14ac:dyDescent="0.4">
      <c r="A10" s="34">
        <v>4</v>
      </c>
      <c r="B10" s="31" t="s">
        <v>50</v>
      </c>
      <c r="C10" s="110">
        <f>'AL SAAD-Bill 04'!F55</f>
        <v>417097.81195952051</v>
      </c>
    </row>
    <row r="11" spans="1:24" s="73" customFormat="1" ht="27.75" x14ac:dyDescent="0.4">
      <c r="A11" s="74">
        <v>5</v>
      </c>
      <c r="B11" s="31" t="s">
        <v>51</v>
      </c>
      <c r="C11" s="110">
        <f>'AL SAAD- Bill 05'!F44</f>
        <v>3928316.1367425038</v>
      </c>
      <c r="F11" s="75"/>
    </row>
    <row r="12" spans="1:24" s="73" customFormat="1" ht="28.5" customHeight="1" x14ac:dyDescent="0.4">
      <c r="A12" s="76"/>
      <c r="B12" s="77"/>
      <c r="C12" s="111"/>
    </row>
    <row r="13" spans="1:24" s="73" customFormat="1" ht="27.75" x14ac:dyDescent="0.4">
      <c r="A13" s="76"/>
      <c r="B13" s="25" t="s">
        <v>2</v>
      </c>
      <c r="C13" s="111">
        <f>SUM(C7:C11)</f>
        <v>15821229.883033747</v>
      </c>
      <c r="D13" s="26"/>
      <c r="E13" s="26"/>
      <c r="F13" s="35"/>
      <c r="G13" s="78"/>
    </row>
    <row r="14" spans="1:24" s="73" customFormat="1" ht="27.75" x14ac:dyDescent="0.4">
      <c r="A14" s="76"/>
      <c r="B14" s="27" t="s">
        <v>3</v>
      </c>
      <c r="C14" s="110">
        <f>C13*0.05</f>
        <v>791061.49415168737</v>
      </c>
      <c r="D14" s="26"/>
      <c r="E14" s="26"/>
      <c r="F14" s="26"/>
      <c r="G14" s="78"/>
    </row>
    <row r="15" spans="1:24" s="73" customFormat="1" ht="27.75" x14ac:dyDescent="0.4">
      <c r="A15" s="76"/>
      <c r="B15" s="28" t="s">
        <v>4</v>
      </c>
      <c r="C15" s="113">
        <f>SUM(C13:C14)</f>
        <v>16612291.377185434</v>
      </c>
      <c r="D15" s="26"/>
      <c r="E15" s="26"/>
      <c r="F15" s="26"/>
      <c r="G15" s="78"/>
    </row>
    <row r="16" spans="1:24" s="73" customFormat="1" ht="12" customHeight="1" x14ac:dyDescent="0.4">
      <c r="A16" s="76"/>
      <c r="B16" s="26"/>
      <c r="C16" s="112"/>
      <c r="D16" s="26"/>
      <c r="E16" s="26"/>
      <c r="F16" s="26"/>
      <c r="G16" s="26"/>
    </row>
    <row r="17" spans="1:7" s="73" customFormat="1" ht="12" customHeight="1" x14ac:dyDescent="0.4">
      <c r="A17" s="76"/>
      <c r="B17" s="26"/>
      <c r="C17" s="112"/>
      <c r="D17" s="26"/>
      <c r="E17" s="26"/>
      <c r="F17" s="26"/>
      <c r="G17" s="26"/>
    </row>
    <row r="18" spans="1:7" s="73" customFormat="1" ht="37.5" customHeight="1" x14ac:dyDescent="0.4">
      <c r="A18" s="80"/>
      <c r="B18" s="30" t="s">
        <v>7</v>
      </c>
      <c r="C18" s="270" t="s">
        <v>736</v>
      </c>
      <c r="D18" s="26"/>
      <c r="E18" s="26"/>
      <c r="F18" s="26"/>
      <c r="G18" s="26"/>
    </row>
    <row r="19" spans="1:7" s="73" customFormat="1" ht="37.5" customHeight="1" x14ac:dyDescent="0.4">
      <c r="A19" s="80"/>
      <c r="B19" s="30" t="s">
        <v>8</v>
      </c>
      <c r="C19" s="267" t="s">
        <v>737</v>
      </c>
      <c r="D19" s="26"/>
      <c r="E19" s="26"/>
      <c r="F19" s="26"/>
      <c r="G19" s="26"/>
    </row>
    <row r="20" spans="1:7" s="73" customFormat="1" ht="37.5" customHeight="1" x14ac:dyDescent="0.4">
      <c r="A20" s="80"/>
      <c r="B20" s="30" t="s">
        <v>5</v>
      </c>
      <c r="C20" s="266" t="s">
        <v>738</v>
      </c>
      <c r="D20" s="26"/>
      <c r="E20" s="26"/>
      <c r="F20" s="26"/>
      <c r="G20" s="26"/>
    </row>
    <row r="21" spans="1:7" ht="23.25" x14ac:dyDescent="0.35">
      <c r="A21" s="81"/>
      <c r="B21" s="82"/>
      <c r="C21" s="83"/>
    </row>
    <row r="22" spans="1:7" ht="23.25" x14ac:dyDescent="0.35">
      <c r="A22" s="81"/>
      <c r="B22" s="82"/>
      <c r="C22" s="83"/>
    </row>
  </sheetData>
  <sheetProtection formatCells="0" formatColumns="0" formatRows="0" insertColumns="0" insertRows="0" insertHyperlinks="0" deleteColumns="0" deleteRows="0" sort="0" autoFilter="0" pivotTables="0"/>
  <pageMargins left="0.47244094488188981" right="0.47244094488188981" top="0.74803149606299213" bottom="0.74803149606299213" header="0.31496062992125984" footer="0.31496062992125984"/>
  <pageSetup paperSize="9" scale="57" fitToHeight="0" orientation="landscape" r:id="rId1"/>
  <headerFooter>
    <oddFooter>&amp;C&amp;"Arial,Bold"&amp;16&amp;P/&amp;N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93FD-B055-4990-91B9-950E8E36032F}">
  <dimension ref="A1:F711"/>
  <sheetViews>
    <sheetView view="pageBreakPreview" topLeftCell="C37" zoomScale="40" zoomScaleNormal="100" zoomScaleSheetLayoutView="40" workbookViewId="0">
      <selection activeCell="C3" sqref="C3"/>
    </sheetView>
  </sheetViews>
  <sheetFormatPr defaultColWidth="9.140625" defaultRowHeight="15" x14ac:dyDescent="0.2"/>
  <cols>
    <col min="1" max="1" width="8.85546875" style="88" bestFit="1" customWidth="1"/>
    <col min="2" max="2" width="71" style="86" customWidth="1"/>
    <col min="3" max="3" width="13.5703125" style="88" customWidth="1"/>
    <col min="4" max="4" width="14.28515625" style="88" customWidth="1"/>
    <col min="5" max="5" width="15.5703125" style="114" customWidth="1"/>
    <col min="6" max="6" width="18.5703125" style="114" customWidth="1"/>
    <col min="7" max="16384" width="9.140625" style="90"/>
  </cols>
  <sheetData>
    <row r="1" spans="1:6" x14ac:dyDescent="0.2">
      <c r="A1" s="86"/>
      <c r="B1" s="87"/>
      <c r="E1" s="90"/>
      <c r="F1" s="90"/>
    </row>
    <row r="2" spans="1:6" x14ac:dyDescent="0.2">
      <c r="A2" s="86"/>
      <c r="B2" s="87"/>
      <c r="E2" s="90"/>
      <c r="F2" s="90"/>
    </row>
    <row r="3" spans="1:6" ht="12" customHeight="1" thickBot="1" x14ac:dyDescent="0.25">
      <c r="A3" s="86"/>
      <c r="B3" s="273"/>
      <c r="C3" s="274"/>
      <c r="E3" s="90"/>
      <c r="F3" s="90"/>
    </row>
    <row r="4" spans="1:6" ht="33.950000000000003" customHeight="1" x14ac:dyDescent="0.2">
      <c r="A4" s="86"/>
      <c r="B4" s="87"/>
      <c r="E4" s="90"/>
      <c r="F4" s="90"/>
    </row>
    <row r="5" spans="1:6" s="95" customFormat="1" ht="15.75" x14ac:dyDescent="0.2">
      <c r="A5" s="91"/>
      <c r="B5" s="92" t="s">
        <v>52</v>
      </c>
      <c r="C5" s="93"/>
      <c r="D5" s="93"/>
    </row>
    <row r="6" spans="1:6" s="100" customFormat="1" ht="63" x14ac:dyDescent="0.2">
      <c r="A6" s="96" t="s">
        <v>14</v>
      </c>
      <c r="B6" s="97" t="s">
        <v>0</v>
      </c>
      <c r="C6" s="96" t="s">
        <v>15</v>
      </c>
      <c r="D6" s="98" t="s">
        <v>16</v>
      </c>
      <c r="E6" s="98" t="s">
        <v>17</v>
      </c>
      <c r="F6" s="98" t="s">
        <v>320</v>
      </c>
    </row>
    <row r="7" spans="1:6" s="100" customFormat="1" ht="15.75" x14ac:dyDescent="0.2">
      <c r="A7" s="169"/>
      <c r="B7" s="170" t="s">
        <v>54</v>
      </c>
      <c r="C7" s="169"/>
      <c r="D7" s="171"/>
      <c r="E7" s="171"/>
      <c r="F7" s="171"/>
    </row>
    <row r="8" spans="1:6" s="100" customFormat="1" ht="35.25" customHeight="1" x14ac:dyDescent="0.2">
      <c r="A8" s="172">
        <v>1.0009999999999999</v>
      </c>
      <c r="B8" s="173" t="s">
        <v>55</v>
      </c>
      <c r="C8" s="172" t="s">
        <v>659</v>
      </c>
      <c r="D8" s="174">
        <v>1</v>
      </c>
      <c r="E8" s="224">
        <v>6726.1743466868065</v>
      </c>
      <c r="F8" s="224">
        <f>$D8*E8</f>
        <v>6726.1743466868065</v>
      </c>
    </row>
    <row r="9" spans="1:6" s="100" customFormat="1" ht="15.75" x14ac:dyDescent="0.2">
      <c r="A9" s="172"/>
      <c r="B9" s="170" t="s">
        <v>56</v>
      </c>
      <c r="C9" s="172"/>
      <c r="D9" s="174"/>
      <c r="E9" s="224"/>
      <c r="F9" s="224"/>
    </row>
    <row r="10" spans="1:6" s="100" customFormat="1" ht="30" x14ac:dyDescent="0.2">
      <c r="A10" s="172">
        <v>1.0019999999999998</v>
      </c>
      <c r="B10" s="173" t="s">
        <v>55</v>
      </c>
      <c r="C10" s="172" t="s">
        <v>659</v>
      </c>
      <c r="D10" s="174">
        <v>1</v>
      </c>
      <c r="E10" s="224">
        <v>2718.8041647531468</v>
      </c>
      <c r="F10" s="224">
        <f>$D10*E10</f>
        <v>2718.8041647531468</v>
      </c>
    </row>
    <row r="11" spans="1:6" s="100" customFormat="1" ht="15.75" x14ac:dyDescent="0.2">
      <c r="A11" s="172"/>
      <c r="B11" s="170" t="s">
        <v>57</v>
      </c>
      <c r="C11" s="172"/>
      <c r="D11" s="174"/>
      <c r="E11" s="224"/>
      <c r="F11" s="224"/>
    </row>
    <row r="12" spans="1:6" s="100" customFormat="1" ht="30" x14ac:dyDescent="0.2">
      <c r="A12" s="172">
        <f>MAX(A7:A11)+0.001</f>
        <v>1.0029999999999997</v>
      </c>
      <c r="B12" s="173" t="s">
        <v>58</v>
      </c>
      <c r="C12" s="172" t="s">
        <v>659</v>
      </c>
      <c r="D12" s="174">
        <v>1</v>
      </c>
      <c r="E12" s="224">
        <v>225.86714555665955</v>
      </c>
      <c r="F12" s="224">
        <f>$D12*E12</f>
        <v>225.86714555665955</v>
      </c>
    </row>
    <row r="13" spans="1:6" s="100" customFormat="1" ht="15.75" x14ac:dyDescent="0.2">
      <c r="A13" s="169"/>
      <c r="B13" s="170" t="s">
        <v>59</v>
      </c>
      <c r="C13" s="169"/>
      <c r="D13" s="171"/>
      <c r="E13" s="226"/>
      <c r="F13" s="226"/>
    </row>
    <row r="14" spans="1:6" s="104" customFormat="1" ht="15.75" x14ac:dyDescent="0.25">
      <c r="A14" s="211"/>
      <c r="B14" s="213" t="s">
        <v>60</v>
      </c>
      <c r="C14" s="211"/>
      <c r="D14" s="211"/>
      <c r="E14" s="223"/>
      <c r="F14" s="223"/>
    </row>
    <row r="15" spans="1:6" s="104" customFormat="1" ht="45" x14ac:dyDescent="0.25">
      <c r="A15" s="211"/>
      <c r="B15" s="212" t="s">
        <v>718</v>
      </c>
      <c r="C15" s="211"/>
      <c r="D15" s="219"/>
      <c r="E15" s="223"/>
      <c r="F15" s="224"/>
    </row>
    <row r="16" spans="1:6" s="104" customFormat="1" ht="15.75" x14ac:dyDescent="0.25">
      <c r="A16" s="211">
        <f>MAX(A11:A15)+0.001</f>
        <v>1.0039999999999996</v>
      </c>
      <c r="B16" s="212" t="s">
        <v>652</v>
      </c>
      <c r="C16" s="211" t="s">
        <v>659</v>
      </c>
      <c r="D16" s="219">
        <v>1</v>
      </c>
      <c r="E16" s="224">
        <v>119125.14497957854</v>
      </c>
      <c r="F16" s="224">
        <f>$D16*E16</f>
        <v>119125.14497957854</v>
      </c>
    </row>
    <row r="17" spans="1:6" s="104" customFormat="1" ht="15.75" x14ac:dyDescent="0.25">
      <c r="A17" s="211" t="s">
        <v>694</v>
      </c>
      <c r="B17" s="212" t="s">
        <v>668</v>
      </c>
      <c r="C17" s="211" t="s">
        <v>659</v>
      </c>
      <c r="D17" s="219">
        <v>1</v>
      </c>
      <c r="E17" s="224">
        <v>119125.14497957854</v>
      </c>
      <c r="F17" s="224">
        <f>$D17*E17</f>
        <v>119125.14497957854</v>
      </c>
    </row>
    <row r="18" spans="1:6" s="104" customFormat="1" ht="15.75" x14ac:dyDescent="0.25">
      <c r="A18" s="169"/>
      <c r="B18" s="170" t="s">
        <v>62</v>
      </c>
      <c r="C18" s="169"/>
      <c r="D18" s="169"/>
      <c r="E18" s="225"/>
      <c r="F18" s="225"/>
    </row>
    <row r="19" spans="1:6" s="104" customFormat="1" ht="30" x14ac:dyDescent="0.25">
      <c r="A19" s="172">
        <f>MAX(A14:A18)+0.001</f>
        <v>1.0049999999999994</v>
      </c>
      <c r="B19" s="173" t="s">
        <v>368</v>
      </c>
      <c r="C19" s="172" t="s">
        <v>659</v>
      </c>
      <c r="D19" s="172">
        <v>1</v>
      </c>
      <c r="E19" s="224">
        <v>4517.8984439258611</v>
      </c>
      <c r="F19" s="224">
        <f>$D19*E19</f>
        <v>4517.8984439258611</v>
      </c>
    </row>
    <row r="20" spans="1:6" s="104" customFormat="1" ht="15.75" x14ac:dyDescent="0.25">
      <c r="A20" s="169"/>
      <c r="B20" s="170" t="s">
        <v>369</v>
      </c>
      <c r="C20" s="169"/>
      <c r="D20" s="169"/>
      <c r="E20" s="225"/>
      <c r="F20" s="225"/>
    </row>
    <row r="21" spans="1:6" s="104" customFormat="1" ht="30" x14ac:dyDescent="0.25">
      <c r="A21" s="172">
        <f>MAX(A16:A20)+0.001</f>
        <v>1.0059999999999993</v>
      </c>
      <c r="B21" s="173" t="s">
        <v>370</v>
      </c>
      <c r="C21" s="172" t="s">
        <v>659</v>
      </c>
      <c r="D21" s="172">
        <v>1</v>
      </c>
      <c r="E21" s="224">
        <v>6584.9530471172147</v>
      </c>
      <c r="F21" s="224">
        <f>$D21*E21</f>
        <v>6584.9530471172147</v>
      </c>
    </row>
    <row r="22" spans="1:6" s="104" customFormat="1" ht="15.75" x14ac:dyDescent="0.25">
      <c r="A22" s="169"/>
      <c r="B22" s="170" t="s">
        <v>64</v>
      </c>
      <c r="C22" s="169"/>
      <c r="D22" s="169"/>
      <c r="E22" s="225"/>
      <c r="F22" s="225"/>
    </row>
    <row r="23" spans="1:6" s="104" customFormat="1" ht="30" x14ac:dyDescent="0.25">
      <c r="A23" s="172">
        <f>MAX(A18:A22)+0.001</f>
        <v>1.0069999999999992</v>
      </c>
      <c r="B23" s="173" t="s">
        <v>65</v>
      </c>
      <c r="C23" s="172" t="s">
        <v>659</v>
      </c>
      <c r="D23" s="172">
        <v>1</v>
      </c>
      <c r="E23" s="224">
        <v>8326.4106233758284</v>
      </c>
      <c r="F23" s="224">
        <f>$D23*E23</f>
        <v>8326.4106233758284</v>
      </c>
    </row>
    <row r="24" spans="1:6" s="104" customFormat="1" ht="15.75" x14ac:dyDescent="0.25">
      <c r="A24" s="169"/>
      <c r="B24" s="170" t="s">
        <v>66</v>
      </c>
      <c r="C24" s="169"/>
      <c r="D24" s="169"/>
      <c r="E24" s="225"/>
      <c r="F24" s="225"/>
    </row>
    <row r="25" spans="1:6" s="104" customFormat="1" ht="30" x14ac:dyDescent="0.25">
      <c r="A25" s="172">
        <f>MAX(A20:A24)+0.001</f>
        <v>1.0079999999999991</v>
      </c>
      <c r="B25" s="173" t="s">
        <v>67</v>
      </c>
      <c r="C25" s="172" t="s">
        <v>659</v>
      </c>
      <c r="D25" s="172">
        <v>1</v>
      </c>
      <c r="E25" s="224">
        <v>8268.1150158054425</v>
      </c>
      <c r="F25" s="224">
        <f>$D25*E25</f>
        <v>8268.1150158054425</v>
      </c>
    </row>
    <row r="26" spans="1:6" s="104" customFormat="1" ht="30" x14ac:dyDescent="0.25">
      <c r="A26" s="172">
        <f>MAX(A21:A25)+0.001</f>
        <v>1.008999999999999</v>
      </c>
      <c r="B26" s="173" t="s">
        <v>68</v>
      </c>
      <c r="C26" s="172" t="s">
        <v>659</v>
      </c>
      <c r="D26" s="172">
        <v>1</v>
      </c>
      <c r="E26" s="224">
        <v>5586.8172199077044</v>
      </c>
      <c r="F26" s="224">
        <f>$D26*E26</f>
        <v>5586.8172199077044</v>
      </c>
    </row>
    <row r="27" spans="1:6" s="104" customFormat="1" ht="45" x14ac:dyDescent="0.25">
      <c r="A27" s="172">
        <f>MAX(A22:A26)+0.001</f>
        <v>1.0099999999999989</v>
      </c>
      <c r="B27" s="173" t="s">
        <v>371</v>
      </c>
      <c r="C27" s="172" t="s">
        <v>659</v>
      </c>
      <c r="D27" s="172">
        <v>1</v>
      </c>
      <c r="E27" s="224">
        <v>60811.993439034399</v>
      </c>
      <c r="F27" s="224">
        <f>$D27*E27</f>
        <v>60811.993439034399</v>
      </c>
    </row>
    <row r="28" spans="1:6" s="104" customFormat="1" ht="30" x14ac:dyDescent="0.25">
      <c r="A28" s="172">
        <f>MAX(A23:A27)+0.001</f>
        <v>1.0109999999999988</v>
      </c>
      <c r="B28" s="173" t="s">
        <v>70</v>
      </c>
      <c r="C28" s="172" t="s">
        <v>659</v>
      </c>
      <c r="D28" s="172">
        <v>1</v>
      </c>
      <c r="E28" s="224">
        <v>39941.599755190757</v>
      </c>
      <c r="F28" s="224">
        <f>$D28*E28</f>
        <v>39941.599755190757</v>
      </c>
    </row>
    <row r="29" spans="1:6" s="104" customFormat="1" ht="15.75" x14ac:dyDescent="0.25">
      <c r="A29" s="169"/>
      <c r="B29" s="170" t="s">
        <v>73</v>
      </c>
      <c r="C29" s="169"/>
      <c r="D29" s="169"/>
      <c r="E29" s="225"/>
      <c r="F29" s="225"/>
    </row>
    <row r="30" spans="1:6" s="104" customFormat="1" ht="30" x14ac:dyDescent="0.25">
      <c r="A30" s="172">
        <f>MAX(A25:A29)+0.001</f>
        <v>1.0119999999999987</v>
      </c>
      <c r="B30" s="173" t="s">
        <v>74</v>
      </c>
      <c r="C30" s="172" t="s">
        <v>659</v>
      </c>
      <c r="D30" s="172">
        <v>1</v>
      </c>
      <c r="E30" s="224">
        <v>4267.9247488874344</v>
      </c>
      <c r="F30" s="224">
        <f>$D30*E30</f>
        <v>4267.9247488874344</v>
      </c>
    </row>
    <row r="31" spans="1:6" s="104" customFormat="1" ht="15.75" x14ac:dyDescent="0.25">
      <c r="A31" s="169"/>
      <c r="B31" s="170" t="s">
        <v>75</v>
      </c>
      <c r="C31" s="169"/>
      <c r="D31" s="169"/>
      <c r="E31" s="225"/>
      <c r="F31" s="225"/>
    </row>
    <row r="32" spans="1:6" s="104" customFormat="1" ht="15.75" x14ac:dyDescent="0.25">
      <c r="A32" s="172">
        <f>MAX(A27:A31)+0.001</f>
        <v>1.0129999999999986</v>
      </c>
      <c r="B32" s="173" t="s">
        <v>76</v>
      </c>
      <c r="C32" s="172" t="s">
        <v>659</v>
      </c>
      <c r="D32" s="172">
        <v>1</v>
      </c>
      <c r="E32" s="224">
        <v>451.7342911133191</v>
      </c>
      <c r="F32" s="224">
        <f>$D32*E32</f>
        <v>451.7342911133191</v>
      </c>
    </row>
    <row r="33" spans="1:6" s="104" customFormat="1" ht="15.75" x14ac:dyDescent="0.25">
      <c r="A33" s="172"/>
      <c r="B33" s="170" t="s">
        <v>653</v>
      </c>
      <c r="C33" s="172"/>
      <c r="D33" s="172"/>
      <c r="E33" s="223"/>
      <c r="F33" s="223"/>
    </row>
    <row r="34" spans="1:6" s="104" customFormat="1" ht="45" x14ac:dyDescent="0.25">
      <c r="A34" s="172">
        <f>MAX(A29:A33)+0.001</f>
        <v>1.0139999999999985</v>
      </c>
      <c r="B34" s="173" t="s">
        <v>78</v>
      </c>
      <c r="C34" s="172" t="s">
        <v>659</v>
      </c>
      <c r="D34" s="172">
        <v>1</v>
      </c>
      <c r="E34" s="224">
        <v>32123.327368058246</v>
      </c>
      <c r="F34" s="224">
        <f>$D34*E34</f>
        <v>32123.327368058246</v>
      </c>
    </row>
    <row r="35" spans="1:6" s="104" customFormat="1" ht="15.75" x14ac:dyDescent="0.25">
      <c r="A35" s="211"/>
      <c r="B35" s="213" t="s">
        <v>654</v>
      </c>
      <c r="C35" s="211"/>
      <c r="D35" s="211"/>
      <c r="E35" s="223"/>
      <c r="F35" s="223"/>
    </row>
    <row r="36" spans="1:6" s="104" customFormat="1" ht="60" x14ac:dyDescent="0.25">
      <c r="A36" s="211" t="s">
        <v>693</v>
      </c>
      <c r="B36" s="212" t="s">
        <v>675</v>
      </c>
      <c r="C36" s="211" t="s">
        <v>659</v>
      </c>
      <c r="D36" s="211">
        <v>1</v>
      </c>
      <c r="E36" s="224">
        <v>40236.594092764724</v>
      </c>
      <c r="F36" s="224">
        <f>$D36*E36</f>
        <v>40236.594092764724</v>
      </c>
    </row>
    <row r="37" spans="1:6" s="104" customFormat="1" ht="15.75" x14ac:dyDescent="0.25">
      <c r="A37" s="214"/>
      <c r="B37" s="213" t="s">
        <v>80</v>
      </c>
      <c r="C37" s="214"/>
      <c r="D37" s="214"/>
      <c r="E37" s="223"/>
      <c r="F37" s="225"/>
    </row>
    <row r="38" spans="1:6" s="104" customFormat="1" ht="30" x14ac:dyDescent="0.25">
      <c r="A38" s="212">
        <f>MAX(A33:A37)+0.001</f>
        <v>1.0149999999999983</v>
      </c>
      <c r="B38" s="212" t="s">
        <v>81</v>
      </c>
      <c r="C38" s="211" t="s">
        <v>659</v>
      </c>
      <c r="D38" s="211">
        <v>1</v>
      </c>
      <c r="E38" s="224">
        <v>148120.26095252446</v>
      </c>
      <c r="F38" s="224">
        <f>$D38*E38</f>
        <v>148120.26095252446</v>
      </c>
    </row>
    <row r="39" spans="1:6" s="104" customFormat="1" ht="15.75" x14ac:dyDescent="0.25">
      <c r="A39" s="169"/>
      <c r="B39" s="170" t="s">
        <v>82</v>
      </c>
      <c r="C39" s="169"/>
      <c r="D39" s="169"/>
      <c r="E39" s="223"/>
      <c r="F39" s="225"/>
    </row>
    <row r="40" spans="1:6" s="104" customFormat="1" ht="30" x14ac:dyDescent="0.25">
      <c r="A40" s="172">
        <f>MAX(A35:A39)+0.001</f>
        <v>1.0159999999999982</v>
      </c>
      <c r="B40" s="173" t="s">
        <v>83</v>
      </c>
      <c r="C40" s="172" t="s">
        <v>659</v>
      </c>
      <c r="D40" s="172">
        <v>1</v>
      </c>
      <c r="E40" s="224">
        <v>1349.7368884174859</v>
      </c>
      <c r="F40" s="224">
        <f>$D40*E40</f>
        <v>1349.7368884174859</v>
      </c>
    </row>
    <row r="41" spans="1:6" s="104" customFormat="1" ht="15.75" x14ac:dyDescent="0.25">
      <c r="A41" s="172"/>
      <c r="B41" s="170" t="s">
        <v>84</v>
      </c>
      <c r="C41" s="172"/>
      <c r="D41" s="172"/>
      <c r="E41" s="223"/>
      <c r="F41" s="223"/>
    </row>
    <row r="42" spans="1:6" s="104" customFormat="1" ht="69.75" customHeight="1" x14ac:dyDescent="0.25">
      <c r="A42" s="172">
        <f>MAX(A37:A41)+0.001</f>
        <v>1.0169999999999981</v>
      </c>
      <c r="B42" s="173" t="s">
        <v>85</v>
      </c>
      <c r="C42" s="172" t="s">
        <v>659</v>
      </c>
      <c r="D42" s="172">
        <v>1</v>
      </c>
      <c r="E42" s="224">
        <v>17935.524447165852</v>
      </c>
      <c r="F42" s="224">
        <f>$D42*E42</f>
        <v>17935.524447165852</v>
      </c>
    </row>
    <row r="43" spans="1:6" s="104" customFormat="1" ht="15.75" x14ac:dyDescent="0.25">
      <c r="A43" s="172"/>
      <c r="B43" s="170" t="s">
        <v>372</v>
      </c>
      <c r="C43" s="172"/>
      <c r="D43" s="172"/>
      <c r="E43" s="223"/>
      <c r="F43" s="223"/>
    </row>
    <row r="44" spans="1:6" s="104" customFormat="1" ht="30" x14ac:dyDescent="0.25">
      <c r="A44" s="172">
        <f>MAX(A39:A43)+0.001</f>
        <v>1.017999999999998</v>
      </c>
      <c r="B44" s="173" t="s">
        <v>373</v>
      </c>
      <c r="C44" s="172" t="s">
        <v>659</v>
      </c>
      <c r="D44" s="172">
        <v>1</v>
      </c>
      <c r="E44" s="224">
        <v>33311.026852549025</v>
      </c>
      <c r="F44" s="224">
        <f>$D44*E44</f>
        <v>33311.026852549025</v>
      </c>
    </row>
    <row r="45" spans="1:6" s="104" customFormat="1" ht="15.75" x14ac:dyDescent="0.25">
      <c r="A45" s="172"/>
      <c r="B45" s="170" t="s">
        <v>374</v>
      </c>
      <c r="C45" s="172"/>
      <c r="D45" s="172"/>
      <c r="E45" s="223"/>
      <c r="F45" s="223"/>
    </row>
    <row r="46" spans="1:6" s="104" customFormat="1" ht="180" x14ac:dyDescent="0.25">
      <c r="A46" s="172"/>
      <c r="B46" s="173" t="s">
        <v>375</v>
      </c>
      <c r="C46" s="172"/>
      <c r="D46" s="172"/>
      <c r="E46" s="223"/>
      <c r="F46" s="223"/>
    </row>
    <row r="47" spans="1:6" s="104" customFormat="1" ht="15.75" x14ac:dyDescent="0.25">
      <c r="A47" s="172">
        <f>MAX(A42:A46)+0.001</f>
        <v>1.0189999999999979</v>
      </c>
      <c r="B47" s="173" t="s">
        <v>376</v>
      </c>
      <c r="C47" s="172" t="s">
        <v>659</v>
      </c>
      <c r="D47" s="172">
        <v>1</v>
      </c>
      <c r="E47" s="224">
        <v>159990.14747226314</v>
      </c>
      <c r="F47" s="224">
        <f>$D47*E47</f>
        <v>159990.14747226314</v>
      </c>
    </row>
    <row r="48" spans="1:6" s="104" customFormat="1" ht="15.75" x14ac:dyDescent="0.25">
      <c r="A48" s="172"/>
      <c r="B48" s="170" t="s">
        <v>323</v>
      </c>
      <c r="C48" s="172"/>
      <c r="D48" s="172"/>
      <c r="E48" s="223"/>
      <c r="F48" s="223"/>
    </row>
    <row r="49" spans="1:6" s="104" customFormat="1" ht="180" x14ac:dyDescent="0.25">
      <c r="A49" s="172"/>
      <c r="B49" s="173" t="s">
        <v>324</v>
      </c>
      <c r="C49" s="172"/>
      <c r="D49" s="172"/>
      <c r="E49" s="223"/>
      <c r="F49" s="223"/>
    </row>
    <row r="50" spans="1:6" s="104" customFormat="1" ht="33.75" customHeight="1" x14ac:dyDescent="0.25">
      <c r="A50" s="172">
        <f>MAX(A45:A49)+0.001</f>
        <v>1.0199999999999978</v>
      </c>
      <c r="B50" s="173" t="s">
        <v>377</v>
      </c>
      <c r="C50" s="172" t="s">
        <v>659</v>
      </c>
      <c r="D50" s="172">
        <v>1</v>
      </c>
      <c r="E50" s="224">
        <v>13040.063203471143</v>
      </c>
      <c r="F50" s="224">
        <f>$D50*E50</f>
        <v>13040.063203471143</v>
      </c>
    </row>
    <row r="51" spans="1:6" s="104" customFormat="1" ht="36.75" customHeight="1" x14ac:dyDescent="0.25">
      <c r="A51" s="169"/>
      <c r="B51" s="180" t="s">
        <v>378</v>
      </c>
      <c r="C51" s="169"/>
      <c r="D51" s="169"/>
      <c r="E51" s="225"/>
      <c r="F51" s="225"/>
    </row>
    <row r="52" spans="1:6" s="104" customFormat="1" ht="15.75" x14ac:dyDescent="0.25">
      <c r="A52" s="169"/>
      <c r="B52" s="170" t="s">
        <v>62</v>
      </c>
      <c r="C52" s="169"/>
      <c r="D52" s="169"/>
      <c r="E52" s="225"/>
      <c r="F52" s="225"/>
    </row>
    <row r="53" spans="1:6" s="104" customFormat="1" ht="30" x14ac:dyDescent="0.25">
      <c r="A53" s="172">
        <f>MAX(A48:A52)+0.001</f>
        <v>1.0209999999999977</v>
      </c>
      <c r="B53" s="173" t="s">
        <v>379</v>
      </c>
      <c r="C53" s="172" t="s">
        <v>659</v>
      </c>
      <c r="D53" s="172">
        <v>1</v>
      </c>
      <c r="E53" s="224">
        <v>24057.543338159277</v>
      </c>
      <c r="F53" s="224">
        <f>$D53*E53</f>
        <v>24057.543338159277</v>
      </c>
    </row>
    <row r="54" spans="1:6" s="104" customFormat="1" ht="15.75" x14ac:dyDescent="0.25">
      <c r="A54" s="169"/>
      <c r="B54" s="170" t="s">
        <v>73</v>
      </c>
      <c r="C54" s="169"/>
      <c r="D54" s="172"/>
      <c r="E54" s="223"/>
      <c r="F54" s="225"/>
    </row>
    <row r="55" spans="1:6" s="104" customFormat="1" ht="30" x14ac:dyDescent="0.25">
      <c r="A55" s="172">
        <f>MAX(A50:A54)+0.001</f>
        <v>1.0219999999999976</v>
      </c>
      <c r="B55" s="173" t="s">
        <v>380</v>
      </c>
      <c r="C55" s="172" t="s">
        <v>659</v>
      </c>
      <c r="D55" s="172">
        <v>1</v>
      </c>
      <c r="E55" s="224">
        <v>3812.7437251329211</v>
      </c>
      <c r="F55" s="224">
        <f>$D55*E55</f>
        <v>3812.7437251329211</v>
      </c>
    </row>
    <row r="56" spans="1:6" s="104" customFormat="1" ht="15.75" x14ac:dyDescent="0.25">
      <c r="A56" s="169"/>
      <c r="B56" s="170" t="s">
        <v>64</v>
      </c>
      <c r="C56" s="169"/>
      <c r="D56" s="169"/>
      <c r="E56" s="225"/>
      <c r="F56" s="225"/>
    </row>
    <row r="57" spans="1:6" s="104" customFormat="1" ht="30" x14ac:dyDescent="0.25">
      <c r="A57" s="172">
        <f>MAX(A52:A56)+0.001</f>
        <v>1.0229999999999975</v>
      </c>
      <c r="B57" s="173" t="s">
        <v>381</v>
      </c>
      <c r="C57" s="172" t="s">
        <v>659</v>
      </c>
      <c r="D57" s="172">
        <v>1</v>
      </c>
      <c r="E57" s="224">
        <v>8326.4106233758284</v>
      </c>
      <c r="F57" s="224">
        <f>$D57*E57</f>
        <v>8326.4106233758284</v>
      </c>
    </row>
    <row r="58" spans="1:6" s="104" customFormat="1" ht="36" customHeight="1" x14ac:dyDescent="0.25">
      <c r="A58" s="169"/>
      <c r="B58" s="170" t="s">
        <v>66</v>
      </c>
      <c r="C58" s="169"/>
      <c r="D58" s="169"/>
      <c r="E58" s="225"/>
      <c r="F58" s="225"/>
    </row>
    <row r="59" spans="1:6" s="95" customFormat="1" ht="30" x14ac:dyDescent="0.2">
      <c r="A59" s="172">
        <f>MAX(A54:A58)+0.001</f>
        <v>1.0239999999999974</v>
      </c>
      <c r="B59" s="173" t="s">
        <v>382</v>
      </c>
      <c r="C59" s="172" t="s">
        <v>659</v>
      </c>
      <c r="D59" s="172">
        <v>1</v>
      </c>
      <c r="E59" s="224">
        <v>5244.2833693909542</v>
      </c>
      <c r="F59" s="224">
        <f>$D59*E59</f>
        <v>5244.2833693909542</v>
      </c>
    </row>
    <row r="60" spans="1:6" ht="30" x14ac:dyDescent="0.2">
      <c r="A60" s="172">
        <f>MAX(A55:A59)+0.001</f>
        <v>1.0249999999999972</v>
      </c>
      <c r="B60" s="173" t="s">
        <v>383</v>
      </c>
      <c r="C60" s="172" t="s">
        <v>659</v>
      </c>
      <c r="D60" s="172">
        <v>1</v>
      </c>
      <c r="E60" s="224">
        <v>4772.4141064135574</v>
      </c>
      <c r="F60" s="224">
        <f>$D60*E60</f>
        <v>4772.4141064135574</v>
      </c>
    </row>
    <row r="61" spans="1:6" ht="45" x14ac:dyDescent="0.2">
      <c r="A61" s="172">
        <f>MAX(A56:A60)+0.001</f>
        <v>1.0259999999999971</v>
      </c>
      <c r="B61" s="173" t="s">
        <v>384</v>
      </c>
      <c r="C61" s="172" t="s">
        <v>659</v>
      </c>
      <c r="D61" s="172">
        <v>1</v>
      </c>
      <c r="E61" s="224">
        <v>34549.101361031535</v>
      </c>
      <c r="F61" s="224">
        <f>$D61*E61</f>
        <v>34549.101361031535</v>
      </c>
    </row>
    <row r="62" spans="1:6" ht="30" x14ac:dyDescent="0.2">
      <c r="A62" s="172">
        <f>MAX(A57:A61)+0.001</f>
        <v>1.026999999999997</v>
      </c>
      <c r="B62" s="173" t="s">
        <v>385</v>
      </c>
      <c r="C62" s="172" t="s">
        <v>659</v>
      </c>
      <c r="D62" s="172">
        <v>1</v>
      </c>
      <c r="E62" s="224">
        <v>25958.014797993314</v>
      </c>
      <c r="F62" s="224">
        <f>$D62*E62</f>
        <v>25958.014797993314</v>
      </c>
    </row>
    <row r="63" spans="1:6" ht="15.75" x14ac:dyDescent="0.2">
      <c r="A63" s="177"/>
      <c r="B63" s="171" t="s">
        <v>44</v>
      </c>
      <c r="C63" s="174"/>
      <c r="D63" s="178"/>
      <c r="E63" s="223"/>
      <c r="F63" s="225">
        <f>SUM(F8:F62)</f>
        <v>939505.77479922329</v>
      </c>
    </row>
    <row r="64" spans="1:6" x14ac:dyDescent="0.2">
      <c r="E64" s="88"/>
      <c r="F64" s="109"/>
    </row>
    <row r="65" spans="5:6" x14ac:dyDescent="0.2">
      <c r="E65" s="105"/>
      <c r="F65" s="109"/>
    </row>
    <row r="66" spans="5:6" x14ac:dyDescent="0.2">
      <c r="E66" s="105"/>
      <c r="F66" s="109"/>
    </row>
    <row r="67" spans="5:6" x14ac:dyDescent="0.2">
      <c r="E67" s="105"/>
      <c r="F67" s="109"/>
    </row>
    <row r="68" spans="5:6" x14ac:dyDescent="0.2">
      <c r="E68" s="105"/>
      <c r="F68" s="109"/>
    </row>
    <row r="69" spans="5:6" x14ac:dyDescent="0.2">
      <c r="E69" s="105"/>
      <c r="F69" s="109"/>
    </row>
    <row r="70" spans="5:6" x14ac:dyDescent="0.2">
      <c r="E70" s="105"/>
      <c r="F70" s="109"/>
    </row>
    <row r="71" spans="5:6" x14ac:dyDescent="0.2">
      <c r="E71" s="105"/>
      <c r="F71" s="109"/>
    </row>
    <row r="72" spans="5:6" x14ac:dyDescent="0.2">
      <c r="E72" s="105"/>
      <c r="F72" s="109"/>
    </row>
    <row r="73" spans="5:6" x14ac:dyDescent="0.2">
      <c r="E73" s="105"/>
      <c r="F73" s="109"/>
    </row>
    <row r="74" spans="5:6" x14ac:dyDescent="0.2">
      <c r="E74" s="105"/>
      <c r="F74" s="109"/>
    </row>
    <row r="75" spans="5:6" x14ac:dyDescent="0.2">
      <c r="E75" s="105"/>
      <c r="F75" s="109"/>
    </row>
    <row r="76" spans="5:6" x14ac:dyDescent="0.2">
      <c r="E76" s="105"/>
      <c r="F76" s="109"/>
    </row>
    <row r="77" spans="5:6" x14ac:dyDescent="0.2">
      <c r="E77" s="105"/>
      <c r="F77" s="109"/>
    </row>
    <row r="78" spans="5:6" x14ac:dyDescent="0.2">
      <c r="E78" s="105"/>
      <c r="F78" s="109"/>
    </row>
    <row r="79" spans="5:6" x14ac:dyDescent="0.2">
      <c r="E79" s="105"/>
      <c r="F79" s="109"/>
    </row>
    <row r="80" spans="5:6" x14ac:dyDescent="0.2">
      <c r="E80" s="105"/>
      <c r="F80" s="109"/>
    </row>
    <row r="81" spans="5:6" x14ac:dyDescent="0.2">
      <c r="E81" s="105"/>
      <c r="F81" s="109"/>
    </row>
    <row r="82" spans="5:6" x14ac:dyDescent="0.2">
      <c r="E82" s="105"/>
      <c r="F82" s="109"/>
    </row>
    <row r="83" spans="5:6" x14ac:dyDescent="0.2">
      <c r="E83" s="105"/>
      <c r="F83" s="109"/>
    </row>
    <row r="84" spans="5:6" x14ac:dyDescent="0.2">
      <c r="E84" s="105"/>
      <c r="F84" s="109"/>
    </row>
    <row r="85" spans="5:6" x14ac:dyDescent="0.2">
      <c r="E85" s="105"/>
      <c r="F85" s="109"/>
    </row>
    <row r="86" spans="5:6" x14ac:dyDescent="0.2">
      <c r="E86" s="105"/>
      <c r="F86" s="109"/>
    </row>
    <row r="87" spans="5:6" x14ac:dyDescent="0.2">
      <c r="E87" s="105"/>
      <c r="F87" s="109"/>
    </row>
    <row r="88" spans="5:6" x14ac:dyDescent="0.2">
      <c r="E88" s="105"/>
      <c r="F88" s="109"/>
    </row>
    <row r="89" spans="5:6" x14ac:dyDescent="0.2">
      <c r="E89" s="105"/>
      <c r="F89" s="109"/>
    </row>
    <row r="90" spans="5:6" x14ac:dyDescent="0.2">
      <c r="E90" s="105"/>
      <c r="F90" s="109"/>
    </row>
    <row r="91" spans="5:6" x14ac:dyDescent="0.2">
      <c r="E91" s="105"/>
      <c r="F91" s="109"/>
    </row>
    <row r="92" spans="5:6" x14ac:dyDescent="0.2">
      <c r="E92" s="105"/>
      <c r="F92" s="109"/>
    </row>
    <row r="93" spans="5:6" x14ac:dyDescent="0.2">
      <c r="E93" s="105"/>
      <c r="F93" s="109"/>
    </row>
    <row r="94" spans="5:6" x14ac:dyDescent="0.2">
      <c r="E94" s="105"/>
      <c r="F94" s="109"/>
    </row>
    <row r="95" spans="5:6" x14ac:dyDescent="0.2">
      <c r="E95" s="105"/>
      <c r="F95" s="109"/>
    </row>
    <row r="96" spans="5:6" x14ac:dyDescent="0.2">
      <c r="E96" s="105"/>
      <c r="F96" s="109"/>
    </row>
    <row r="97" spans="5:6" x14ac:dyDescent="0.2">
      <c r="E97" s="105"/>
      <c r="F97" s="109"/>
    </row>
    <row r="98" spans="5:6" x14ac:dyDescent="0.2">
      <c r="E98" s="105"/>
      <c r="F98" s="109"/>
    </row>
    <row r="99" spans="5:6" x14ac:dyDescent="0.2">
      <c r="E99" s="105"/>
      <c r="F99" s="109"/>
    </row>
    <row r="100" spans="5:6" x14ac:dyDescent="0.2">
      <c r="E100" s="105"/>
      <c r="F100" s="109"/>
    </row>
    <row r="101" spans="5:6" x14ac:dyDescent="0.2">
      <c r="E101" s="105"/>
      <c r="F101" s="109"/>
    </row>
    <row r="102" spans="5:6" x14ac:dyDescent="0.2">
      <c r="E102" s="105"/>
      <c r="F102" s="109"/>
    </row>
    <row r="103" spans="5:6" x14ac:dyDescent="0.2">
      <c r="E103" s="105"/>
      <c r="F103" s="109"/>
    </row>
    <row r="104" spans="5:6" x14ac:dyDescent="0.2">
      <c r="E104" s="105"/>
      <c r="F104" s="109"/>
    </row>
    <row r="105" spans="5:6" x14ac:dyDescent="0.2">
      <c r="E105" s="105"/>
      <c r="F105" s="109"/>
    </row>
    <row r="106" spans="5:6" x14ac:dyDescent="0.2">
      <c r="E106" s="105"/>
      <c r="F106" s="109"/>
    </row>
    <row r="107" spans="5:6" x14ac:dyDescent="0.2">
      <c r="E107" s="105"/>
      <c r="F107" s="109"/>
    </row>
    <row r="108" spans="5:6" x14ac:dyDescent="0.2">
      <c r="E108" s="105"/>
      <c r="F108" s="109"/>
    </row>
    <row r="109" spans="5:6" x14ac:dyDescent="0.2">
      <c r="E109" s="105"/>
      <c r="F109" s="109"/>
    </row>
    <row r="110" spans="5:6" x14ac:dyDescent="0.2">
      <c r="E110" s="105"/>
      <c r="F110" s="109"/>
    </row>
    <row r="111" spans="5:6" x14ac:dyDescent="0.2">
      <c r="E111" s="105"/>
      <c r="F111" s="109"/>
    </row>
    <row r="112" spans="5:6" x14ac:dyDescent="0.2">
      <c r="E112" s="105"/>
      <c r="F112" s="109"/>
    </row>
    <row r="113" spans="5:6" x14ac:dyDescent="0.2">
      <c r="E113" s="105"/>
      <c r="F113" s="109"/>
    </row>
    <row r="114" spans="5:6" x14ac:dyDescent="0.2">
      <c r="E114" s="105"/>
      <c r="F114" s="109"/>
    </row>
    <row r="115" spans="5:6" x14ac:dyDescent="0.2">
      <c r="E115" s="105"/>
      <c r="F115" s="109"/>
    </row>
    <row r="116" spans="5:6" x14ac:dyDescent="0.2">
      <c r="E116" s="105"/>
      <c r="F116" s="109"/>
    </row>
    <row r="117" spans="5:6" x14ac:dyDescent="0.2">
      <c r="E117" s="105"/>
      <c r="F117" s="109"/>
    </row>
    <row r="118" spans="5:6" x14ac:dyDescent="0.2">
      <c r="E118" s="105"/>
      <c r="F118" s="109"/>
    </row>
    <row r="119" spans="5:6" x14ac:dyDescent="0.2">
      <c r="E119" s="105"/>
      <c r="F119" s="109"/>
    </row>
    <row r="120" spans="5:6" x14ac:dyDescent="0.2">
      <c r="E120" s="105"/>
      <c r="F120" s="109"/>
    </row>
    <row r="121" spans="5:6" x14ac:dyDescent="0.2">
      <c r="E121" s="105"/>
      <c r="F121" s="109"/>
    </row>
    <row r="122" spans="5:6" x14ac:dyDescent="0.2">
      <c r="E122" s="105"/>
      <c r="F122" s="109"/>
    </row>
    <row r="123" spans="5:6" x14ac:dyDescent="0.2">
      <c r="E123" s="105"/>
      <c r="F123" s="109"/>
    </row>
    <row r="124" spans="5:6" x14ac:dyDescent="0.2">
      <c r="E124" s="105"/>
      <c r="F124" s="109"/>
    </row>
    <row r="125" spans="5:6" x14ac:dyDescent="0.2">
      <c r="E125" s="105"/>
      <c r="F125" s="109"/>
    </row>
    <row r="126" spans="5:6" x14ac:dyDescent="0.2">
      <c r="E126" s="105"/>
      <c r="F126" s="109"/>
    </row>
    <row r="127" spans="5:6" x14ac:dyDescent="0.2">
      <c r="E127" s="105"/>
      <c r="F127" s="109"/>
    </row>
    <row r="128" spans="5:6" x14ac:dyDescent="0.2">
      <c r="E128" s="105"/>
      <c r="F128" s="109"/>
    </row>
    <row r="129" spans="5:6" x14ac:dyDescent="0.2">
      <c r="E129" s="105"/>
      <c r="F129" s="109"/>
    </row>
    <row r="130" spans="5:6" x14ac:dyDescent="0.2">
      <c r="E130" s="105"/>
      <c r="F130" s="109"/>
    </row>
    <row r="131" spans="5:6" x14ac:dyDescent="0.2">
      <c r="E131" s="105"/>
      <c r="F131" s="109"/>
    </row>
    <row r="132" spans="5:6" x14ac:dyDescent="0.2">
      <c r="E132" s="105"/>
      <c r="F132" s="109"/>
    </row>
    <row r="133" spans="5:6" x14ac:dyDescent="0.2">
      <c r="E133" s="105"/>
      <c r="F133" s="109"/>
    </row>
    <row r="134" spans="5:6" x14ac:dyDescent="0.2">
      <c r="E134" s="105"/>
      <c r="F134" s="109"/>
    </row>
    <row r="135" spans="5:6" x14ac:dyDescent="0.2">
      <c r="E135" s="105"/>
      <c r="F135" s="109"/>
    </row>
    <row r="136" spans="5:6" x14ac:dyDescent="0.2">
      <c r="E136" s="105"/>
      <c r="F136" s="109"/>
    </row>
    <row r="137" spans="5:6" x14ac:dyDescent="0.2">
      <c r="E137" s="105"/>
      <c r="F137" s="109"/>
    </row>
    <row r="138" spans="5:6" x14ac:dyDescent="0.2">
      <c r="E138" s="105"/>
      <c r="F138" s="109"/>
    </row>
    <row r="139" spans="5:6" x14ac:dyDescent="0.2">
      <c r="E139" s="105"/>
      <c r="F139" s="109"/>
    </row>
    <row r="140" spans="5:6" x14ac:dyDescent="0.2">
      <c r="E140" s="105"/>
      <c r="F140" s="109"/>
    </row>
    <row r="141" spans="5:6" x14ac:dyDescent="0.2">
      <c r="E141" s="105"/>
      <c r="F141" s="109"/>
    </row>
    <row r="142" spans="5:6" x14ac:dyDescent="0.2">
      <c r="E142" s="105"/>
      <c r="F142" s="109"/>
    </row>
    <row r="143" spans="5:6" x14ac:dyDescent="0.2">
      <c r="E143" s="105"/>
      <c r="F143" s="109"/>
    </row>
    <row r="144" spans="5:6" x14ac:dyDescent="0.2">
      <c r="E144" s="105"/>
      <c r="F144" s="109"/>
    </row>
    <row r="145" spans="5:6" x14ac:dyDescent="0.2">
      <c r="E145" s="105"/>
      <c r="F145" s="109"/>
    </row>
    <row r="146" spans="5:6" x14ac:dyDescent="0.2">
      <c r="E146" s="105"/>
      <c r="F146" s="109"/>
    </row>
    <row r="147" spans="5:6" x14ac:dyDescent="0.2">
      <c r="E147" s="105"/>
      <c r="F147" s="109"/>
    </row>
    <row r="148" spans="5:6" x14ac:dyDescent="0.2">
      <c r="E148" s="105"/>
      <c r="F148" s="109"/>
    </row>
    <row r="149" spans="5:6" x14ac:dyDescent="0.2">
      <c r="E149" s="105"/>
      <c r="F149" s="109"/>
    </row>
    <row r="150" spans="5:6" x14ac:dyDescent="0.2">
      <c r="E150" s="105"/>
      <c r="F150" s="109"/>
    </row>
    <row r="151" spans="5:6" x14ac:dyDescent="0.2">
      <c r="E151" s="105"/>
      <c r="F151" s="109"/>
    </row>
    <row r="152" spans="5:6" x14ac:dyDescent="0.2">
      <c r="E152" s="105"/>
      <c r="F152" s="109"/>
    </row>
    <row r="153" spans="5:6" x14ac:dyDescent="0.2">
      <c r="E153" s="105"/>
      <c r="F153" s="109"/>
    </row>
    <row r="154" spans="5:6" x14ac:dyDescent="0.2">
      <c r="E154" s="105"/>
      <c r="F154" s="109"/>
    </row>
    <row r="155" spans="5:6" x14ac:dyDescent="0.2">
      <c r="E155" s="105"/>
      <c r="F155" s="109"/>
    </row>
    <row r="156" spans="5:6" x14ac:dyDescent="0.2">
      <c r="E156" s="105"/>
      <c r="F156" s="109"/>
    </row>
    <row r="157" spans="5:6" x14ac:dyDescent="0.2">
      <c r="E157" s="105"/>
      <c r="F157" s="109"/>
    </row>
    <row r="158" spans="5:6" x14ac:dyDescent="0.2">
      <c r="E158" s="105"/>
      <c r="F158" s="109"/>
    </row>
    <row r="159" spans="5:6" x14ac:dyDescent="0.2">
      <c r="E159" s="105"/>
      <c r="F159" s="109"/>
    </row>
    <row r="160" spans="5:6" x14ac:dyDescent="0.2">
      <c r="E160" s="105"/>
      <c r="F160" s="109"/>
    </row>
    <row r="161" spans="5:6" x14ac:dyDescent="0.2">
      <c r="E161" s="105"/>
      <c r="F161" s="109"/>
    </row>
    <row r="162" spans="5:6" x14ac:dyDescent="0.2">
      <c r="E162" s="105"/>
      <c r="F162" s="109"/>
    </row>
    <row r="163" spans="5:6" x14ac:dyDescent="0.2">
      <c r="E163" s="105"/>
      <c r="F163" s="109"/>
    </row>
    <row r="164" spans="5:6" x14ac:dyDescent="0.2">
      <c r="E164" s="105"/>
      <c r="F164" s="109"/>
    </row>
    <row r="165" spans="5:6" x14ac:dyDescent="0.2">
      <c r="E165" s="105"/>
      <c r="F165" s="109"/>
    </row>
    <row r="166" spans="5:6" x14ac:dyDescent="0.2">
      <c r="E166" s="105"/>
      <c r="F166" s="109"/>
    </row>
    <row r="167" spans="5:6" x14ac:dyDescent="0.2">
      <c r="E167" s="105"/>
      <c r="F167" s="109"/>
    </row>
    <row r="168" spans="5:6" x14ac:dyDescent="0.2">
      <c r="E168" s="105"/>
      <c r="F168" s="109"/>
    </row>
    <row r="169" spans="5:6" x14ac:dyDescent="0.2">
      <c r="E169" s="105"/>
      <c r="F169" s="109"/>
    </row>
    <row r="170" spans="5:6" x14ac:dyDescent="0.2">
      <c r="E170" s="105"/>
      <c r="F170" s="109"/>
    </row>
    <row r="171" spans="5:6" x14ac:dyDescent="0.2">
      <c r="E171" s="105"/>
      <c r="F171" s="109"/>
    </row>
    <row r="172" spans="5:6" x14ac:dyDescent="0.2">
      <c r="E172" s="105"/>
      <c r="F172" s="109"/>
    </row>
    <row r="173" spans="5:6" x14ac:dyDescent="0.2">
      <c r="E173" s="105"/>
      <c r="F173" s="109"/>
    </row>
    <row r="174" spans="5:6" x14ac:dyDescent="0.2">
      <c r="E174" s="105"/>
      <c r="F174" s="109"/>
    </row>
    <row r="175" spans="5:6" x14ac:dyDescent="0.2">
      <c r="E175" s="105"/>
      <c r="F175" s="109"/>
    </row>
    <row r="176" spans="5:6" x14ac:dyDescent="0.2">
      <c r="E176" s="105"/>
      <c r="F176" s="109"/>
    </row>
    <row r="177" spans="5:6" x14ac:dyDescent="0.2">
      <c r="E177" s="105"/>
      <c r="F177" s="109"/>
    </row>
    <row r="178" spans="5:6" x14ac:dyDescent="0.2">
      <c r="E178" s="105"/>
      <c r="F178" s="109"/>
    </row>
    <row r="179" spans="5:6" x14ac:dyDescent="0.2">
      <c r="E179" s="105"/>
      <c r="F179" s="109"/>
    </row>
    <row r="180" spans="5:6" x14ac:dyDescent="0.2">
      <c r="E180" s="105"/>
      <c r="F180" s="109"/>
    </row>
    <row r="181" spans="5:6" x14ac:dyDescent="0.2">
      <c r="E181" s="105"/>
      <c r="F181" s="109"/>
    </row>
    <row r="182" spans="5:6" x14ac:dyDescent="0.2">
      <c r="E182" s="105"/>
      <c r="F182" s="109"/>
    </row>
    <row r="183" spans="5:6" x14ac:dyDescent="0.2">
      <c r="E183" s="105"/>
      <c r="F183" s="109"/>
    </row>
    <row r="184" spans="5:6" x14ac:dyDescent="0.2">
      <c r="E184" s="105"/>
      <c r="F184" s="109"/>
    </row>
    <row r="185" spans="5:6" x14ac:dyDescent="0.2">
      <c r="E185" s="105"/>
      <c r="F185" s="109"/>
    </row>
    <row r="186" spans="5:6" x14ac:dyDescent="0.2">
      <c r="E186" s="105"/>
      <c r="F186" s="109"/>
    </row>
    <row r="187" spans="5:6" x14ac:dyDescent="0.2">
      <c r="E187" s="105"/>
      <c r="F187" s="109"/>
    </row>
    <row r="188" spans="5:6" x14ac:dyDescent="0.2">
      <c r="E188" s="105"/>
      <c r="F188" s="109"/>
    </row>
    <row r="189" spans="5:6" x14ac:dyDescent="0.2">
      <c r="E189" s="105"/>
      <c r="F189" s="109"/>
    </row>
    <row r="190" spans="5:6" x14ac:dyDescent="0.2">
      <c r="E190" s="105"/>
      <c r="F190" s="109"/>
    </row>
    <row r="191" spans="5:6" x14ac:dyDescent="0.2">
      <c r="E191" s="105"/>
      <c r="F191" s="109"/>
    </row>
    <row r="192" spans="5:6" x14ac:dyDescent="0.2">
      <c r="E192" s="105"/>
      <c r="F192" s="109"/>
    </row>
    <row r="193" spans="5:6" x14ac:dyDescent="0.2">
      <c r="E193" s="105"/>
      <c r="F193" s="109"/>
    </row>
    <row r="194" spans="5:6" x14ac:dyDescent="0.2">
      <c r="E194" s="105"/>
      <c r="F194" s="109"/>
    </row>
    <row r="195" spans="5:6" x14ac:dyDescent="0.2">
      <c r="E195" s="105"/>
      <c r="F195" s="109"/>
    </row>
    <row r="196" spans="5:6" x14ac:dyDescent="0.2">
      <c r="E196" s="105"/>
      <c r="F196" s="109"/>
    </row>
    <row r="197" spans="5:6" x14ac:dyDescent="0.2">
      <c r="E197" s="105"/>
      <c r="F197" s="109"/>
    </row>
    <row r="198" spans="5:6" x14ac:dyDescent="0.2">
      <c r="E198" s="105"/>
      <c r="F198" s="109"/>
    </row>
    <row r="199" spans="5:6" x14ac:dyDescent="0.2">
      <c r="E199" s="105"/>
      <c r="F199" s="109"/>
    </row>
    <row r="200" spans="5:6" x14ac:dyDescent="0.2">
      <c r="E200" s="105"/>
      <c r="F200" s="109"/>
    </row>
    <row r="201" spans="5:6" x14ac:dyDescent="0.2">
      <c r="E201" s="105"/>
      <c r="F201" s="109"/>
    </row>
    <row r="202" spans="5:6" x14ac:dyDescent="0.2">
      <c r="E202" s="105"/>
      <c r="F202" s="109"/>
    </row>
    <row r="203" spans="5:6" x14ac:dyDescent="0.2">
      <c r="E203" s="105"/>
      <c r="F203" s="109"/>
    </row>
    <row r="204" spans="5:6" x14ac:dyDescent="0.2">
      <c r="E204" s="105"/>
      <c r="F204" s="109"/>
    </row>
    <row r="205" spans="5:6" x14ac:dyDescent="0.2">
      <c r="E205" s="105"/>
      <c r="F205" s="109"/>
    </row>
    <row r="206" spans="5:6" x14ac:dyDescent="0.2">
      <c r="E206" s="105"/>
      <c r="F206" s="109"/>
    </row>
    <row r="207" spans="5:6" x14ac:dyDescent="0.2">
      <c r="E207" s="105"/>
      <c r="F207" s="109"/>
    </row>
    <row r="208" spans="5:6" x14ac:dyDescent="0.2">
      <c r="E208" s="105"/>
      <c r="F208" s="109"/>
    </row>
    <row r="209" spans="5:6" x14ac:dyDescent="0.2">
      <c r="E209" s="105"/>
      <c r="F209" s="109"/>
    </row>
    <row r="210" spans="5:6" x14ac:dyDescent="0.2">
      <c r="E210" s="105"/>
      <c r="F210" s="109"/>
    </row>
    <row r="211" spans="5:6" x14ac:dyDescent="0.2">
      <c r="E211" s="105"/>
      <c r="F211" s="109"/>
    </row>
    <row r="212" spans="5:6" x14ac:dyDescent="0.2">
      <c r="E212" s="109"/>
      <c r="F212" s="109"/>
    </row>
    <row r="213" spans="5:6" x14ac:dyDescent="0.2">
      <c r="E213" s="109"/>
      <c r="F213" s="109"/>
    </row>
    <row r="214" spans="5:6" x14ac:dyDescent="0.2">
      <c r="E214" s="109"/>
      <c r="F214" s="109"/>
    </row>
    <row r="215" spans="5:6" x14ac:dyDescent="0.2">
      <c r="E215" s="109"/>
      <c r="F215" s="109"/>
    </row>
    <row r="216" spans="5:6" x14ac:dyDescent="0.2">
      <c r="E216" s="109"/>
      <c r="F216" s="109"/>
    </row>
    <row r="217" spans="5:6" x14ac:dyDescent="0.2">
      <c r="E217" s="109"/>
      <c r="F217" s="109"/>
    </row>
    <row r="218" spans="5:6" x14ac:dyDescent="0.2">
      <c r="E218" s="109"/>
      <c r="F218" s="109"/>
    </row>
    <row r="219" spans="5:6" x14ac:dyDescent="0.2">
      <c r="E219" s="109"/>
      <c r="F219" s="109"/>
    </row>
    <row r="220" spans="5:6" x14ac:dyDescent="0.2">
      <c r="E220" s="109"/>
      <c r="F220" s="109"/>
    </row>
    <row r="221" spans="5:6" x14ac:dyDescent="0.2">
      <c r="E221" s="109"/>
      <c r="F221" s="109"/>
    </row>
    <row r="222" spans="5:6" x14ac:dyDescent="0.2">
      <c r="E222" s="109"/>
      <c r="F222" s="109"/>
    </row>
    <row r="223" spans="5:6" x14ac:dyDescent="0.2">
      <c r="E223" s="109"/>
      <c r="F223" s="109"/>
    </row>
    <row r="224" spans="5:6" x14ac:dyDescent="0.2">
      <c r="E224" s="109"/>
      <c r="F224" s="109"/>
    </row>
    <row r="225" spans="5:6" x14ac:dyDescent="0.2">
      <c r="E225" s="109"/>
      <c r="F225" s="109"/>
    </row>
    <row r="226" spans="5:6" x14ac:dyDescent="0.2">
      <c r="E226" s="109"/>
      <c r="F226" s="109"/>
    </row>
    <row r="227" spans="5:6" x14ac:dyDescent="0.2">
      <c r="E227" s="109"/>
      <c r="F227" s="109"/>
    </row>
    <row r="228" spans="5:6" x14ac:dyDescent="0.2">
      <c r="E228" s="109"/>
      <c r="F228" s="109"/>
    </row>
    <row r="229" spans="5:6" x14ac:dyDescent="0.2">
      <c r="E229" s="109"/>
      <c r="F229" s="109"/>
    </row>
    <row r="230" spans="5:6" x14ac:dyDescent="0.2">
      <c r="E230" s="109"/>
      <c r="F230" s="109"/>
    </row>
    <row r="231" spans="5:6" x14ac:dyDescent="0.2">
      <c r="E231" s="109"/>
      <c r="F231" s="109"/>
    </row>
    <row r="232" spans="5:6" x14ac:dyDescent="0.2">
      <c r="E232" s="109"/>
      <c r="F232" s="109"/>
    </row>
    <row r="233" spans="5:6" x14ac:dyDescent="0.2">
      <c r="E233" s="109"/>
      <c r="F233" s="109"/>
    </row>
    <row r="234" spans="5:6" x14ac:dyDescent="0.2">
      <c r="E234" s="109"/>
      <c r="F234" s="109"/>
    </row>
    <row r="235" spans="5:6" x14ac:dyDescent="0.2">
      <c r="E235" s="109"/>
      <c r="F235" s="109"/>
    </row>
    <row r="236" spans="5:6" x14ac:dyDescent="0.2">
      <c r="E236" s="109"/>
      <c r="F236" s="109"/>
    </row>
    <row r="237" spans="5:6" x14ac:dyDescent="0.2">
      <c r="E237" s="109"/>
      <c r="F237" s="109"/>
    </row>
    <row r="238" spans="5:6" x14ac:dyDescent="0.2">
      <c r="E238" s="109"/>
      <c r="F238" s="109"/>
    </row>
    <row r="239" spans="5:6" x14ac:dyDescent="0.2">
      <c r="E239" s="109"/>
      <c r="F239" s="109"/>
    </row>
    <row r="240" spans="5:6" x14ac:dyDescent="0.2">
      <c r="E240" s="109"/>
      <c r="F240" s="109"/>
    </row>
    <row r="241" spans="5:6" x14ac:dyDescent="0.2">
      <c r="E241" s="109"/>
      <c r="F241" s="109"/>
    </row>
    <row r="242" spans="5:6" x14ac:dyDescent="0.2">
      <c r="E242" s="109"/>
      <c r="F242" s="109"/>
    </row>
    <row r="243" spans="5:6" x14ac:dyDescent="0.2">
      <c r="E243" s="109"/>
      <c r="F243" s="109"/>
    </row>
    <row r="244" spans="5:6" x14ac:dyDescent="0.2">
      <c r="E244" s="109"/>
      <c r="F244" s="109"/>
    </row>
    <row r="245" spans="5:6" x14ac:dyDescent="0.2">
      <c r="E245" s="109"/>
      <c r="F245" s="109"/>
    </row>
    <row r="246" spans="5:6" x14ac:dyDescent="0.2">
      <c r="E246" s="109"/>
      <c r="F246" s="109"/>
    </row>
    <row r="247" spans="5:6" x14ac:dyDescent="0.2">
      <c r="E247" s="109"/>
      <c r="F247" s="109"/>
    </row>
    <row r="248" spans="5:6" x14ac:dyDescent="0.2">
      <c r="E248" s="109"/>
      <c r="F248" s="109"/>
    </row>
    <row r="249" spans="5:6" x14ac:dyDescent="0.2">
      <c r="E249" s="109"/>
      <c r="F249" s="109"/>
    </row>
    <row r="250" spans="5:6" x14ac:dyDescent="0.2">
      <c r="E250" s="109"/>
      <c r="F250" s="109"/>
    </row>
    <row r="251" spans="5:6" x14ac:dyDescent="0.2">
      <c r="E251" s="109"/>
      <c r="F251" s="109"/>
    </row>
    <row r="252" spans="5:6" x14ac:dyDescent="0.2">
      <c r="E252" s="109"/>
      <c r="F252" s="109"/>
    </row>
    <row r="253" spans="5:6" x14ac:dyDescent="0.2">
      <c r="E253" s="109"/>
      <c r="F253" s="109"/>
    </row>
    <row r="254" spans="5:6" x14ac:dyDescent="0.2">
      <c r="E254" s="109"/>
      <c r="F254" s="109"/>
    </row>
    <row r="255" spans="5:6" x14ac:dyDescent="0.2">
      <c r="E255" s="109"/>
      <c r="F255" s="109"/>
    </row>
    <row r="256" spans="5:6" x14ac:dyDescent="0.2">
      <c r="E256" s="109"/>
      <c r="F256" s="109"/>
    </row>
    <row r="257" spans="5:6" x14ac:dyDescent="0.2">
      <c r="E257" s="109"/>
      <c r="F257" s="109"/>
    </row>
    <row r="258" spans="5:6" x14ac:dyDescent="0.2">
      <c r="E258" s="109"/>
      <c r="F258" s="109"/>
    </row>
    <row r="259" spans="5:6" x14ac:dyDescent="0.2">
      <c r="E259" s="109"/>
      <c r="F259" s="109"/>
    </row>
    <row r="260" spans="5:6" x14ac:dyDescent="0.2">
      <c r="E260" s="109"/>
      <c r="F260" s="109"/>
    </row>
    <row r="261" spans="5:6" x14ac:dyDescent="0.2">
      <c r="E261" s="109"/>
      <c r="F261" s="109"/>
    </row>
    <row r="262" spans="5:6" x14ac:dyDescent="0.2">
      <c r="E262" s="109"/>
      <c r="F262" s="109"/>
    </row>
    <row r="263" spans="5:6" x14ac:dyDescent="0.2">
      <c r="E263" s="109"/>
      <c r="F263" s="109"/>
    </row>
    <row r="264" spans="5:6" x14ac:dyDescent="0.2">
      <c r="E264" s="109"/>
      <c r="F264" s="109"/>
    </row>
    <row r="265" spans="5:6" x14ac:dyDescent="0.2">
      <c r="E265" s="109"/>
      <c r="F265" s="109"/>
    </row>
    <row r="266" spans="5:6" x14ac:dyDescent="0.2">
      <c r="E266" s="109"/>
      <c r="F266" s="109"/>
    </row>
    <row r="267" spans="5:6" x14ac:dyDescent="0.2">
      <c r="E267" s="109"/>
      <c r="F267" s="109"/>
    </row>
    <row r="268" spans="5:6" x14ac:dyDescent="0.2">
      <c r="E268" s="109"/>
      <c r="F268" s="109"/>
    </row>
    <row r="269" spans="5:6" x14ac:dyDescent="0.2">
      <c r="E269" s="109"/>
      <c r="F269" s="109"/>
    </row>
    <row r="270" spans="5:6" x14ac:dyDescent="0.2">
      <c r="E270" s="109"/>
      <c r="F270" s="109"/>
    </row>
    <row r="271" spans="5:6" x14ac:dyDescent="0.2">
      <c r="E271" s="109"/>
      <c r="F271" s="109"/>
    </row>
    <row r="272" spans="5:6" x14ac:dyDescent="0.2">
      <c r="E272" s="109"/>
      <c r="F272" s="109"/>
    </row>
    <row r="273" spans="5:6" x14ac:dyDescent="0.2">
      <c r="E273" s="109"/>
      <c r="F273" s="109"/>
    </row>
    <row r="274" spans="5:6" x14ac:dyDescent="0.2">
      <c r="E274" s="109"/>
      <c r="F274" s="109"/>
    </row>
    <row r="275" spans="5:6" x14ac:dyDescent="0.2">
      <c r="E275" s="109"/>
      <c r="F275" s="109"/>
    </row>
    <row r="276" spans="5:6" x14ac:dyDescent="0.2">
      <c r="E276" s="109"/>
      <c r="F276" s="109"/>
    </row>
    <row r="277" spans="5:6" x14ac:dyDescent="0.2">
      <c r="E277" s="109"/>
      <c r="F277" s="109"/>
    </row>
    <row r="278" spans="5:6" x14ac:dyDescent="0.2">
      <c r="E278" s="109"/>
      <c r="F278" s="109"/>
    </row>
    <row r="279" spans="5:6" x14ac:dyDescent="0.2">
      <c r="E279" s="109"/>
      <c r="F279" s="109"/>
    </row>
    <row r="280" spans="5:6" x14ac:dyDescent="0.2">
      <c r="E280" s="109"/>
      <c r="F280" s="109"/>
    </row>
    <row r="281" spans="5:6" x14ac:dyDescent="0.2">
      <c r="E281" s="109"/>
      <c r="F281" s="109"/>
    </row>
    <row r="282" spans="5:6" x14ac:dyDescent="0.2">
      <c r="E282" s="109"/>
      <c r="F282" s="109"/>
    </row>
    <row r="283" spans="5:6" x14ac:dyDescent="0.2">
      <c r="E283" s="109"/>
      <c r="F283" s="109"/>
    </row>
    <row r="284" spans="5:6" x14ac:dyDescent="0.2">
      <c r="E284" s="109"/>
      <c r="F284" s="109"/>
    </row>
    <row r="285" spans="5:6" x14ac:dyDescent="0.2">
      <c r="E285" s="109"/>
      <c r="F285" s="109"/>
    </row>
    <row r="286" spans="5:6" x14ac:dyDescent="0.2">
      <c r="E286" s="109"/>
      <c r="F286" s="109"/>
    </row>
    <row r="287" spans="5:6" x14ac:dyDescent="0.2">
      <c r="E287" s="109"/>
      <c r="F287" s="109"/>
    </row>
    <row r="288" spans="5:6" x14ac:dyDescent="0.2">
      <c r="E288" s="109"/>
      <c r="F288" s="109"/>
    </row>
    <row r="289" spans="5:6" x14ac:dyDescent="0.2">
      <c r="E289" s="109"/>
      <c r="F289" s="109"/>
    </row>
    <row r="290" spans="5:6" x14ac:dyDescent="0.2">
      <c r="E290" s="109"/>
      <c r="F290" s="109"/>
    </row>
    <row r="291" spans="5:6" x14ac:dyDescent="0.2">
      <c r="E291" s="109"/>
      <c r="F291" s="109"/>
    </row>
    <row r="292" spans="5:6" x14ac:dyDescent="0.2">
      <c r="E292" s="109"/>
      <c r="F292" s="109"/>
    </row>
    <row r="293" spans="5:6" x14ac:dyDescent="0.2">
      <c r="E293" s="109"/>
      <c r="F293" s="109"/>
    </row>
    <row r="294" spans="5:6" x14ac:dyDescent="0.2">
      <c r="E294" s="109"/>
      <c r="F294" s="109"/>
    </row>
    <row r="295" spans="5:6" x14ac:dyDescent="0.2">
      <c r="E295" s="109"/>
      <c r="F295" s="109"/>
    </row>
    <row r="296" spans="5:6" x14ac:dyDescent="0.2">
      <c r="E296" s="109"/>
      <c r="F296" s="109"/>
    </row>
    <row r="297" spans="5:6" x14ac:dyDescent="0.2">
      <c r="E297" s="109"/>
      <c r="F297" s="109"/>
    </row>
    <row r="298" spans="5:6" x14ac:dyDescent="0.2">
      <c r="E298" s="109"/>
      <c r="F298" s="109"/>
    </row>
    <row r="299" spans="5:6" x14ac:dyDescent="0.2">
      <c r="E299" s="109"/>
      <c r="F299" s="109"/>
    </row>
    <row r="300" spans="5:6" x14ac:dyDescent="0.2">
      <c r="E300" s="109"/>
      <c r="F300" s="109"/>
    </row>
    <row r="301" spans="5:6" x14ac:dyDescent="0.2">
      <c r="E301" s="109"/>
      <c r="F301" s="109"/>
    </row>
    <row r="302" spans="5:6" x14ac:dyDescent="0.2">
      <c r="E302" s="109"/>
      <c r="F302" s="109"/>
    </row>
    <row r="303" spans="5:6" x14ac:dyDescent="0.2">
      <c r="E303" s="109"/>
      <c r="F303" s="109"/>
    </row>
    <row r="304" spans="5:6" x14ac:dyDescent="0.2">
      <c r="E304" s="109"/>
      <c r="F304" s="109"/>
    </row>
    <row r="305" spans="5:6" x14ac:dyDescent="0.2">
      <c r="E305" s="109"/>
      <c r="F305" s="109"/>
    </row>
    <row r="306" spans="5:6" x14ac:dyDescent="0.2">
      <c r="E306" s="109"/>
      <c r="F306" s="109"/>
    </row>
    <row r="307" spans="5:6" x14ac:dyDescent="0.2">
      <c r="E307" s="109"/>
      <c r="F307" s="109"/>
    </row>
    <row r="308" spans="5:6" x14ac:dyDescent="0.2">
      <c r="E308" s="109"/>
      <c r="F308" s="109"/>
    </row>
    <row r="309" spans="5:6" x14ac:dyDescent="0.2">
      <c r="E309" s="109"/>
      <c r="F309" s="109"/>
    </row>
    <row r="310" spans="5:6" x14ac:dyDescent="0.2">
      <c r="E310" s="109"/>
      <c r="F310" s="109"/>
    </row>
    <row r="311" spans="5:6" x14ac:dyDescent="0.2">
      <c r="E311" s="109"/>
      <c r="F311" s="109"/>
    </row>
    <row r="312" spans="5:6" x14ac:dyDescent="0.2">
      <c r="E312" s="109"/>
      <c r="F312" s="109"/>
    </row>
    <row r="313" spans="5:6" x14ac:dyDescent="0.2">
      <c r="E313" s="109"/>
      <c r="F313" s="109"/>
    </row>
    <row r="314" spans="5:6" x14ac:dyDescent="0.2">
      <c r="E314" s="109"/>
      <c r="F314" s="109"/>
    </row>
    <row r="315" spans="5:6" x14ac:dyDescent="0.2">
      <c r="E315" s="109"/>
      <c r="F315" s="109"/>
    </row>
    <row r="316" spans="5:6" x14ac:dyDescent="0.2">
      <c r="E316" s="109"/>
      <c r="F316" s="109"/>
    </row>
    <row r="317" spans="5:6" x14ac:dyDescent="0.2">
      <c r="E317" s="109"/>
      <c r="F317" s="109"/>
    </row>
    <row r="318" spans="5:6" x14ac:dyDescent="0.2">
      <c r="E318" s="109"/>
      <c r="F318" s="109"/>
    </row>
    <row r="319" spans="5:6" x14ac:dyDescent="0.2">
      <c r="E319" s="109"/>
      <c r="F319" s="109"/>
    </row>
    <row r="320" spans="5:6" x14ac:dyDescent="0.2">
      <c r="E320" s="109"/>
      <c r="F320" s="109"/>
    </row>
    <row r="321" spans="5:6" x14ac:dyDescent="0.2">
      <c r="E321" s="109"/>
      <c r="F321" s="109"/>
    </row>
    <row r="322" spans="5:6" x14ac:dyDescent="0.2">
      <c r="E322" s="109"/>
      <c r="F322" s="109"/>
    </row>
    <row r="323" spans="5:6" x14ac:dyDescent="0.2">
      <c r="E323" s="109"/>
      <c r="F323" s="109"/>
    </row>
    <row r="324" spans="5:6" x14ac:dyDescent="0.2">
      <c r="E324" s="109"/>
      <c r="F324" s="109"/>
    </row>
    <row r="325" spans="5:6" x14ac:dyDescent="0.2">
      <c r="E325" s="109"/>
      <c r="F325" s="109"/>
    </row>
    <row r="326" spans="5:6" x14ac:dyDescent="0.2">
      <c r="E326" s="109"/>
      <c r="F326" s="109"/>
    </row>
    <row r="327" spans="5:6" x14ac:dyDescent="0.2">
      <c r="E327" s="109"/>
      <c r="F327" s="109"/>
    </row>
    <row r="328" spans="5:6" x14ac:dyDescent="0.2">
      <c r="E328" s="109"/>
      <c r="F328" s="109"/>
    </row>
    <row r="329" spans="5:6" x14ac:dyDescent="0.2">
      <c r="E329" s="109"/>
      <c r="F329" s="109"/>
    </row>
    <row r="330" spans="5:6" x14ac:dyDescent="0.2">
      <c r="E330" s="109"/>
      <c r="F330" s="109"/>
    </row>
    <row r="331" spans="5:6" x14ac:dyDescent="0.2">
      <c r="E331" s="109"/>
      <c r="F331" s="109"/>
    </row>
    <row r="332" spans="5:6" x14ac:dyDescent="0.2">
      <c r="E332" s="109"/>
      <c r="F332" s="109"/>
    </row>
    <row r="333" spans="5:6" x14ac:dyDescent="0.2">
      <c r="E333" s="109"/>
      <c r="F333" s="109"/>
    </row>
    <row r="334" spans="5:6" x14ac:dyDescent="0.2">
      <c r="E334" s="109"/>
      <c r="F334" s="109"/>
    </row>
    <row r="335" spans="5:6" x14ac:dyDescent="0.2">
      <c r="E335" s="109"/>
      <c r="F335" s="109"/>
    </row>
    <row r="336" spans="5:6" x14ac:dyDescent="0.2">
      <c r="E336" s="109"/>
      <c r="F336" s="109"/>
    </row>
    <row r="337" spans="5:6" x14ac:dyDescent="0.2">
      <c r="E337" s="109"/>
      <c r="F337" s="109"/>
    </row>
    <row r="338" spans="5:6" x14ac:dyDescent="0.2">
      <c r="E338" s="109"/>
      <c r="F338" s="109"/>
    </row>
    <row r="339" spans="5:6" x14ac:dyDescent="0.2">
      <c r="E339" s="109"/>
      <c r="F339" s="109"/>
    </row>
    <row r="340" spans="5:6" x14ac:dyDescent="0.2">
      <c r="E340" s="109"/>
      <c r="F340" s="109"/>
    </row>
    <row r="341" spans="5:6" x14ac:dyDescent="0.2">
      <c r="E341" s="109"/>
      <c r="F341" s="109"/>
    </row>
    <row r="342" spans="5:6" x14ac:dyDescent="0.2">
      <c r="E342" s="109"/>
      <c r="F342" s="109"/>
    </row>
    <row r="343" spans="5:6" x14ac:dyDescent="0.2">
      <c r="E343" s="109"/>
      <c r="F343" s="109"/>
    </row>
    <row r="344" spans="5:6" x14ac:dyDescent="0.2">
      <c r="E344" s="109"/>
      <c r="F344" s="109"/>
    </row>
    <row r="345" spans="5:6" x14ac:dyDescent="0.2">
      <c r="E345" s="109"/>
      <c r="F345" s="109"/>
    </row>
    <row r="346" spans="5:6" x14ac:dyDescent="0.2">
      <c r="E346" s="109"/>
      <c r="F346" s="109"/>
    </row>
    <row r="347" spans="5:6" x14ac:dyDescent="0.2">
      <c r="E347" s="109"/>
      <c r="F347" s="109"/>
    </row>
    <row r="348" spans="5:6" x14ac:dyDescent="0.2">
      <c r="E348" s="109"/>
      <c r="F348" s="109"/>
    </row>
    <row r="349" spans="5:6" x14ac:dyDescent="0.2">
      <c r="E349" s="109"/>
      <c r="F349" s="109"/>
    </row>
    <row r="350" spans="5:6" x14ac:dyDescent="0.2">
      <c r="E350" s="109"/>
      <c r="F350" s="109"/>
    </row>
    <row r="351" spans="5:6" x14ac:dyDescent="0.2">
      <c r="E351" s="109"/>
      <c r="F351" s="109"/>
    </row>
    <row r="352" spans="5:6" x14ac:dyDescent="0.2">
      <c r="E352" s="109"/>
      <c r="F352" s="109"/>
    </row>
    <row r="353" spans="5:6" x14ac:dyDescent="0.2">
      <c r="E353" s="109"/>
      <c r="F353" s="109"/>
    </row>
    <row r="354" spans="5:6" x14ac:dyDescent="0.2">
      <c r="E354" s="109"/>
      <c r="F354" s="109"/>
    </row>
    <row r="355" spans="5:6" x14ac:dyDescent="0.2">
      <c r="E355" s="109"/>
      <c r="F355" s="109"/>
    </row>
    <row r="356" spans="5:6" x14ac:dyDescent="0.2">
      <c r="E356" s="109"/>
      <c r="F356" s="109"/>
    </row>
    <row r="357" spans="5:6" x14ac:dyDescent="0.2">
      <c r="E357" s="109"/>
      <c r="F357" s="109"/>
    </row>
    <row r="358" spans="5:6" x14ac:dyDescent="0.2">
      <c r="E358" s="109"/>
      <c r="F358" s="109"/>
    </row>
    <row r="359" spans="5:6" x14ac:dyDescent="0.2">
      <c r="E359" s="109"/>
      <c r="F359" s="109"/>
    </row>
    <row r="360" spans="5:6" x14ac:dyDescent="0.2">
      <c r="E360" s="109"/>
      <c r="F360" s="109"/>
    </row>
    <row r="361" spans="5:6" x14ac:dyDescent="0.2">
      <c r="E361" s="109"/>
      <c r="F361" s="109"/>
    </row>
    <row r="362" spans="5:6" x14ac:dyDescent="0.2">
      <c r="E362" s="109"/>
      <c r="F362" s="109"/>
    </row>
    <row r="363" spans="5:6" x14ac:dyDescent="0.2">
      <c r="E363" s="109"/>
      <c r="F363" s="109"/>
    </row>
    <row r="364" spans="5:6" x14ac:dyDescent="0.2">
      <c r="E364" s="109"/>
      <c r="F364" s="109"/>
    </row>
    <row r="365" spans="5:6" x14ac:dyDescent="0.2">
      <c r="E365" s="109"/>
      <c r="F365" s="109"/>
    </row>
    <row r="366" spans="5:6" x14ac:dyDescent="0.2">
      <c r="E366" s="109"/>
      <c r="F366" s="109"/>
    </row>
    <row r="367" spans="5:6" x14ac:dyDescent="0.2">
      <c r="E367" s="109"/>
      <c r="F367" s="109"/>
    </row>
    <row r="368" spans="5:6" x14ac:dyDescent="0.2">
      <c r="E368" s="109"/>
      <c r="F368" s="109"/>
    </row>
    <row r="369" spans="5:6" x14ac:dyDescent="0.2">
      <c r="E369" s="109"/>
      <c r="F369" s="109"/>
    </row>
    <row r="370" spans="5:6" x14ac:dyDescent="0.2">
      <c r="E370" s="109"/>
      <c r="F370" s="109"/>
    </row>
    <row r="371" spans="5:6" x14ac:dyDescent="0.2">
      <c r="E371" s="109"/>
      <c r="F371" s="109"/>
    </row>
    <row r="372" spans="5:6" x14ac:dyDescent="0.2">
      <c r="E372" s="109"/>
      <c r="F372" s="109"/>
    </row>
    <row r="373" spans="5:6" x14ac:dyDescent="0.2">
      <c r="E373" s="109"/>
      <c r="F373" s="109"/>
    </row>
    <row r="374" spans="5:6" x14ac:dyDescent="0.2">
      <c r="E374" s="109"/>
      <c r="F374" s="109"/>
    </row>
    <row r="375" spans="5:6" x14ac:dyDescent="0.2">
      <c r="E375" s="109"/>
      <c r="F375" s="109"/>
    </row>
    <row r="376" spans="5:6" x14ac:dyDescent="0.2">
      <c r="E376" s="109"/>
      <c r="F376" s="109"/>
    </row>
    <row r="377" spans="5:6" x14ac:dyDescent="0.2">
      <c r="E377" s="109"/>
      <c r="F377" s="109"/>
    </row>
    <row r="378" spans="5:6" x14ac:dyDescent="0.2">
      <c r="E378" s="109"/>
      <c r="F378" s="109"/>
    </row>
    <row r="379" spans="5:6" x14ac:dyDescent="0.2">
      <c r="E379" s="109"/>
      <c r="F379" s="109"/>
    </row>
    <row r="380" spans="5:6" x14ac:dyDescent="0.2">
      <c r="E380" s="109"/>
      <c r="F380" s="109"/>
    </row>
    <row r="381" spans="5:6" x14ac:dyDescent="0.2">
      <c r="E381" s="109"/>
      <c r="F381" s="109"/>
    </row>
    <row r="382" spans="5:6" x14ac:dyDescent="0.2">
      <c r="E382" s="109"/>
      <c r="F382" s="109"/>
    </row>
    <row r="383" spans="5:6" x14ac:dyDescent="0.2">
      <c r="E383" s="109"/>
      <c r="F383" s="109"/>
    </row>
    <row r="384" spans="5:6" x14ac:dyDescent="0.2">
      <c r="E384" s="109"/>
      <c r="F384" s="109"/>
    </row>
    <row r="385" spans="5:6" x14ac:dyDescent="0.2">
      <c r="E385" s="109"/>
      <c r="F385" s="109"/>
    </row>
    <row r="386" spans="5:6" x14ac:dyDescent="0.2">
      <c r="E386" s="109"/>
      <c r="F386" s="109"/>
    </row>
    <row r="387" spans="5:6" x14ac:dyDescent="0.2">
      <c r="E387" s="109"/>
      <c r="F387" s="109"/>
    </row>
    <row r="388" spans="5:6" x14ac:dyDescent="0.2">
      <c r="E388" s="109"/>
      <c r="F388" s="109"/>
    </row>
    <row r="389" spans="5:6" x14ac:dyDescent="0.2">
      <c r="E389" s="109"/>
      <c r="F389" s="109"/>
    </row>
    <row r="390" spans="5:6" x14ac:dyDescent="0.2">
      <c r="E390" s="109"/>
      <c r="F390" s="109"/>
    </row>
    <row r="391" spans="5:6" x14ac:dyDescent="0.2">
      <c r="E391" s="109"/>
      <c r="F391" s="109"/>
    </row>
    <row r="392" spans="5:6" x14ac:dyDescent="0.2">
      <c r="E392" s="109"/>
      <c r="F392" s="109"/>
    </row>
    <row r="393" spans="5:6" x14ac:dyDescent="0.2">
      <c r="E393" s="109"/>
      <c r="F393" s="109"/>
    </row>
    <row r="394" spans="5:6" x14ac:dyDescent="0.2">
      <c r="E394" s="109"/>
      <c r="F394" s="109"/>
    </row>
    <row r="395" spans="5:6" x14ac:dyDescent="0.2">
      <c r="E395" s="109"/>
      <c r="F395" s="109"/>
    </row>
    <row r="396" spans="5:6" x14ac:dyDescent="0.2">
      <c r="E396" s="109"/>
      <c r="F396" s="109"/>
    </row>
    <row r="397" spans="5:6" x14ac:dyDescent="0.2">
      <c r="E397" s="109"/>
      <c r="F397" s="109"/>
    </row>
    <row r="398" spans="5:6" x14ac:dyDescent="0.2">
      <c r="E398" s="109"/>
      <c r="F398" s="109"/>
    </row>
    <row r="399" spans="5:6" x14ac:dyDescent="0.2">
      <c r="E399" s="109"/>
      <c r="F399" s="109"/>
    </row>
    <row r="400" spans="5:6" x14ac:dyDescent="0.2">
      <c r="E400" s="109"/>
      <c r="F400" s="109"/>
    </row>
    <row r="401" spans="5:6" x14ac:dyDescent="0.2">
      <c r="E401" s="109"/>
      <c r="F401" s="109"/>
    </row>
    <row r="402" spans="5:6" x14ac:dyDescent="0.2">
      <c r="E402" s="109"/>
      <c r="F402" s="109"/>
    </row>
    <row r="403" spans="5:6" x14ac:dyDescent="0.2">
      <c r="E403" s="109"/>
      <c r="F403" s="109"/>
    </row>
    <row r="404" spans="5:6" x14ac:dyDescent="0.2">
      <c r="E404" s="109"/>
      <c r="F404" s="109"/>
    </row>
    <row r="405" spans="5:6" x14ac:dyDescent="0.2">
      <c r="E405" s="109"/>
      <c r="F405" s="109"/>
    </row>
    <row r="406" spans="5:6" x14ac:dyDescent="0.2">
      <c r="E406" s="109"/>
      <c r="F406" s="109"/>
    </row>
    <row r="407" spans="5:6" x14ac:dyDescent="0.2">
      <c r="E407" s="109"/>
      <c r="F407" s="109"/>
    </row>
    <row r="408" spans="5:6" x14ac:dyDescent="0.2">
      <c r="E408" s="109"/>
      <c r="F408" s="109"/>
    </row>
    <row r="409" spans="5:6" x14ac:dyDescent="0.2">
      <c r="E409" s="109"/>
      <c r="F409" s="109"/>
    </row>
    <row r="410" spans="5:6" x14ac:dyDescent="0.2">
      <c r="E410" s="109"/>
      <c r="F410" s="109"/>
    </row>
    <row r="411" spans="5:6" x14ac:dyDescent="0.2">
      <c r="E411" s="109"/>
      <c r="F411" s="109"/>
    </row>
    <row r="412" spans="5:6" x14ac:dyDescent="0.2">
      <c r="E412" s="109"/>
      <c r="F412" s="109"/>
    </row>
    <row r="413" spans="5:6" x14ac:dyDescent="0.2">
      <c r="E413" s="109"/>
      <c r="F413" s="109"/>
    </row>
    <row r="414" spans="5:6" x14ac:dyDescent="0.2">
      <c r="E414" s="109"/>
      <c r="F414" s="109"/>
    </row>
    <row r="415" spans="5:6" x14ac:dyDescent="0.2">
      <c r="E415" s="109"/>
      <c r="F415" s="109"/>
    </row>
    <row r="416" spans="5:6" x14ac:dyDescent="0.2">
      <c r="E416" s="109"/>
      <c r="F416" s="109"/>
    </row>
    <row r="417" spans="5:6" x14ac:dyDescent="0.2">
      <c r="E417" s="109"/>
      <c r="F417" s="109"/>
    </row>
    <row r="418" spans="5:6" x14ac:dyDescent="0.2">
      <c r="E418" s="109"/>
      <c r="F418" s="109"/>
    </row>
    <row r="419" spans="5:6" x14ac:dyDescent="0.2">
      <c r="E419" s="109"/>
      <c r="F419" s="109"/>
    </row>
    <row r="420" spans="5:6" x14ac:dyDescent="0.2">
      <c r="E420" s="109"/>
      <c r="F420" s="109"/>
    </row>
    <row r="421" spans="5:6" x14ac:dyDescent="0.2">
      <c r="E421" s="109"/>
      <c r="F421" s="109"/>
    </row>
    <row r="422" spans="5:6" x14ac:dyDescent="0.2">
      <c r="E422" s="109"/>
      <c r="F422" s="109"/>
    </row>
    <row r="423" spans="5:6" x14ac:dyDescent="0.2">
      <c r="E423" s="109"/>
      <c r="F423" s="109"/>
    </row>
    <row r="424" spans="5:6" x14ac:dyDescent="0.2">
      <c r="E424" s="109"/>
      <c r="F424" s="109"/>
    </row>
    <row r="425" spans="5:6" x14ac:dyDescent="0.2">
      <c r="E425" s="109"/>
      <c r="F425" s="109"/>
    </row>
    <row r="426" spans="5:6" x14ac:dyDescent="0.2">
      <c r="E426" s="109"/>
      <c r="F426" s="109"/>
    </row>
    <row r="427" spans="5:6" x14ac:dyDescent="0.2">
      <c r="E427" s="109"/>
      <c r="F427" s="109"/>
    </row>
    <row r="428" spans="5:6" x14ac:dyDescent="0.2">
      <c r="E428" s="109"/>
      <c r="F428" s="109"/>
    </row>
    <row r="429" spans="5:6" x14ac:dyDescent="0.2">
      <c r="E429" s="109"/>
      <c r="F429" s="109"/>
    </row>
    <row r="430" spans="5:6" x14ac:dyDescent="0.2">
      <c r="E430" s="109"/>
      <c r="F430" s="109"/>
    </row>
    <row r="431" spans="5:6" x14ac:dyDescent="0.2">
      <c r="E431" s="109"/>
      <c r="F431" s="109"/>
    </row>
    <row r="432" spans="5:6" x14ac:dyDescent="0.2">
      <c r="E432" s="109"/>
      <c r="F432" s="109"/>
    </row>
    <row r="433" spans="5:6" x14ac:dyDescent="0.2">
      <c r="E433" s="109"/>
      <c r="F433" s="109"/>
    </row>
    <row r="434" spans="5:6" x14ac:dyDescent="0.2">
      <c r="E434" s="109"/>
      <c r="F434" s="109"/>
    </row>
    <row r="435" spans="5:6" x14ac:dyDescent="0.2">
      <c r="E435" s="109"/>
      <c r="F435" s="109"/>
    </row>
    <row r="436" spans="5:6" x14ac:dyDescent="0.2">
      <c r="E436" s="109"/>
      <c r="F436" s="109"/>
    </row>
    <row r="437" spans="5:6" x14ac:dyDescent="0.2">
      <c r="E437" s="109"/>
      <c r="F437" s="109"/>
    </row>
    <row r="438" spans="5:6" x14ac:dyDescent="0.2">
      <c r="E438" s="109"/>
      <c r="F438" s="109"/>
    </row>
    <row r="439" spans="5:6" x14ac:dyDescent="0.2">
      <c r="E439" s="109"/>
      <c r="F439" s="109"/>
    </row>
    <row r="440" spans="5:6" x14ac:dyDescent="0.2">
      <c r="E440" s="109"/>
      <c r="F440" s="109"/>
    </row>
    <row r="441" spans="5:6" x14ac:dyDescent="0.2">
      <c r="E441" s="109"/>
      <c r="F441" s="109"/>
    </row>
    <row r="442" spans="5:6" x14ac:dyDescent="0.2">
      <c r="E442" s="109"/>
      <c r="F442" s="109"/>
    </row>
    <row r="443" spans="5:6" x14ac:dyDescent="0.2">
      <c r="E443" s="109"/>
      <c r="F443" s="109"/>
    </row>
    <row r="444" spans="5:6" x14ac:dyDescent="0.2">
      <c r="E444" s="109"/>
      <c r="F444" s="109"/>
    </row>
    <row r="445" spans="5:6" x14ac:dyDescent="0.2">
      <c r="E445" s="109"/>
      <c r="F445" s="109"/>
    </row>
    <row r="446" spans="5:6" x14ac:dyDescent="0.2">
      <c r="E446" s="109"/>
      <c r="F446" s="109"/>
    </row>
    <row r="447" spans="5:6" x14ac:dyDescent="0.2">
      <c r="E447" s="109"/>
      <c r="F447" s="109"/>
    </row>
    <row r="448" spans="5:6" x14ac:dyDescent="0.2">
      <c r="E448" s="109"/>
      <c r="F448" s="109"/>
    </row>
    <row r="449" spans="5:6" x14ac:dyDescent="0.2">
      <c r="E449" s="109"/>
      <c r="F449" s="109"/>
    </row>
    <row r="450" spans="5:6" x14ac:dyDescent="0.2">
      <c r="E450" s="109"/>
      <c r="F450" s="109"/>
    </row>
    <row r="451" spans="5:6" x14ac:dyDescent="0.2">
      <c r="E451" s="109"/>
      <c r="F451" s="109"/>
    </row>
    <row r="452" spans="5:6" x14ac:dyDescent="0.2">
      <c r="E452" s="109"/>
      <c r="F452" s="109"/>
    </row>
    <row r="453" spans="5:6" x14ac:dyDescent="0.2">
      <c r="E453" s="109"/>
      <c r="F453" s="109"/>
    </row>
    <row r="454" spans="5:6" x14ac:dyDescent="0.2">
      <c r="E454" s="109"/>
      <c r="F454" s="109"/>
    </row>
    <row r="455" spans="5:6" x14ac:dyDescent="0.2">
      <c r="E455" s="109"/>
      <c r="F455" s="109"/>
    </row>
    <row r="456" spans="5:6" x14ac:dyDescent="0.2">
      <c r="E456" s="109"/>
      <c r="F456" s="109"/>
    </row>
    <row r="457" spans="5:6" x14ac:dyDescent="0.2">
      <c r="E457" s="109"/>
      <c r="F457" s="109"/>
    </row>
    <row r="458" spans="5:6" x14ac:dyDescent="0.2">
      <c r="E458" s="109"/>
      <c r="F458" s="109"/>
    </row>
    <row r="459" spans="5:6" x14ac:dyDescent="0.2">
      <c r="E459" s="109"/>
      <c r="F459" s="109"/>
    </row>
    <row r="460" spans="5:6" x14ac:dyDescent="0.2">
      <c r="E460" s="109"/>
      <c r="F460" s="109"/>
    </row>
    <row r="461" spans="5:6" x14ac:dyDescent="0.2">
      <c r="E461" s="109"/>
      <c r="F461" s="109"/>
    </row>
    <row r="462" spans="5:6" x14ac:dyDescent="0.2">
      <c r="E462" s="109"/>
      <c r="F462" s="109"/>
    </row>
    <row r="463" spans="5:6" x14ac:dyDescent="0.2">
      <c r="E463" s="109"/>
      <c r="F463" s="109"/>
    </row>
    <row r="464" spans="5:6" x14ac:dyDescent="0.2">
      <c r="E464" s="109"/>
      <c r="F464" s="109"/>
    </row>
    <row r="465" spans="5:6" x14ac:dyDescent="0.2">
      <c r="E465" s="109"/>
      <c r="F465" s="109"/>
    </row>
    <row r="466" spans="5:6" x14ac:dyDescent="0.2">
      <c r="E466" s="109"/>
      <c r="F466" s="109"/>
    </row>
    <row r="467" spans="5:6" x14ac:dyDescent="0.2">
      <c r="E467" s="109"/>
      <c r="F467" s="109"/>
    </row>
    <row r="468" spans="5:6" x14ac:dyDescent="0.2">
      <c r="E468" s="109"/>
      <c r="F468" s="109"/>
    </row>
    <row r="469" spans="5:6" x14ac:dyDescent="0.2">
      <c r="E469" s="109"/>
      <c r="F469" s="109"/>
    </row>
    <row r="470" spans="5:6" x14ac:dyDescent="0.2">
      <c r="E470" s="109"/>
      <c r="F470" s="109"/>
    </row>
    <row r="471" spans="5:6" x14ac:dyDescent="0.2">
      <c r="E471" s="109"/>
      <c r="F471" s="109"/>
    </row>
    <row r="472" spans="5:6" x14ac:dyDescent="0.2">
      <c r="E472" s="109"/>
      <c r="F472" s="109"/>
    </row>
    <row r="473" spans="5:6" x14ac:dyDescent="0.2">
      <c r="E473" s="109"/>
      <c r="F473" s="109"/>
    </row>
    <row r="474" spans="5:6" x14ac:dyDescent="0.2">
      <c r="E474" s="109"/>
      <c r="F474" s="109"/>
    </row>
    <row r="475" spans="5:6" x14ac:dyDescent="0.2">
      <c r="E475" s="109"/>
      <c r="F475" s="109"/>
    </row>
    <row r="476" spans="5:6" x14ac:dyDescent="0.2">
      <c r="E476" s="109"/>
      <c r="F476" s="109"/>
    </row>
    <row r="477" spans="5:6" x14ac:dyDescent="0.2">
      <c r="E477" s="109"/>
      <c r="F477" s="109"/>
    </row>
    <row r="478" spans="5:6" x14ac:dyDescent="0.2">
      <c r="E478" s="109"/>
      <c r="F478" s="109"/>
    </row>
    <row r="479" spans="5:6" x14ac:dyDescent="0.2">
      <c r="E479" s="109"/>
      <c r="F479" s="109"/>
    </row>
    <row r="480" spans="5:6" x14ac:dyDescent="0.2">
      <c r="E480" s="109"/>
      <c r="F480" s="109"/>
    </row>
    <row r="481" spans="5:6" x14ac:dyDescent="0.2">
      <c r="E481" s="109"/>
      <c r="F481" s="109"/>
    </row>
    <row r="482" spans="5:6" x14ac:dyDescent="0.2">
      <c r="E482" s="109"/>
      <c r="F482" s="109"/>
    </row>
    <row r="483" spans="5:6" x14ac:dyDescent="0.2">
      <c r="E483" s="109"/>
      <c r="F483" s="109"/>
    </row>
    <row r="484" spans="5:6" x14ac:dyDescent="0.2">
      <c r="E484" s="109"/>
      <c r="F484" s="109"/>
    </row>
    <row r="485" spans="5:6" x14ac:dyDescent="0.2">
      <c r="E485" s="109"/>
      <c r="F485" s="109"/>
    </row>
    <row r="486" spans="5:6" x14ac:dyDescent="0.2">
      <c r="E486" s="109"/>
      <c r="F486" s="109"/>
    </row>
    <row r="487" spans="5:6" x14ac:dyDescent="0.2">
      <c r="E487" s="109"/>
      <c r="F487" s="109"/>
    </row>
    <row r="488" spans="5:6" x14ac:dyDescent="0.2">
      <c r="E488" s="109"/>
      <c r="F488" s="109"/>
    </row>
    <row r="489" spans="5:6" x14ac:dyDescent="0.2">
      <c r="E489" s="109"/>
      <c r="F489" s="109"/>
    </row>
    <row r="490" spans="5:6" x14ac:dyDescent="0.2">
      <c r="E490" s="109"/>
      <c r="F490" s="109"/>
    </row>
    <row r="491" spans="5:6" x14ac:dyDescent="0.2">
      <c r="E491" s="109"/>
      <c r="F491" s="109"/>
    </row>
    <row r="492" spans="5:6" x14ac:dyDescent="0.2">
      <c r="E492" s="109"/>
      <c r="F492" s="109"/>
    </row>
    <row r="493" spans="5:6" x14ac:dyDescent="0.2">
      <c r="E493" s="109"/>
      <c r="F493" s="109"/>
    </row>
    <row r="494" spans="5:6" x14ac:dyDescent="0.2">
      <c r="E494" s="109"/>
      <c r="F494" s="109"/>
    </row>
    <row r="495" spans="5:6" x14ac:dyDescent="0.2">
      <c r="E495" s="109"/>
      <c r="F495" s="109"/>
    </row>
    <row r="496" spans="5:6" x14ac:dyDescent="0.2">
      <c r="E496" s="109"/>
      <c r="F496" s="109"/>
    </row>
    <row r="497" spans="5:6" x14ac:dyDescent="0.2">
      <c r="E497" s="109"/>
      <c r="F497" s="109"/>
    </row>
    <row r="498" spans="5:6" x14ac:dyDescent="0.2">
      <c r="E498" s="109"/>
      <c r="F498" s="109"/>
    </row>
    <row r="499" spans="5:6" x14ac:dyDescent="0.2">
      <c r="E499" s="109"/>
      <c r="F499" s="109"/>
    </row>
    <row r="500" spans="5:6" x14ac:dyDescent="0.2">
      <c r="E500" s="109"/>
      <c r="F500" s="109"/>
    </row>
    <row r="501" spans="5:6" x14ac:dyDescent="0.2">
      <c r="E501" s="109"/>
      <c r="F501" s="109"/>
    </row>
    <row r="502" spans="5:6" x14ac:dyDescent="0.2">
      <c r="E502" s="109"/>
      <c r="F502" s="109"/>
    </row>
    <row r="503" spans="5:6" x14ac:dyDescent="0.2">
      <c r="E503" s="109"/>
      <c r="F503" s="109"/>
    </row>
    <row r="504" spans="5:6" x14ac:dyDescent="0.2">
      <c r="E504" s="109"/>
      <c r="F504" s="109"/>
    </row>
    <row r="505" spans="5:6" x14ac:dyDescent="0.2">
      <c r="E505" s="109"/>
      <c r="F505" s="109"/>
    </row>
    <row r="506" spans="5:6" x14ac:dyDescent="0.2">
      <c r="E506" s="109"/>
      <c r="F506" s="109"/>
    </row>
    <row r="507" spans="5:6" x14ac:dyDescent="0.2">
      <c r="E507" s="109"/>
      <c r="F507" s="109"/>
    </row>
    <row r="508" spans="5:6" x14ac:dyDescent="0.2">
      <c r="E508" s="109"/>
      <c r="F508" s="109"/>
    </row>
    <row r="509" spans="5:6" x14ac:dyDescent="0.2">
      <c r="E509" s="109"/>
      <c r="F509" s="109"/>
    </row>
    <row r="510" spans="5:6" x14ac:dyDescent="0.2">
      <c r="E510" s="109"/>
      <c r="F510" s="109"/>
    </row>
    <row r="511" spans="5:6" x14ac:dyDescent="0.2">
      <c r="E511" s="109"/>
      <c r="F511" s="109"/>
    </row>
    <row r="512" spans="5:6" x14ac:dyDescent="0.2">
      <c r="E512" s="109"/>
      <c r="F512" s="109"/>
    </row>
    <row r="513" spans="5:6" x14ac:dyDescent="0.2">
      <c r="E513" s="109"/>
      <c r="F513" s="109"/>
    </row>
    <row r="514" spans="5:6" x14ac:dyDescent="0.2">
      <c r="E514" s="109"/>
      <c r="F514" s="109"/>
    </row>
    <row r="515" spans="5:6" x14ac:dyDescent="0.2">
      <c r="E515" s="109"/>
      <c r="F515" s="109"/>
    </row>
    <row r="516" spans="5:6" x14ac:dyDescent="0.2">
      <c r="E516" s="109"/>
      <c r="F516" s="109"/>
    </row>
    <row r="517" spans="5:6" x14ac:dyDescent="0.2">
      <c r="E517" s="109"/>
      <c r="F517" s="109"/>
    </row>
    <row r="518" spans="5:6" x14ac:dyDescent="0.2">
      <c r="E518" s="109"/>
      <c r="F518" s="109"/>
    </row>
    <row r="519" spans="5:6" x14ac:dyDescent="0.2">
      <c r="E519" s="109"/>
      <c r="F519" s="109"/>
    </row>
    <row r="520" spans="5:6" x14ac:dyDescent="0.2">
      <c r="E520" s="109"/>
      <c r="F520" s="109"/>
    </row>
    <row r="521" spans="5:6" x14ac:dyDescent="0.2">
      <c r="E521" s="109"/>
      <c r="F521" s="109"/>
    </row>
    <row r="522" spans="5:6" x14ac:dyDescent="0.2">
      <c r="E522" s="109"/>
      <c r="F522" s="109"/>
    </row>
    <row r="523" spans="5:6" x14ac:dyDescent="0.2">
      <c r="E523" s="109"/>
      <c r="F523" s="109"/>
    </row>
    <row r="524" spans="5:6" x14ac:dyDescent="0.2">
      <c r="E524" s="109"/>
      <c r="F524" s="109"/>
    </row>
    <row r="525" spans="5:6" x14ac:dyDescent="0.2">
      <c r="E525" s="109"/>
      <c r="F525" s="109"/>
    </row>
    <row r="526" spans="5:6" x14ac:dyDescent="0.2">
      <c r="E526" s="109"/>
      <c r="F526" s="109"/>
    </row>
    <row r="527" spans="5:6" x14ac:dyDescent="0.2">
      <c r="E527" s="109"/>
      <c r="F527" s="109"/>
    </row>
    <row r="528" spans="5:6" x14ac:dyDescent="0.2">
      <c r="E528" s="109"/>
      <c r="F528" s="109"/>
    </row>
    <row r="529" spans="5:6" x14ac:dyDescent="0.2">
      <c r="E529" s="109"/>
      <c r="F529" s="109"/>
    </row>
    <row r="530" spans="5:6" x14ac:dyDescent="0.2">
      <c r="E530" s="109"/>
      <c r="F530" s="109"/>
    </row>
    <row r="531" spans="5:6" x14ac:dyDescent="0.2">
      <c r="E531" s="109"/>
      <c r="F531" s="109"/>
    </row>
    <row r="532" spans="5:6" x14ac:dyDescent="0.2">
      <c r="E532" s="109"/>
      <c r="F532" s="109"/>
    </row>
    <row r="533" spans="5:6" x14ac:dyDescent="0.2">
      <c r="E533" s="109"/>
      <c r="F533" s="109"/>
    </row>
    <row r="534" spans="5:6" x14ac:dyDescent="0.2">
      <c r="E534" s="109"/>
      <c r="F534" s="109"/>
    </row>
    <row r="535" spans="5:6" x14ac:dyDescent="0.2">
      <c r="E535" s="109"/>
      <c r="F535" s="109"/>
    </row>
    <row r="536" spans="5:6" x14ac:dyDescent="0.2">
      <c r="E536" s="109"/>
      <c r="F536" s="109"/>
    </row>
    <row r="537" spans="5:6" x14ac:dyDescent="0.2">
      <c r="E537" s="109"/>
      <c r="F537" s="109"/>
    </row>
    <row r="538" spans="5:6" x14ac:dyDescent="0.2">
      <c r="E538" s="109"/>
      <c r="F538" s="109"/>
    </row>
    <row r="539" spans="5:6" x14ac:dyDescent="0.2">
      <c r="E539" s="109"/>
      <c r="F539" s="109"/>
    </row>
    <row r="540" spans="5:6" x14ac:dyDescent="0.2">
      <c r="E540" s="109"/>
      <c r="F540" s="109"/>
    </row>
    <row r="541" spans="5:6" x14ac:dyDescent="0.2">
      <c r="E541" s="109"/>
      <c r="F541" s="109"/>
    </row>
    <row r="542" spans="5:6" x14ac:dyDescent="0.2">
      <c r="E542" s="109"/>
      <c r="F542" s="109"/>
    </row>
    <row r="543" spans="5:6" x14ac:dyDescent="0.2">
      <c r="E543" s="109"/>
      <c r="F543" s="109"/>
    </row>
    <row r="544" spans="5:6" x14ac:dyDescent="0.2">
      <c r="E544" s="109"/>
      <c r="F544" s="109"/>
    </row>
    <row r="545" spans="5:6" x14ac:dyDescent="0.2">
      <c r="E545" s="109"/>
      <c r="F545" s="109"/>
    </row>
    <row r="546" spans="5:6" x14ac:dyDescent="0.2">
      <c r="E546" s="109"/>
      <c r="F546" s="109"/>
    </row>
    <row r="547" spans="5:6" x14ac:dyDescent="0.2">
      <c r="E547" s="109"/>
      <c r="F547" s="109"/>
    </row>
    <row r="548" spans="5:6" x14ac:dyDescent="0.2">
      <c r="E548" s="109"/>
      <c r="F548" s="109"/>
    </row>
    <row r="549" spans="5:6" x14ac:dyDescent="0.2">
      <c r="E549" s="109"/>
      <c r="F549" s="109"/>
    </row>
    <row r="550" spans="5:6" x14ac:dyDescent="0.2">
      <c r="E550" s="109"/>
      <c r="F550" s="109"/>
    </row>
    <row r="551" spans="5:6" x14ac:dyDescent="0.2">
      <c r="E551" s="109"/>
      <c r="F551" s="109"/>
    </row>
    <row r="552" spans="5:6" x14ac:dyDescent="0.2">
      <c r="E552" s="109"/>
      <c r="F552" s="109"/>
    </row>
    <row r="553" spans="5:6" x14ac:dyDescent="0.2">
      <c r="E553" s="109"/>
      <c r="F553" s="109"/>
    </row>
    <row r="554" spans="5:6" x14ac:dyDescent="0.2">
      <c r="E554" s="109"/>
      <c r="F554" s="109"/>
    </row>
    <row r="555" spans="5:6" x14ac:dyDescent="0.2">
      <c r="E555" s="109"/>
      <c r="F555" s="109"/>
    </row>
    <row r="556" spans="5:6" x14ac:dyDescent="0.2">
      <c r="E556" s="109"/>
      <c r="F556" s="109"/>
    </row>
    <row r="557" spans="5:6" x14ac:dyDescent="0.2">
      <c r="E557" s="109"/>
      <c r="F557" s="109"/>
    </row>
    <row r="558" spans="5:6" x14ac:dyDescent="0.2">
      <c r="E558" s="109"/>
      <c r="F558" s="109"/>
    </row>
    <row r="559" spans="5:6" x14ac:dyDescent="0.2">
      <c r="E559" s="109"/>
      <c r="F559" s="109"/>
    </row>
    <row r="560" spans="5:6" x14ac:dyDescent="0.2">
      <c r="E560" s="109"/>
      <c r="F560" s="109"/>
    </row>
    <row r="561" spans="5:6" x14ac:dyDescent="0.2">
      <c r="E561" s="109"/>
      <c r="F561" s="109"/>
    </row>
    <row r="562" spans="5:6" x14ac:dyDescent="0.2">
      <c r="E562" s="109"/>
      <c r="F562" s="109"/>
    </row>
    <row r="563" spans="5:6" x14ac:dyDescent="0.2">
      <c r="E563" s="109"/>
      <c r="F563" s="109"/>
    </row>
    <row r="564" spans="5:6" x14ac:dyDescent="0.2">
      <c r="E564" s="109"/>
      <c r="F564" s="109"/>
    </row>
    <row r="565" spans="5:6" x14ac:dyDescent="0.2">
      <c r="E565" s="109"/>
      <c r="F565" s="109"/>
    </row>
    <row r="566" spans="5:6" x14ac:dyDescent="0.2">
      <c r="E566" s="109"/>
      <c r="F566" s="109"/>
    </row>
    <row r="567" spans="5:6" x14ac:dyDescent="0.2">
      <c r="E567" s="109"/>
      <c r="F567" s="109"/>
    </row>
    <row r="568" spans="5:6" x14ac:dyDescent="0.2">
      <c r="E568" s="109"/>
      <c r="F568" s="109"/>
    </row>
    <row r="569" spans="5:6" x14ac:dyDescent="0.2">
      <c r="E569" s="109"/>
      <c r="F569" s="109"/>
    </row>
    <row r="570" spans="5:6" x14ac:dyDescent="0.2">
      <c r="E570" s="109"/>
      <c r="F570" s="109"/>
    </row>
    <row r="571" spans="5:6" x14ac:dyDescent="0.2">
      <c r="E571" s="109"/>
      <c r="F571" s="109"/>
    </row>
    <row r="572" spans="5:6" x14ac:dyDescent="0.2">
      <c r="E572" s="109"/>
      <c r="F572" s="109"/>
    </row>
    <row r="573" spans="5:6" x14ac:dyDescent="0.2">
      <c r="E573" s="109"/>
      <c r="F573" s="109"/>
    </row>
    <row r="574" spans="5:6" x14ac:dyDescent="0.2">
      <c r="E574" s="109"/>
      <c r="F574" s="109"/>
    </row>
    <row r="575" spans="5:6" x14ac:dyDescent="0.2">
      <c r="E575" s="109"/>
      <c r="F575" s="109"/>
    </row>
    <row r="576" spans="5:6" x14ac:dyDescent="0.2">
      <c r="E576" s="109"/>
      <c r="F576" s="109"/>
    </row>
    <row r="577" spans="5:6" x14ac:dyDescent="0.2">
      <c r="E577" s="109"/>
      <c r="F577" s="109"/>
    </row>
    <row r="578" spans="5:6" x14ac:dyDescent="0.2">
      <c r="E578" s="109"/>
      <c r="F578" s="109"/>
    </row>
    <row r="579" spans="5:6" x14ac:dyDescent="0.2">
      <c r="E579" s="109"/>
      <c r="F579" s="109"/>
    </row>
    <row r="580" spans="5:6" x14ac:dyDescent="0.2">
      <c r="E580" s="109"/>
      <c r="F580" s="109"/>
    </row>
    <row r="581" spans="5:6" x14ac:dyDescent="0.2">
      <c r="E581" s="109"/>
      <c r="F581" s="109"/>
    </row>
    <row r="582" spans="5:6" x14ac:dyDescent="0.2">
      <c r="E582" s="109"/>
      <c r="F582" s="109"/>
    </row>
    <row r="583" spans="5:6" x14ac:dyDescent="0.2">
      <c r="E583" s="109"/>
      <c r="F583" s="109"/>
    </row>
    <row r="584" spans="5:6" x14ac:dyDescent="0.2">
      <c r="E584" s="109"/>
      <c r="F584" s="109"/>
    </row>
    <row r="585" spans="5:6" x14ac:dyDescent="0.2">
      <c r="E585" s="109"/>
      <c r="F585" s="109"/>
    </row>
    <row r="586" spans="5:6" x14ac:dyDescent="0.2">
      <c r="E586" s="109"/>
      <c r="F586" s="109"/>
    </row>
    <row r="587" spans="5:6" x14ac:dyDescent="0.2">
      <c r="E587" s="109"/>
      <c r="F587" s="109"/>
    </row>
    <row r="588" spans="5:6" x14ac:dyDescent="0.2">
      <c r="E588" s="109"/>
      <c r="F588" s="109"/>
    </row>
    <row r="589" spans="5:6" x14ac:dyDescent="0.2">
      <c r="E589" s="109"/>
      <c r="F589" s="109"/>
    </row>
    <row r="590" spans="5:6" x14ac:dyDescent="0.2">
      <c r="E590" s="109"/>
      <c r="F590" s="109"/>
    </row>
    <row r="591" spans="5:6" x14ac:dyDescent="0.2">
      <c r="E591" s="109"/>
      <c r="F591" s="109"/>
    </row>
    <row r="592" spans="5:6" x14ac:dyDescent="0.2">
      <c r="E592" s="109"/>
      <c r="F592" s="109"/>
    </row>
    <row r="593" spans="5:6" x14ac:dyDescent="0.2">
      <c r="E593" s="109"/>
      <c r="F593" s="109"/>
    </row>
    <row r="594" spans="5:6" x14ac:dyDescent="0.2">
      <c r="E594" s="109"/>
      <c r="F594" s="109"/>
    </row>
    <row r="595" spans="5:6" x14ac:dyDescent="0.2">
      <c r="E595" s="109"/>
      <c r="F595" s="109"/>
    </row>
    <row r="596" spans="5:6" x14ac:dyDescent="0.2">
      <c r="E596" s="109"/>
      <c r="F596" s="109"/>
    </row>
    <row r="597" spans="5:6" x14ac:dyDescent="0.2">
      <c r="E597" s="109"/>
      <c r="F597" s="109"/>
    </row>
    <row r="598" spans="5:6" x14ac:dyDescent="0.2">
      <c r="E598" s="109"/>
      <c r="F598" s="109"/>
    </row>
    <row r="599" spans="5:6" x14ac:dyDescent="0.2">
      <c r="E599" s="109"/>
      <c r="F599" s="109"/>
    </row>
    <row r="600" spans="5:6" x14ac:dyDescent="0.2">
      <c r="E600" s="109"/>
      <c r="F600" s="109"/>
    </row>
    <row r="601" spans="5:6" x14ac:dyDescent="0.2">
      <c r="E601" s="109"/>
      <c r="F601" s="109"/>
    </row>
    <row r="602" spans="5:6" x14ac:dyDescent="0.2">
      <c r="E602" s="109"/>
      <c r="F602" s="109"/>
    </row>
    <row r="603" spans="5:6" x14ac:dyDescent="0.2">
      <c r="E603" s="109"/>
      <c r="F603" s="109"/>
    </row>
    <row r="604" spans="5:6" x14ac:dyDescent="0.2">
      <c r="E604" s="109"/>
      <c r="F604" s="109"/>
    </row>
    <row r="605" spans="5:6" x14ac:dyDescent="0.2">
      <c r="E605" s="109"/>
      <c r="F605" s="109"/>
    </row>
    <row r="606" spans="5:6" x14ac:dyDescent="0.2">
      <c r="E606" s="109"/>
      <c r="F606" s="109"/>
    </row>
    <row r="607" spans="5:6" x14ac:dyDescent="0.2">
      <c r="E607" s="109"/>
      <c r="F607" s="109"/>
    </row>
    <row r="608" spans="5:6" x14ac:dyDescent="0.2">
      <c r="E608" s="109"/>
      <c r="F608" s="109"/>
    </row>
    <row r="609" spans="5:6" x14ac:dyDescent="0.2">
      <c r="E609" s="109"/>
      <c r="F609" s="109"/>
    </row>
    <row r="610" spans="5:6" x14ac:dyDescent="0.2">
      <c r="E610" s="109"/>
      <c r="F610" s="109"/>
    </row>
    <row r="611" spans="5:6" x14ac:dyDescent="0.2">
      <c r="E611" s="109"/>
      <c r="F611" s="109"/>
    </row>
    <row r="612" spans="5:6" x14ac:dyDescent="0.2">
      <c r="E612" s="109"/>
      <c r="F612" s="109"/>
    </row>
    <row r="613" spans="5:6" x14ac:dyDescent="0.2">
      <c r="E613" s="109"/>
      <c r="F613" s="109"/>
    </row>
    <row r="614" spans="5:6" x14ac:dyDescent="0.2">
      <c r="E614" s="109"/>
      <c r="F614" s="109"/>
    </row>
    <row r="615" spans="5:6" x14ac:dyDescent="0.2">
      <c r="E615" s="109"/>
      <c r="F615" s="109"/>
    </row>
    <row r="616" spans="5:6" x14ac:dyDescent="0.2">
      <c r="E616" s="109"/>
      <c r="F616" s="109"/>
    </row>
    <row r="617" spans="5:6" x14ac:dyDescent="0.2">
      <c r="E617" s="109"/>
      <c r="F617" s="109"/>
    </row>
    <row r="618" spans="5:6" x14ac:dyDescent="0.2">
      <c r="E618" s="109"/>
      <c r="F618" s="109"/>
    </row>
    <row r="619" spans="5:6" x14ac:dyDescent="0.2">
      <c r="E619" s="109"/>
      <c r="F619" s="109"/>
    </row>
    <row r="620" spans="5:6" x14ac:dyDescent="0.2">
      <c r="E620" s="109"/>
      <c r="F620" s="109"/>
    </row>
    <row r="621" spans="5:6" x14ac:dyDescent="0.2">
      <c r="E621" s="109"/>
      <c r="F621" s="109"/>
    </row>
    <row r="622" spans="5:6" x14ac:dyDescent="0.2">
      <c r="E622" s="109"/>
      <c r="F622" s="109"/>
    </row>
    <row r="623" spans="5:6" x14ac:dyDescent="0.2">
      <c r="E623" s="109"/>
      <c r="F623" s="109"/>
    </row>
    <row r="624" spans="5:6" x14ac:dyDescent="0.2">
      <c r="E624" s="109"/>
      <c r="F624" s="109"/>
    </row>
    <row r="625" spans="5:6" x14ac:dyDescent="0.2">
      <c r="E625" s="109"/>
      <c r="F625" s="109"/>
    </row>
    <row r="626" spans="5:6" x14ac:dyDescent="0.2">
      <c r="E626" s="109"/>
      <c r="F626" s="109"/>
    </row>
    <row r="627" spans="5:6" x14ac:dyDescent="0.2">
      <c r="E627" s="109"/>
      <c r="F627" s="109"/>
    </row>
    <row r="628" spans="5:6" x14ac:dyDescent="0.2">
      <c r="E628" s="109"/>
      <c r="F628" s="109"/>
    </row>
    <row r="629" spans="5:6" x14ac:dyDescent="0.2">
      <c r="E629" s="109"/>
      <c r="F629" s="109"/>
    </row>
    <row r="630" spans="5:6" x14ac:dyDescent="0.2">
      <c r="E630" s="109"/>
      <c r="F630" s="109"/>
    </row>
    <row r="631" spans="5:6" x14ac:dyDescent="0.2">
      <c r="E631" s="109"/>
      <c r="F631" s="109"/>
    </row>
    <row r="632" spans="5:6" x14ac:dyDescent="0.2">
      <c r="E632" s="109"/>
      <c r="F632" s="109"/>
    </row>
    <row r="633" spans="5:6" x14ac:dyDescent="0.2">
      <c r="E633" s="109"/>
      <c r="F633" s="109"/>
    </row>
    <row r="634" spans="5:6" x14ac:dyDescent="0.2">
      <c r="E634" s="109"/>
      <c r="F634" s="109"/>
    </row>
    <row r="635" spans="5:6" x14ac:dyDescent="0.2">
      <c r="E635" s="109"/>
      <c r="F635" s="109"/>
    </row>
    <row r="636" spans="5:6" x14ac:dyDescent="0.2">
      <c r="E636" s="109"/>
      <c r="F636" s="109"/>
    </row>
    <row r="637" spans="5:6" x14ac:dyDescent="0.2">
      <c r="E637" s="109"/>
      <c r="F637" s="109"/>
    </row>
    <row r="638" spans="5:6" x14ac:dyDescent="0.2">
      <c r="E638" s="109"/>
      <c r="F638" s="109"/>
    </row>
    <row r="639" spans="5:6" x14ac:dyDescent="0.2">
      <c r="E639" s="109"/>
      <c r="F639" s="109"/>
    </row>
    <row r="640" spans="5:6" x14ac:dyDescent="0.2">
      <c r="E640" s="109"/>
      <c r="F640" s="109"/>
    </row>
    <row r="641" spans="5:6" x14ac:dyDescent="0.2">
      <c r="E641" s="109"/>
      <c r="F641" s="109"/>
    </row>
    <row r="642" spans="5:6" x14ac:dyDescent="0.2">
      <c r="E642" s="109"/>
      <c r="F642" s="109"/>
    </row>
    <row r="643" spans="5:6" x14ac:dyDescent="0.2">
      <c r="E643" s="109"/>
      <c r="F643" s="109"/>
    </row>
    <row r="644" spans="5:6" x14ac:dyDescent="0.2">
      <c r="E644" s="109"/>
      <c r="F644" s="109"/>
    </row>
    <row r="645" spans="5:6" x14ac:dyDescent="0.2">
      <c r="E645" s="109"/>
      <c r="F645" s="109"/>
    </row>
    <row r="646" spans="5:6" x14ac:dyDescent="0.2">
      <c r="E646" s="109"/>
      <c r="F646" s="109"/>
    </row>
    <row r="647" spans="5:6" x14ac:dyDescent="0.2">
      <c r="E647" s="109"/>
      <c r="F647" s="109"/>
    </row>
    <row r="648" spans="5:6" x14ac:dyDescent="0.2">
      <c r="E648" s="109"/>
      <c r="F648" s="109"/>
    </row>
    <row r="649" spans="5:6" x14ac:dyDescent="0.2">
      <c r="E649" s="109"/>
      <c r="F649" s="109"/>
    </row>
    <row r="650" spans="5:6" x14ac:dyDescent="0.2">
      <c r="E650" s="109"/>
      <c r="F650" s="109"/>
    </row>
    <row r="651" spans="5:6" x14ac:dyDescent="0.2">
      <c r="E651" s="109"/>
      <c r="F651" s="109"/>
    </row>
    <row r="652" spans="5:6" x14ac:dyDescent="0.2">
      <c r="E652" s="109"/>
      <c r="F652" s="109"/>
    </row>
    <row r="653" spans="5:6" x14ac:dyDescent="0.2">
      <c r="E653" s="109"/>
      <c r="F653" s="109"/>
    </row>
    <row r="654" spans="5:6" x14ac:dyDescent="0.2">
      <c r="E654" s="109"/>
      <c r="F654" s="109"/>
    </row>
    <row r="655" spans="5:6" x14ac:dyDescent="0.2">
      <c r="E655" s="109"/>
      <c r="F655" s="109"/>
    </row>
    <row r="656" spans="5:6" x14ac:dyDescent="0.2">
      <c r="E656" s="109"/>
      <c r="F656" s="109"/>
    </row>
    <row r="657" spans="5:6" x14ac:dyDescent="0.2">
      <c r="E657" s="109"/>
      <c r="F657" s="109"/>
    </row>
    <row r="658" spans="5:6" x14ac:dyDescent="0.2">
      <c r="E658" s="109"/>
      <c r="F658" s="109"/>
    </row>
    <row r="659" spans="5:6" x14ac:dyDescent="0.2">
      <c r="E659" s="109"/>
      <c r="F659" s="109"/>
    </row>
    <row r="660" spans="5:6" x14ac:dyDescent="0.2">
      <c r="E660" s="109"/>
      <c r="F660" s="109"/>
    </row>
    <row r="661" spans="5:6" x14ac:dyDescent="0.2">
      <c r="E661" s="109"/>
      <c r="F661" s="109"/>
    </row>
    <row r="662" spans="5:6" x14ac:dyDescent="0.2">
      <c r="E662" s="109"/>
      <c r="F662" s="109"/>
    </row>
    <row r="663" spans="5:6" x14ac:dyDescent="0.2">
      <c r="E663" s="109"/>
      <c r="F663" s="109"/>
    </row>
    <row r="664" spans="5:6" x14ac:dyDescent="0.2">
      <c r="E664" s="109"/>
      <c r="F664" s="109"/>
    </row>
    <row r="665" spans="5:6" x14ac:dyDescent="0.2">
      <c r="E665" s="109"/>
      <c r="F665" s="109"/>
    </row>
    <row r="666" spans="5:6" x14ac:dyDescent="0.2">
      <c r="E666" s="109"/>
      <c r="F666" s="109"/>
    </row>
    <row r="667" spans="5:6" x14ac:dyDescent="0.2">
      <c r="E667" s="109"/>
      <c r="F667" s="109"/>
    </row>
    <row r="668" spans="5:6" x14ac:dyDescent="0.2">
      <c r="E668" s="109"/>
      <c r="F668" s="109"/>
    </row>
    <row r="669" spans="5:6" x14ac:dyDescent="0.2">
      <c r="E669" s="109"/>
      <c r="F669" s="109"/>
    </row>
    <row r="670" spans="5:6" x14ac:dyDescent="0.2">
      <c r="E670" s="109"/>
      <c r="F670" s="109"/>
    </row>
    <row r="671" spans="5:6" x14ac:dyDescent="0.2">
      <c r="E671" s="109"/>
      <c r="F671" s="109"/>
    </row>
    <row r="672" spans="5:6" x14ac:dyDescent="0.2">
      <c r="E672" s="109"/>
      <c r="F672" s="109"/>
    </row>
    <row r="673" spans="5:6" x14ac:dyDescent="0.2">
      <c r="E673" s="109"/>
      <c r="F673" s="109"/>
    </row>
    <row r="674" spans="5:6" x14ac:dyDescent="0.2">
      <c r="E674" s="109"/>
      <c r="F674" s="109"/>
    </row>
    <row r="675" spans="5:6" x14ac:dyDescent="0.2">
      <c r="E675" s="109"/>
      <c r="F675" s="109"/>
    </row>
    <row r="676" spans="5:6" x14ac:dyDescent="0.2">
      <c r="E676" s="109"/>
      <c r="F676" s="109"/>
    </row>
    <row r="677" spans="5:6" x14ac:dyDescent="0.2">
      <c r="E677" s="109"/>
      <c r="F677" s="109"/>
    </row>
    <row r="678" spans="5:6" x14ac:dyDescent="0.2">
      <c r="E678" s="109"/>
      <c r="F678" s="109"/>
    </row>
    <row r="679" spans="5:6" x14ac:dyDescent="0.2">
      <c r="E679" s="109"/>
      <c r="F679" s="109"/>
    </row>
    <row r="680" spans="5:6" x14ac:dyDescent="0.2">
      <c r="E680" s="109"/>
      <c r="F680" s="109"/>
    </row>
    <row r="681" spans="5:6" x14ac:dyDescent="0.2">
      <c r="E681" s="109"/>
      <c r="F681" s="109"/>
    </row>
    <row r="682" spans="5:6" x14ac:dyDescent="0.2">
      <c r="E682" s="109"/>
      <c r="F682" s="109"/>
    </row>
    <row r="683" spans="5:6" x14ac:dyDescent="0.2">
      <c r="E683" s="109"/>
      <c r="F683" s="109"/>
    </row>
    <row r="684" spans="5:6" x14ac:dyDescent="0.2">
      <c r="E684" s="109"/>
      <c r="F684" s="109"/>
    </row>
    <row r="685" spans="5:6" x14ac:dyDescent="0.2">
      <c r="E685" s="109"/>
      <c r="F685" s="109"/>
    </row>
    <row r="686" spans="5:6" x14ac:dyDescent="0.2">
      <c r="E686" s="109"/>
      <c r="F686" s="109"/>
    </row>
    <row r="687" spans="5:6" x14ac:dyDescent="0.2">
      <c r="E687" s="109"/>
      <c r="F687" s="109"/>
    </row>
    <row r="688" spans="5:6" x14ac:dyDescent="0.2">
      <c r="E688" s="109"/>
      <c r="F688" s="109"/>
    </row>
    <row r="689" spans="5:6" x14ac:dyDescent="0.2">
      <c r="E689" s="109"/>
      <c r="F689" s="109"/>
    </row>
    <row r="690" spans="5:6" x14ac:dyDescent="0.2">
      <c r="E690" s="109"/>
      <c r="F690" s="109"/>
    </row>
    <row r="691" spans="5:6" x14ac:dyDescent="0.2">
      <c r="E691" s="109"/>
      <c r="F691" s="109"/>
    </row>
    <row r="692" spans="5:6" x14ac:dyDescent="0.2">
      <c r="E692" s="109"/>
      <c r="F692" s="109"/>
    </row>
    <row r="693" spans="5:6" x14ac:dyDescent="0.2">
      <c r="E693" s="109"/>
      <c r="F693" s="109"/>
    </row>
    <row r="694" spans="5:6" x14ac:dyDescent="0.2">
      <c r="E694" s="109"/>
      <c r="F694" s="109"/>
    </row>
    <row r="695" spans="5:6" x14ac:dyDescent="0.2">
      <c r="E695" s="109"/>
      <c r="F695" s="109"/>
    </row>
    <row r="696" spans="5:6" x14ac:dyDescent="0.2">
      <c r="E696" s="109"/>
      <c r="F696" s="109"/>
    </row>
    <row r="697" spans="5:6" x14ac:dyDescent="0.2">
      <c r="E697" s="109"/>
      <c r="F697" s="109"/>
    </row>
    <row r="698" spans="5:6" x14ac:dyDescent="0.2">
      <c r="E698" s="109"/>
      <c r="F698" s="109"/>
    </row>
    <row r="699" spans="5:6" x14ac:dyDescent="0.2">
      <c r="E699" s="109"/>
      <c r="F699" s="109"/>
    </row>
    <row r="700" spans="5:6" x14ac:dyDescent="0.2">
      <c r="E700" s="109"/>
      <c r="F700" s="109"/>
    </row>
    <row r="701" spans="5:6" x14ac:dyDescent="0.2">
      <c r="E701" s="109"/>
      <c r="F701" s="109"/>
    </row>
    <row r="702" spans="5:6" x14ac:dyDescent="0.2">
      <c r="E702" s="109"/>
      <c r="F702" s="109"/>
    </row>
    <row r="703" spans="5:6" x14ac:dyDescent="0.2">
      <c r="E703" s="109"/>
      <c r="F703" s="109"/>
    </row>
    <row r="704" spans="5:6" x14ac:dyDescent="0.2">
      <c r="E704" s="109"/>
      <c r="F704" s="109"/>
    </row>
    <row r="705" spans="5:6" x14ac:dyDescent="0.2">
      <c r="E705" s="109"/>
      <c r="F705" s="109"/>
    </row>
    <row r="706" spans="5:6" x14ac:dyDescent="0.2">
      <c r="E706" s="109"/>
      <c r="F706" s="109"/>
    </row>
    <row r="707" spans="5:6" x14ac:dyDescent="0.2">
      <c r="E707" s="109"/>
      <c r="F707" s="109"/>
    </row>
    <row r="708" spans="5:6" x14ac:dyDescent="0.2">
      <c r="E708" s="109"/>
      <c r="F708" s="109"/>
    </row>
    <row r="709" spans="5:6" x14ac:dyDescent="0.2">
      <c r="E709" s="109"/>
      <c r="F709" s="109"/>
    </row>
    <row r="710" spans="5:6" x14ac:dyDescent="0.2">
      <c r="E710" s="109"/>
      <c r="F710" s="109"/>
    </row>
    <row r="711" spans="5:6" x14ac:dyDescent="0.2">
      <c r="E711" s="109"/>
      <c r="F711" s="109"/>
    </row>
  </sheetData>
  <sheetProtection formatCells="0" formatColumns="0" formatRows="0" insertColumns="0" insertRows="0" insertHyperlinks="0" deleteColumns="0" deleteRows="0" sort="0" autoFilter="0" pivotTables="0"/>
  <protectedRanges>
    <protectedRange sqref="F63" name="Range1_1_1"/>
  </protectedRanges>
  <autoFilter ref="A6:F63" xr:uid="{D64E93FD-B055-4990-91B9-950E8E36032F}"/>
  <pageMargins left="0.47244094488188981" right="0.47244094488188981" top="0.74803149606299213" bottom="0.74803149606299213" header="0.31496062992125984" footer="0.31496062992125984"/>
  <pageSetup paperSize="9" scale="97" fitToHeight="0" orientation="landscape" r:id="rId1"/>
  <headerFooter>
    <oddFooter>&amp;C&amp;"Arial,Bold"&amp;16&amp;P/&amp;N</oddFooter>
  </headerFooter>
  <rowBreaks count="5" manualBreakCount="5">
    <brk id="19" max="5" man="1"/>
    <brk id="28" max="5" man="1"/>
    <brk id="38" max="5" man="1"/>
    <brk id="47" max="5" man="1"/>
    <brk id="50" max="5"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450B7-D849-4EBD-9575-A52FBDD122F5}">
  <dimension ref="A1:BJ694"/>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88"/>
    <col min="2" max="2" width="75.28515625" style="164" customWidth="1"/>
    <col min="3" max="3" width="12.5703125" style="88" customWidth="1"/>
    <col min="4" max="4" width="14.28515625" style="88" customWidth="1"/>
    <col min="5" max="5" width="16.85546875" style="109" customWidth="1"/>
    <col min="6" max="6" width="19.5703125" style="114" customWidth="1"/>
    <col min="7" max="16384" width="9.140625" style="90"/>
  </cols>
  <sheetData>
    <row r="1" spans="1:62" x14ac:dyDescent="0.2">
      <c r="A1" s="86"/>
      <c r="B1" s="162"/>
      <c r="E1" s="89"/>
      <c r="F1" s="90"/>
    </row>
    <row r="2" spans="1:62" x14ac:dyDescent="0.2">
      <c r="A2" s="86"/>
      <c r="B2" s="162"/>
      <c r="E2" s="89"/>
      <c r="F2" s="90"/>
    </row>
    <row r="3" spans="1:62" ht="12" customHeight="1" thickBot="1" x14ac:dyDescent="0.25">
      <c r="A3" s="86"/>
      <c r="B3" s="276"/>
      <c r="C3" s="274"/>
      <c r="E3" s="89"/>
      <c r="F3" s="90"/>
    </row>
    <row r="4" spans="1:62" ht="33.950000000000003" customHeight="1" x14ac:dyDescent="0.2">
      <c r="A4" s="86"/>
      <c r="B4" s="162"/>
      <c r="E4" s="89"/>
      <c r="F4" s="90"/>
    </row>
    <row r="5" spans="1:62" s="95" customFormat="1" ht="15.75" x14ac:dyDescent="0.2">
      <c r="A5" s="91"/>
      <c r="B5" s="163" t="s">
        <v>89</v>
      </c>
      <c r="C5" s="93"/>
      <c r="D5" s="93"/>
      <c r="E5" s="94"/>
      <c r="F5" s="165"/>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167"/>
    </row>
    <row r="6" spans="1:62" s="100" customFormat="1" ht="62.25" x14ac:dyDescent="0.2">
      <c r="A6" s="96" t="s">
        <v>14</v>
      </c>
      <c r="B6" s="161" t="s">
        <v>0</v>
      </c>
      <c r="C6" s="96" t="s">
        <v>15</v>
      </c>
      <c r="D6" s="98" t="s">
        <v>16</v>
      </c>
      <c r="E6" s="99" t="s">
        <v>17</v>
      </c>
      <c r="F6" s="166" t="s">
        <v>326</v>
      </c>
    </row>
    <row r="7" spans="1:62" s="100" customFormat="1" ht="15.75" x14ac:dyDescent="0.2">
      <c r="A7" s="179"/>
      <c r="B7" s="170" t="s">
        <v>91</v>
      </c>
      <c r="C7" s="169"/>
      <c r="D7" s="233"/>
      <c r="E7" s="99"/>
      <c r="F7" s="99"/>
    </row>
    <row r="8" spans="1:62" s="100" customFormat="1" x14ac:dyDescent="0.2">
      <c r="A8" s="176">
        <v>2.0009999999999999</v>
      </c>
      <c r="B8" s="173" t="s">
        <v>91</v>
      </c>
      <c r="C8" s="172" t="s">
        <v>659</v>
      </c>
      <c r="D8" s="234">
        <v>1</v>
      </c>
      <c r="E8" s="224">
        <v>6512.0007698935578</v>
      </c>
      <c r="F8" s="224">
        <f>$D8*E8</f>
        <v>6512.0007698935578</v>
      </c>
    </row>
    <row r="9" spans="1:62" s="104" customFormat="1" ht="15.75" x14ac:dyDescent="0.25">
      <c r="A9" s="179"/>
      <c r="B9" s="170" t="s">
        <v>92</v>
      </c>
      <c r="C9" s="169"/>
      <c r="D9" s="235"/>
      <c r="E9" s="225"/>
      <c r="F9" s="225"/>
    </row>
    <row r="10" spans="1:62" s="104" customFormat="1" ht="15.75" x14ac:dyDescent="0.25">
      <c r="A10" s="179"/>
      <c r="B10" s="170" t="s">
        <v>386</v>
      </c>
      <c r="C10" s="169"/>
      <c r="D10" s="235"/>
      <c r="E10" s="225"/>
      <c r="F10" s="225"/>
    </row>
    <row r="11" spans="1:62" s="104" customFormat="1" ht="63" x14ac:dyDescent="0.25">
      <c r="A11" s="179"/>
      <c r="B11" s="170" t="s">
        <v>94</v>
      </c>
      <c r="C11" s="169"/>
      <c r="D11" s="235"/>
      <c r="E11" s="225"/>
      <c r="F11" s="225"/>
    </row>
    <row r="12" spans="1:62" s="104" customFormat="1" ht="33.75" customHeight="1" x14ac:dyDescent="0.25">
      <c r="A12" s="179"/>
      <c r="B12" s="170" t="s">
        <v>95</v>
      </c>
      <c r="C12" s="169"/>
      <c r="D12" s="235"/>
      <c r="E12" s="225"/>
      <c r="F12" s="225"/>
    </row>
    <row r="13" spans="1:62" x14ac:dyDescent="0.2">
      <c r="A13" s="176">
        <v>2.0019999999999998</v>
      </c>
      <c r="B13" s="173" t="s">
        <v>95</v>
      </c>
      <c r="C13" s="172" t="s">
        <v>659</v>
      </c>
      <c r="D13" s="236">
        <v>1</v>
      </c>
      <c r="E13" s="224">
        <v>52997.585133882851</v>
      </c>
      <c r="F13" s="224">
        <f>$D13*E13</f>
        <v>52997.585133882851</v>
      </c>
    </row>
    <row r="14" spans="1:62" ht="15.75" x14ac:dyDescent="0.2">
      <c r="A14" s="176"/>
      <c r="B14" s="170" t="s">
        <v>98</v>
      </c>
      <c r="C14" s="172"/>
      <c r="D14" s="236"/>
      <c r="E14" s="223"/>
      <c r="F14" s="223"/>
    </row>
    <row r="15" spans="1:62" x14ac:dyDescent="0.2">
      <c r="A15" s="176">
        <v>2.0029999999999997</v>
      </c>
      <c r="B15" s="173" t="s">
        <v>98</v>
      </c>
      <c r="C15" s="172" t="s">
        <v>659</v>
      </c>
      <c r="D15" s="236">
        <v>1</v>
      </c>
      <c r="E15" s="224">
        <v>137321.31947503574</v>
      </c>
      <c r="F15" s="224">
        <f>$D15*E15</f>
        <v>137321.31947503574</v>
      </c>
    </row>
    <row r="16" spans="1:62" s="104" customFormat="1" ht="15.75" x14ac:dyDescent="0.25">
      <c r="A16" s="179"/>
      <c r="B16" s="170" t="s">
        <v>96</v>
      </c>
      <c r="C16" s="169"/>
      <c r="D16" s="235"/>
      <c r="E16" s="225"/>
      <c r="F16" s="225"/>
    </row>
    <row r="17" spans="1:6" x14ac:dyDescent="0.2">
      <c r="A17" s="176">
        <v>2.0039999999999996</v>
      </c>
      <c r="B17" s="173" t="s">
        <v>97</v>
      </c>
      <c r="C17" s="172" t="s">
        <v>659</v>
      </c>
      <c r="D17" s="236">
        <v>1</v>
      </c>
      <c r="E17" s="224">
        <v>164174.41344677194</v>
      </c>
      <c r="F17" s="224">
        <f>$D17*E17</f>
        <v>164174.41344677194</v>
      </c>
    </row>
    <row r="18" spans="1:6" ht="15.75" x14ac:dyDescent="0.2">
      <c r="A18" s="176"/>
      <c r="B18" s="170" t="s">
        <v>99</v>
      </c>
      <c r="C18" s="172"/>
      <c r="D18" s="236"/>
      <c r="E18" s="223"/>
      <c r="F18" s="223"/>
    </row>
    <row r="19" spans="1:6" x14ac:dyDescent="0.2">
      <c r="A19" s="176">
        <v>2.0049999999999994</v>
      </c>
      <c r="B19" s="173" t="s">
        <v>100</v>
      </c>
      <c r="C19" s="172" t="s">
        <v>659</v>
      </c>
      <c r="D19" s="236">
        <v>1</v>
      </c>
      <c r="E19" s="224">
        <v>22129.075241139388</v>
      </c>
      <c r="F19" s="224">
        <f>$D19*E19</f>
        <v>22129.075241139388</v>
      </c>
    </row>
    <row r="20" spans="1:6" s="104" customFormat="1" ht="15.75" x14ac:dyDescent="0.25">
      <c r="A20" s="176"/>
      <c r="B20" s="170" t="s">
        <v>101</v>
      </c>
      <c r="C20" s="169"/>
      <c r="D20" s="235"/>
      <c r="E20" s="225"/>
      <c r="F20" s="225"/>
    </row>
    <row r="21" spans="1:6" s="104" customFormat="1" ht="15.75" x14ac:dyDescent="0.25">
      <c r="A21" s="176">
        <v>2.0059999999999993</v>
      </c>
      <c r="B21" s="173" t="s">
        <v>100</v>
      </c>
      <c r="C21" s="172" t="s">
        <v>659</v>
      </c>
      <c r="D21" s="236">
        <v>1</v>
      </c>
      <c r="E21" s="224">
        <v>30541.371595649638</v>
      </c>
      <c r="F21" s="224">
        <f>$D21*E21</f>
        <v>30541.371595649638</v>
      </c>
    </row>
    <row r="22" spans="1:6" s="104" customFormat="1" ht="15.75" x14ac:dyDescent="0.25">
      <c r="A22" s="179"/>
      <c r="B22" s="170" t="s">
        <v>102</v>
      </c>
      <c r="C22" s="169"/>
      <c r="D22" s="235"/>
      <c r="E22" s="225"/>
      <c r="F22" s="225"/>
    </row>
    <row r="23" spans="1:6" s="104" customFormat="1" ht="65.25" customHeight="1" x14ac:dyDescent="0.25">
      <c r="A23" s="179"/>
      <c r="B23" s="170" t="s">
        <v>327</v>
      </c>
      <c r="C23" s="169"/>
      <c r="D23" s="235"/>
      <c r="E23" s="225"/>
      <c r="F23" s="225"/>
    </row>
    <row r="24" spans="1:6" s="104" customFormat="1" ht="15.75" x14ac:dyDescent="0.25">
      <c r="A24" s="179"/>
      <c r="B24" s="170" t="s">
        <v>95</v>
      </c>
      <c r="C24" s="169"/>
      <c r="D24" s="235"/>
      <c r="E24" s="225"/>
      <c r="F24" s="225"/>
    </row>
    <row r="25" spans="1:6" x14ac:dyDescent="0.2">
      <c r="A25" s="176">
        <v>2.0069999999999992</v>
      </c>
      <c r="B25" s="173" t="s">
        <v>104</v>
      </c>
      <c r="C25" s="172" t="s">
        <v>659</v>
      </c>
      <c r="D25" s="236">
        <v>1</v>
      </c>
      <c r="E25" s="224">
        <v>4920.8528443716668</v>
      </c>
      <c r="F25" s="224">
        <f>$D25*E25</f>
        <v>4920.8528443716668</v>
      </c>
    </row>
    <row r="26" spans="1:6" s="104" customFormat="1" ht="15.75" x14ac:dyDescent="0.25">
      <c r="A26" s="179"/>
      <c r="B26" s="170" t="s">
        <v>96</v>
      </c>
      <c r="C26" s="169"/>
      <c r="D26" s="235"/>
      <c r="E26" s="225"/>
      <c r="F26" s="225"/>
    </row>
    <row r="27" spans="1:6" x14ac:dyDescent="0.2">
      <c r="A27" s="176">
        <v>2.0079999999999991</v>
      </c>
      <c r="B27" s="173" t="s">
        <v>97</v>
      </c>
      <c r="C27" s="172" t="s">
        <v>659</v>
      </c>
      <c r="D27" s="236">
        <v>1</v>
      </c>
      <c r="E27" s="224">
        <v>4920.8528443716668</v>
      </c>
      <c r="F27" s="224">
        <f>$D27*E27</f>
        <v>4920.8528443716668</v>
      </c>
    </row>
    <row r="28" spans="1:6" ht="15.75" x14ac:dyDescent="0.2">
      <c r="A28" s="176"/>
      <c r="B28" s="170" t="s">
        <v>98</v>
      </c>
      <c r="C28" s="172"/>
      <c r="D28" s="236"/>
      <c r="E28" s="223"/>
      <c r="F28" s="223"/>
    </row>
    <row r="29" spans="1:6" x14ac:dyDescent="0.2">
      <c r="A29" s="176">
        <v>2.008999999999999</v>
      </c>
      <c r="B29" s="173" t="s">
        <v>98</v>
      </c>
      <c r="C29" s="172" t="s">
        <v>659</v>
      </c>
      <c r="D29" s="236">
        <v>1</v>
      </c>
      <c r="E29" s="224">
        <v>4920.8528443716668</v>
      </c>
      <c r="F29" s="224">
        <f>$D29*E29</f>
        <v>4920.8528443716668</v>
      </c>
    </row>
    <row r="30" spans="1:6" ht="15.75" x14ac:dyDescent="0.2">
      <c r="A30" s="176"/>
      <c r="B30" s="170" t="s">
        <v>99</v>
      </c>
      <c r="C30" s="172"/>
      <c r="D30" s="236"/>
      <c r="E30" s="223"/>
      <c r="F30" s="223"/>
    </row>
    <row r="31" spans="1:6" x14ac:dyDescent="0.2">
      <c r="A31" s="176">
        <v>2.0099999999999989</v>
      </c>
      <c r="B31" s="173" t="s">
        <v>100</v>
      </c>
      <c r="C31" s="172" t="s">
        <v>659</v>
      </c>
      <c r="D31" s="236">
        <v>1</v>
      </c>
      <c r="E31" s="224">
        <v>4920.8528443716668</v>
      </c>
      <c r="F31" s="224">
        <f>$D31*E31</f>
        <v>4920.8528443716668</v>
      </c>
    </row>
    <row r="32" spans="1:6" ht="15.75" x14ac:dyDescent="0.2">
      <c r="A32" s="176"/>
      <c r="B32" s="170" t="s">
        <v>101</v>
      </c>
      <c r="C32" s="172"/>
      <c r="D32" s="236"/>
      <c r="E32" s="223"/>
      <c r="F32" s="223"/>
    </row>
    <row r="33" spans="1:6" x14ac:dyDescent="0.2">
      <c r="A33" s="176">
        <v>2.0109999999999988</v>
      </c>
      <c r="B33" s="173" t="s">
        <v>100</v>
      </c>
      <c r="C33" s="172" t="s">
        <v>659</v>
      </c>
      <c r="D33" s="236">
        <v>1</v>
      </c>
      <c r="E33" s="224">
        <v>4920.8528443716668</v>
      </c>
      <c r="F33" s="224">
        <f>$D33*E33</f>
        <v>4920.8528443716668</v>
      </c>
    </row>
    <row r="34" spans="1:6" s="104" customFormat="1" ht="45" x14ac:dyDescent="0.25">
      <c r="A34" s="176">
        <v>2.0119999999999987</v>
      </c>
      <c r="B34" s="173" t="s">
        <v>105</v>
      </c>
      <c r="C34" s="172" t="s">
        <v>659</v>
      </c>
      <c r="D34" s="236">
        <v>1</v>
      </c>
      <c r="E34" s="224">
        <v>4920.8528443716668</v>
      </c>
      <c r="F34" s="224">
        <f>$D34*E34</f>
        <v>4920.8528443716668</v>
      </c>
    </row>
    <row r="35" spans="1:6" s="104" customFormat="1" ht="45" x14ac:dyDescent="0.25">
      <c r="A35" s="176">
        <v>2.0129999999999986</v>
      </c>
      <c r="B35" s="173" t="s">
        <v>711</v>
      </c>
      <c r="C35" s="172" t="s">
        <v>659</v>
      </c>
      <c r="D35" s="236">
        <v>1</v>
      </c>
      <c r="E35" s="224">
        <v>4920.8528443716668</v>
      </c>
      <c r="F35" s="224">
        <f>$D35*E35</f>
        <v>4920.8528443716668</v>
      </c>
    </row>
    <row r="36" spans="1:6" s="104" customFormat="1" ht="30" x14ac:dyDescent="0.25">
      <c r="A36" s="176">
        <v>2.0139999999999985</v>
      </c>
      <c r="B36" s="173" t="s">
        <v>709</v>
      </c>
      <c r="C36" s="172" t="s">
        <v>659</v>
      </c>
      <c r="D36" s="236">
        <v>1</v>
      </c>
      <c r="E36" s="224">
        <v>23699.654001771811</v>
      </c>
      <c r="F36" s="224">
        <f>$D36*E36</f>
        <v>23699.654001771811</v>
      </c>
    </row>
    <row r="37" spans="1:6" s="104" customFormat="1" ht="31.5" x14ac:dyDescent="0.25">
      <c r="A37" s="197"/>
      <c r="B37" s="170" t="s">
        <v>106</v>
      </c>
      <c r="C37" s="169"/>
      <c r="D37" s="235"/>
      <c r="E37" s="225"/>
      <c r="F37" s="225"/>
    </row>
    <row r="38" spans="1:6" s="104" customFormat="1" ht="90" x14ac:dyDescent="0.25">
      <c r="A38" s="172">
        <v>2.0149999999999983</v>
      </c>
      <c r="B38" s="173" t="s">
        <v>107</v>
      </c>
      <c r="C38" s="172" t="s">
        <v>659</v>
      </c>
      <c r="D38" s="236">
        <v>1</v>
      </c>
      <c r="E38" s="224">
        <v>86557.80153249763</v>
      </c>
      <c r="F38" s="224">
        <f>$D38*E38</f>
        <v>86557.80153249763</v>
      </c>
    </row>
    <row r="39" spans="1:6" s="104" customFormat="1" ht="31.5" x14ac:dyDescent="0.25">
      <c r="A39" s="172"/>
      <c r="B39" s="170" t="s">
        <v>108</v>
      </c>
      <c r="C39" s="172"/>
      <c r="D39" s="236"/>
      <c r="E39" s="223"/>
      <c r="F39" s="223"/>
    </row>
    <row r="40" spans="1:6" s="104" customFormat="1" ht="90" x14ac:dyDescent="0.25">
      <c r="A40" s="172">
        <v>2.0159999999999982</v>
      </c>
      <c r="B40" s="173" t="s">
        <v>107</v>
      </c>
      <c r="C40" s="172" t="s">
        <v>659</v>
      </c>
      <c r="D40" s="236">
        <v>1</v>
      </c>
      <c r="E40" s="224">
        <v>151808.31024886592</v>
      </c>
      <c r="F40" s="224">
        <f>$D40*E40</f>
        <v>151808.31024886592</v>
      </c>
    </row>
    <row r="41" spans="1:6" s="104" customFormat="1" ht="45" x14ac:dyDescent="0.25">
      <c r="A41" s="172">
        <v>2.0169999999999981</v>
      </c>
      <c r="B41" s="173" t="s">
        <v>109</v>
      </c>
      <c r="C41" s="172" t="s">
        <v>659</v>
      </c>
      <c r="D41" s="236">
        <v>1</v>
      </c>
      <c r="E41" s="224">
        <v>51929.40733992232</v>
      </c>
      <c r="F41" s="224">
        <f>$D41*E41</f>
        <v>51929.40733992232</v>
      </c>
    </row>
    <row r="42" spans="1:6" s="104" customFormat="1" ht="45" x14ac:dyDescent="0.25">
      <c r="A42" s="172">
        <v>2.017999999999998</v>
      </c>
      <c r="B42" s="173" t="s">
        <v>110</v>
      </c>
      <c r="C42" s="172" t="s">
        <v>659</v>
      </c>
      <c r="D42" s="236">
        <v>1</v>
      </c>
      <c r="E42" s="224">
        <v>15353.060874439601</v>
      </c>
      <c r="F42" s="224">
        <f>$D42*E42</f>
        <v>15353.060874439601</v>
      </c>
    </row>
    <row r="43" spans="1:6" s="104" customFormat="1" ht="105" x14ac:dyDescent="0.25">
      <c r="A43" s="176">
        <v>2.0189999999999979</v>
      </c>
      <c r="B43" s="173" t="s">
        <v>720</v>
      </c>
      <c r="C43" s="172" t="s">
        <v>659</v>
      </c>
      <c r="D43" s="236">
        <v>1</v>
      </c>
      <c r="E43" s="224">
        <v>63577.418749281947</v>
      </c>
      <c r="F43" s="224">
        <f>$D43*E43</f>
        <v>63577.418749281947</v>
      </c>
    </row>
    <row r="44" spans="1:6" s="104" customFormat="1" ht="15.75" x14ac:dyDescent="0.25">
      <c r="A44" s="172"/>
      <c r="B44" s="170" t="s">
        <v>328</v>
      </c>
      <c r="C44" s="172"/>
      <c r="D44" s="236"/>
      <c r="E44" s="223"/>
      <c r="F44" s="223"/>
    </row>
    <row r="45" spans="1:6" s="104" customFormat="1" ht="15.75" x14ac:dyDescent="0.25">
      <c r="A45" s="172">
        <v>2.0199999999999978</v>
      </c>
      <c r="B45" s="173" t="s">
        <v>387</v>
      </c>
      <c r="C45" s="172" t="s">
        <v>659</v>
      </c>
      <c r="D45" s="236">
        <v>1</v>
      </c>
      <c r="E45" s="224">
        <v>15766.41251336682</v>
      </c>
      <c r="F45" s="224">
        <f>$D45*E45</f>
        <v>15766.41251336682</v>
      </c>
    </row>
    <row r="46" spans="1:6" s="104" customFormat="1" ht="15.75" x14ac:dyDescent="0.25">
      <c r="A46" s="172"/>
      <c r="B46" s="170" t="s">
        <v>111</v>
      </c>
      <c r="C46" s="172"/>
      <c r="D46" s="236"/>
      <c r="E46" s="223"/>
      <c r="F46" s="223"/>
    </row>
    <row r="47" spans="1:6" s="104" customFormat="1" ht="30" x14ac:dyDescent="0.25">
      <c r="A47" s="172">
        <v>2.0209999999999977</v>
      </c>
      <c r="B47" s="173" t="s">
        <v>112</v>
      </c>
      <c r="C47" s="172" t="s">
        <v>659</v>
      </c>
      <c r="D47" s="236">
        <v>1</v>
      </c>
      <c r="E47" s="224">
        <v>27064.690644044167</v>
      </c>
      <c r="F47" s="224">
        <f>$D47*E47</f>
        <v>27064.690644044167</v>
      </c>
    </row>
    <row r="48" spans="1:6" s="104" customFormat="1" ht="15.75" x14ac:dyDescent="0.25">
      <c r="A48" s="179"/>
      <c r="B48" s="170" t="s">
        <v>330</v>
      </c>
      <c r="C48" s="169"/>
      <c r="D48" s="235"/>
      <c r="E48" s="225"/>
      <c r="F48" s="225"/>
    </row>
    <row r="49" spans="1:6" s="104" customFormat="1" ht="15.75" x14ac:dyDescent="0.25">
      <c r="A49" s="176"/>
      <c r="B49" s="173" t="s">
        <v>114</v>
      </c>
      <c r="C49" s="172"/>
      <c r="D49" s="236"/>
      <c r="E49" s="223"/>
      <c r="F49" s="223"/>
    </row>
    <row r="50" spans="1:6" s="104" customFormat="1" ht="203.45" customHeight="1" x14ac:dyDescent="0.25">
      <c r="A50" s="176"/>
      <c r="B50" s="173" t="s">
        <v>702</v>
      </c>
      <c r="C50" s="169"/>
      <c r="D50" s="235"/>
      <c r="E50" s="225"/>
      <c r="F50" s="225"/>
    </row>
    <row r="51" spans="1:6" x14ac:dyDescent="0.2">
      <c r="A51" s="176">
        <v>2.0219999999999976</v>
      </c>
      <c r="B51" s="173" t="s">
        <v>115</v>
      </c>
      <c r="C51" s="172" t="s">
        <v>659</v>
      </c>
      <c r="D51" s="236">
        <v>1</v>
      </c>
      <c r="E51" s="224">
        <v>21651.752515235334</v>
      </c>
      <c r="F51" s="224">
        <f t="shared" ref="F51:F58" si="0">$D51*E51</f>
        <v>21651.752515235334</v>
      </c>
    </row>
    <row r="52" spans="1:6" x14ac:dyDescent="0.2">
      <c r="A52" s="176">
        <v>2.0229999999999975</v>
      </c>
      <c r="B52" s="173" t="s">
        <v>331</v>
      </c>
      <c r="C52" s="172" t="s">
        <v>659</v>
      </c>
      <c r="D52" s="236">
        <v>1</v>
      </c>
      <c r="E52" s="224">
        <v>21651.752515235334</v>
      </c>
      <c r="F52" s="224">
        <f t="shared" si="0"/>
        <v>21651.752515235334</v>
      </c>
    </row>
    <row r="53" spans="1:6" x14ac:dyDescent="0.2">
      <c r="A53" s="176">
        <v>2.0239999999999974</v>
      </c>
      <c r="B53" s="173" t="s">
        <v>332</v>
      </c>
      <c r="C53" s="172" t="s">
        <v>659</v>
      </c>
      <c r="D53" s="236">
        <v>1</v>
      </c>
      <c r="E53" s="224">
        <v>30017.202350667169</v>
      </c>
      <c r="F53" s="224">
        <f t="shared" si="0"/>
        <v>30017.202350667169</v>
      </c>
    </row>
    <row r="54" spans="1:6" x14ac:dyDescent="0.2">
      <c r="A54" s="176">
        <v>2.0249999999999972</v>
      </c>
      <c r="B54" s="173" t="s">
        <v>119</v>
      </c>
      <c r="C54" s="172" t="s">
        <v>659</v>
      </c>
      <c r="D54" s="236">
        <v>1</v>
      </c>
      <c r="E54" s="224">
        <v>21651.752515235334</v>
      </c>
      <c r="F54" s="224">
        <f t="shared" si="0"/>
        <v>21651.752515235334</v>
      </c>
    </row>
    <row r="55" spans="1:6" x14ac:dyDescent="0.2">
      <c r="A55" s="176">
        <v>2.0259999999999971</v>
      </c>
      <c r="B55" s="173" t="s">
        <v>388</v>
      </c>
      <c r="C55" s="172" t="s">
        <v>659</v>
      </c>
      <c r="D55" s="236">
        <v>1</v>
      </c>
      <c r="E55" s="224">
        <v>21651.752515235334</v>
      </c>
      <c r="F55" s="224">
        <f t="shared" si="0"/>
        <v>21651.752515235334</v>
      </c>
    </row>
    <row r="56" spans="1:6" x14ac:dyDescent="0.2">
      <c r="A56" s="176">
        <v>2.026999999999997</v>
      </c>
      <c r="B56" s="173" t="s">
        <v>389</v>
      </c>
      <c r="C56" s="172" t="s">
        <v>659</v>
      </c>
      <c r="D56" s="236">
        <v>1</v>
      </c>
      <c r="E56" s="224">
        <v>21651.752515235334</v>
      </c>
      <c r="F56" s="224">
        <f t="shared" si="0"/>
        <v>21651.752515235334</v>
      </c>
    </row>
    <row r="57" spans="1:6" x14ac:dyDescent="0.2">
      <c r="A57" s="176">
        <v>2.0279999999999969</v>
      </c>
      <c r="B57" s="173" t="s">
        <v>390</v>
      </c>
      <c r="C57" s="172" t="s">
        <v>659</v>
      </c>
      <c r="D57" s="236">
        <v>1</v>
      </c>
      <c r="E57" s="224">
        <v>21651.752515235334</v>
      </c>
      <c r="F57" s="224">
        <f t="shared" si="0"/>
        <v>21651.752515235334</v>
      </c>
    </row>
    <row r="58" spans="1:6" x14ac:dyDescent="0.2">
      <c r="A58" s="176">
        <v>2.0289999999999968</v>
      </c>
      <c r="B58" s="173" t="s">
        <v>120</v>
      </c>
      <c r="C58" s="172" t="s">
        <v>659</v>
      </c>
      <c r="D58" s="236">
        <v>1</v>
      </c>
      <c r="E58" s="224">
        <v>21651.752515235334</v>
      </c>
      <c r="F58" s="224">
        <f t="shared" si="0"/>
        <v>21651.752515235334</v>
      </c>
    </row>
    <row r="59" spans="1:6" ht="30.6" customHeight="1" x14ac:dyDescent="0.2">
      <c r="A59" s="172"/>
      <c r="B59" s="170" t="s">
        <v>121</v>
      </c>
      <c r="C59" s="172"/>
      <c r="D59" s="236"/>
      <c r="E59" s="223"/>
      <c r="F59" s="223"/>
    </row>
    <row r="60" spans="1:6" ht="30" x14ac:dyDescent="0.2">
      <c r="A60" s="176">
        <v>2.0299999999999967</v>
      </c>
      <c r="B60" s="173" t="s">
        <v>391</v>
      </c>
      <c r="C60" s="172" t="s">
        <v>659</v>
      </c>
      <c r="D60" s="236">
        <v>1</v>
      </c>
      <c r="E60" s="224">
        <v>11778.159700060472</v>
      </c>
      <c r="F60" s="224">
        <f>$D60*E60</f>
        <v>11778.159700060472</v>
      </c>
    </row>
    <row r="61" spans="1:6" ht="45" x14ac:dyDescent="0.2">
      <c r="A61" s="176">
        <v>2.0309999999999966</v>
      </c>
      <c r="B61" s="173" t="s">
        <v>392</v>
      </c>
      <c r="C61" s="172" t="s">
        <v>659</v>
      </c>
      <c r="D61" s="236">
        <v>1</v>
      </c>
      <c r="E61" s="224">
        <v>7852.1064667069813</v>
      </c>
      <c r="F61" s="224">
        <f>$D61*E61</f>
        <v>7852.1064667069813</v>
      </c>
    </row>
    <row r="62" spans="1:6" ht="30" x14ac:dyDescent="0.2">
      <c r="A62" s="176">
        <v>2.0309999999999966</v>
      </c>
      <c r="B62" s="173" t="s">
        <v>393</v>
      </c>
      <c r="C62" s="172" t="s">
        <v>659</v>
      </c>
      <c r="D62" s="236">
        <v>1</v>
      </c>
      <c r="E62" s="224">
        <v>1340873.3498571469</v>
      </c>
      <c r="F62" s="224">
        <f>$D62*E62</f>
        <v>1340873.3498571469</v>
      </c>
    </row>
    <row r="63" spans="1:6" ht="45" x14ac:dyDescent="0.2">
      <c r="A63" s="176">
        <v>2.0319999999999965</v>
      </c>
      <c r="B63" s="173" t="s">
        <v>394</v>
      </c>
      <c r="C63" s="172" t="s">
        <v>659</v>
      </c>
      <c r="D63" s="236">
        <v>1</v>
      </c>
      <c r="E63" s="224">
        <v>701674.24878464476</v>
      </c>
      <c r="F63" s="224">
        <f>$D63*E63</f>
        <v>701674.24878464476</v>
      </c>
    </row>
    <row r="64" spans="1:6" ht="15.75" x14ac:dyDescent="0.2">
      <c r="A64" s="209"/>
      <c r="B64" s="210" t="s">
        <v>646</v>
      </c>
      <c r="C64" s="211"/>
      <c r="D64" s="231"/>
      <c r="E64" s="223"/>
      <c r="F64" s="223"/>
    </row>
    <row r="65" spans="1:6" ht="90" x14ac:dyDescent="0.2">
      <c r="A65" s="209">
        <v>2.0329999999999964</v>
      </c>
      <c r="B65" s="212" t="s">
        <v>650</v>
      </c>
      <c r="C65" s="211" t="s">
        <v>659</v>
      </c>
      <c r="D65" s="231">
        <v>1</v>
      </c>
      <c r="E65" s="224">
        <v>58045.680211241262</v>
      </c>
      <c r="F65" s="224">
        <f>$D65*E65</f>
        <v>58045.680211241262</v>
      </c>
    </row>
    <row r="66" spans="1:6" ht="15.75" x14ac:dyDescent="0.2">
      <c r="A66" s="172"/>
      <c r="B66" s="170" t="s">
        <v>124</v>
      </c>
      <c r="C66" s="172"/>
      <c r="D66" s="236"/>
      <c r="E66" s="223"/>
      <c r="F66" s="223"/>
    </row>
    <row r="67" spans="1:6" ht="30" x14ac:dyDescent="0.2">
      <c r="A67" s="172">
        <v>2.0339999999999963</v>
      </c>
      <c r="B67" s="173" t="s">
        <v>125</v>
      </c>
      <c r="C67" s="172" t="s">
        <v>659</v>
      </c>
      <c r="D67" s="236">
        <v>1</v>
      </c>
      <c r="E67" s="224">
        <v>89301.046478832694</v>
      </c>
      <c r="F67" s="224">
        <f>$D67*E67</f>
        <v>89301.046478832694</v>
      </c>
    </row>
    <row r="68" spans="1:6" ht="30.6" customHeight="1" x14ac:dyDescent="0.2">
      <c r="A68" s="172"/>
      <c r="B68" s="170" t="s">
        <v>126</v>
      </c>
      <c r="C68" s="172"/>
      <c r="D68" s="236"/>
      <c r="E68" s="223"/>
      <c r="F68" s="223"/>
    </row>
    <row r="69" spans="1:6" ht="30" x14ac:dyDescent="0.2">
      <c r="A69" s="172">
        <v>2.0349999999999961</v>
      </c>
      <c r="B69" s="173" t="s">
        <v>127</v>
      </c>
      <c r="C69" s="172" t="s">
        <v>659</v>
      </c>
      <c r="D69" s="236">
        <v>1</v>
      </c>
      <c r="E69" s="224">
        <v>33461.799341727339</v>
      </c>
      <c r="F69" s="224">
        <f>$D69*E69</f>
        <v>33461.799341727339</v>
      </c>
    </row>
    <row r="70" spans="1:6" s="104" customFormat="1" ht="15.75" x14ac:dyDescent="0.25">
      <c r="A70" s="172"/>
      <c r="B70" s="170" t="s">
        <v>128</v>
      </c>
      <c r="C70" s="172"/>
      <c r="D70" s="236"/>
      <c r="E70" s="223"/>
      <c r="F70" s="223"/>
    </row>
    <row r="71" spans="1:6" ht="30" x14ac:dyDescent="0.2">
      <c r="A71" s="172">
        <v>2.035999999999996</v>
      </c>
      <c r="B71" s="173" t="s">
        <v>129</v>
      </c>
      <c r="C71" s="172" t="s">
        <v>659</v>
      </c>
      <c r="D71" s="236">
        <v>1</v>
      </c>
      <c r="E71" s="224">
        <v>2710.405746679914</v>
      </c>
      <c r="F71" s="224">
        <f>$D71*E71</f>
        <v>2710.405746679914</v>
      </c>
    </row>
    <row r="72" spans="1:6" s="104" customFormat="1" ht="15.75" x14ac:dyDescent="0.25">
      <c r="A72" s="209"/>
      <c r="B72" s="213" t="s">
        <v>136</v>
      </c>
      <c r="C72" s="211"/>
      <c r="D72" s="231"/>
      <c r="E72" s="223"/>
      <c r="F72" s="223"/>
    </row>
    <row r="73" spans="1:6" x14ac:dyDescent="0.2">
      <c r="A73" s="209">
        <v>2.0369999999999959</v>
      </c>
      <c r="B73" s="212" t="s">
        <v>137</v>
      </c>
      <c r="C73" s="211" t="s">
        <v>659</v>
      </c>
      <c r="D73" s="231">
        <v>1</v>
      </c>
      <c r="E73" s="224">
        <v>449460.56184804864</v>
      </c>
      <c r="F73" s="224">
        <f>$D73*E73</f>
        <v>449460.56184804864</v>
      </c>
    </row>
    <row r="74" spans="1:6" s="104" customFormat="1" ht="30.6" customHeight="1" x14ac:dyDescent="0.25">
      <c r="A74" s="197"/>
      <c r="B74" s="170" t="s">
        <v>130</v>
      </c>
      <c r="C74" s="169"/>
      <c r="D74" s="235"/>
      <c r="E74" s="225"/>
      <c r="F74" s="225"/>
    </row>
    <row r="75" spans="1:6" s="104" customFormat="1" ht="15.75" x14ac:dyDescent="0.25">
      <c r="A75" s="172"/>
      <c r="B75" s="173" t="s">
        <v>131</v>
      </c>
      <c r="C75" s="172"/>
      <c r="D75" s="236"/>
      <c r="E75" s="223"/>
      <c r="F75" s="223"/>
    </row>
    <row r="76" spans="1:6" ht="60" x14ac:dyDescent="0.2">
      <c r="A76" s="172">
        <v>2.0379999999999958</v>
      </c>
      <c r="B76" s="173" t="s">
        <v>132</v>
      </c>
      <c r="C76" s="172" t="s">
        <v>659</v>
      </c>
      <c r="D76" s="236">
        <v>1</v>
      </c>
      <c r="E76" s="224">
        <v>6451.4349130850314</v>
      </c>
      <c r="F76" s="224">
        <f>$D76*E76</f>
        <v>6451.4349130850314</v>
      </c>
    </row>
    <row r="77" spans="1:6" s="104" customFormat="1" ht="15.75" x14ac:dyDescent="0.25">
      <c r="A77" s="197"/>
      <c r="B77" s="170" t="s">
        <v>133</v>
      </c>
      <c r="C77" s="169"/>
      <c r="D77" s="235"/>
      <c r="E77" s="225"/>
      <c r="F77" s="225"/>
    </row>
    <row r="78" spans="1:6" ht="60" x14ac:dyDescent="0.2">
      <c r="A78" s="172">
        <v>2.0389999999999957</v>
      </c>
      <c r="B78" s="173" t="s">
        <v>134</v>
      </c>
      <c r="C78" s="172" t="s">
        <v>659</v>
      </c>
      <c r="D78" s="236">
        <v>1</v>
      </c>
      <c r="E78" s="224">
        <v>13250.872539324027</v>
      </c>
      <c r="F78" s="224">
        <f>$D78*E78</f>
        <v>13250.872539324027</v>
      </c>
    </row>
    <row r="79" spans="1:6" ht="72" customHeight="1" x14ac:dyDescent="0.2">
      <c r="A79" s="172">
        <v>2.0399999999999956</v>
      </c>
      <c r="B79" s="173" t="s">
        <v>135</v>
      </c>
      <c r="C79" s="172" t="s">
        <v>659</v>
      </c>
      <c r="D79" s="236">
        <v>1</v>
      </c>
      <c r="E79" s="224">
        <v>8833.9150262160165</v>
      </c>
      <c r="F79" s="224">
        <f>$D79*E79</f>
        <v>8833.9150262160165</v>
      </c>
    </row>
    <row r="80" spans="1:6" s="104" customFormat="1" ht="15.75" x14ac:dyDescent="0.25">
      <c r="A80" s="197"/>
      <c r="B80" s="170" t="s">
        <v>138</v>
      </c>
      <c r="C80" s="169"/>
      <c r="D80" s="235"/>
      <c r="E80" s="225"/>
      <c r="F80" s="225"/>
    </row>
    <row r="81" spans="1:6" ht="36" customHeight="1" x14ac:dyDescent="0.2">
      <c r="A81" s="176">
        <v>2.0409999999999955</v>
      </c>
      <c r="B81" s="173" t="s">
        <v>395</v>
      </c>
      <c r="C81" s="172" t="s">
        <v>659</v>
      </c>
      <c r="D81" s="236">
        <v>1</v>
      </c>
      <c r="E81" s="224">
        <v>360617.47688780213</v>
      </c>
      <c r="F81" s="224">
        <f t="shared" ref="F81:F95" si="1">$D81*E81</f>
        <v>360617.47688780213</v>
      </c>
    </row>
    <row r="82" spans="1:6" ht="60" x14ac:dyDescent="0.2">
      <c r="A82" s="176">
        <v>2.0419999999999954</v>
      </c>
      <c r="B82" s="173" t="s">
        <v>334</v>
      </c>
      <c r="C82" s="172" t="s">
        <v>659</v>
      </c>
      <c r="D82" s="236">
        <v>1</v>
      </c>
      <c r="E82" s="224">
        <v>406887.11454556906</v>
      </c>
      <c r="F82" s="224">
        <f t="shared" si="1"/>
        <v>406887.11454556906</v>
      </c>
    </row>
    <row r="83" spans="1:6" ht="48.6" customHeight="1" x14ac:dyDescent="0.2">
      <c r="A83" s="176">
        <v>2.0429999999999953</v>
      </c>
      <c r="B83" s="173" t="s">
        <v>141</v>
      </c>
      <c r="C83" s="172" t="s">
        <v>659</v>
      </c>
      <c r="D83" s="236">
        <v>1</v>
      </c>
      <c r="E83" s="224">
        <v>23456.377351253632</v>
      </c>
      <c r="F83" s="224">
        <f t="shared" si="1"/>
        <v>23456.377351253632</v>
      </c>
    </row>
    <row r="84" spans="1:6" ht="48.6" customHeight="1" x14ac:dyDescent="0.2">
      <c r="A84" s="176">
        <v>2.0439999999999952</v>
      </c>
      <c r="B84" s="173" t="s">
        <v>142</v>
      </c>
      <c r="C84" s="172" t="s">
        <v>659</v>
      </c>
      <c r="D84" s="236">
        <v>1</v>
      </c>
      <c r="E84" s="224">
        <v>30115.619407554605</v>
      </c>
      <c r="F84" s="224">
        <f t="shared" si="1"/>
        <v>30115.619407554605</v>
      </c>
    </row>
    <row r="85" spans="1:6" ht="48.6" customHeight="1" x14ac:dyDescent="0.2">
      <c r="A85" s="176">
        <v>2.044999999999995</v>
      </c>
      <c r="B85" s="173" t="s">
        <v>143</v>
      </c>
      <c r="C85" s="172" t="s">
        <v>659</v>
      </c>
      <c r="D85" s="236">
        <v>1</v>
      </c>
      <c r="E85" s="224">
        <v>100407.98473973769</v>
      </c>
      <c r="F85" s="224">
        <f t="shared" si="1"/>
        <v>100407.98473973769</v>
      </c>
    </row>
    <row r="86" spans="1:6" ht="48.6" customHeight="1" x14ac:dyDescent="0.2">
      <c r="A86" s="176">
        <v>2.0459999999999949</v>
      </c>
      <c r="B86" s="173" t="s">
        <v>144</v>
      </c>
      <c r="C86" s="172" t="s">
        <v>659</v>
      </c>
      <c r="D86" s="236">
        <v>1</v>
      </c>
      <c r="E86" s="224">
        <v>35887.77979400257</v>
      </c>
      <c r="F86" s="224">
        <f t="shared" si="1"/>
        <v>35887.77979400257</v>
      </c>
    </row>
    <row r="87" spans="1:6" ht="48.6" customHeight="1" x14ac:dyDescent="0.2">
      <c r="A87" s="176">
        <v>2.0469999999999948</v>
      </c>
      <c r="B87" s="173" t="s">
        <v>396</v>
      </c>
      <c r="C87" s="172" t="s">
        <v>659</v>
      </c>
      <c r="D87" s="236">
        <v>1</v>
      </c>
      <c r="E87" s="224">
        <v>3011.56194075546</v>
      </c>
      <c r="F87" s="224">
        <f t="shared" si="1"/>
        <v>3011.56194075546</v>
      </c>
    </row>
    <row r="88" spans="1:6" ht="48.6" customHeight="1" x14ac:dyDescent="0.2">
      <c r="A88" s="176">
        <v>2.0479999999999947</v>
      </c>
      <c r="B88" s="173" t="s">
        <v>145</v>
      </c>
      <c r="C88" s="172" t="s">
        <v>659</v>
      </c>
      <c r="D88" s="236">
        <v>1</v>
      </c>
      <c r="E88" s="224">
        <v>21919.151658798492</v>
      </c>
      <c r="F88" s="224">
        <f t="shared" si="1"/>
        <v>21919.151658798492</v>
      </c>
    </row>
    <row r="89" spans="1:6" ht="48.6" customHeight="1" x14ac:dyDescent="0.2">
      <c r="A89" s="176">
        <v>2.0489999999999946</v>
      </c>
      <c r="B89" s="173" t="s">
        <v>146</v>
      </c>
      <c r="C89" s="172" t="s">
        <v>659</v>
      </c>
      <c r="D89" s="236">
        <v>1</v>
      </c>
      <c r="E89" s="224">
        <v>14612.767772532328</v>
      </c>
      <c r="F89" s="224">
        <f t="shared" si="1"/>
        <v>14612.767772532328</v>
      </c>
    </row>
    <row r="90" spans="1:6" ht="54.6" customHeight="1" x14ac:dyDescent="0.2">
      <c r="A90" s="176">
        <v>2.0499999999999945</v>
      </c>
      <c r="B90" s="173" t="s">
        <v>147</v>
      </c>
      <c r="C90" s="172" t="s">
        <v>659</v>
      </c>
      <c r="D90" s="236">
        <v>1</v>
      </c>
      <c r="E90" s="224">
        <v>110730.11329167701</v>
      </c>
      <c r="F90" s="224">
        <f t="shared" si="1"/>
        <v>110730.11329167701</v>
      </c>
    </row>
    <row r="91" spans="1:6" ht="54.6" customHeight="1" x14ac:dyDescent="0.2">
      <c r="A91" s="176">
        <v>2.0509999999999944</v>
      </c>
      <c r="B91" s="173" t="s">
        <v>148</v>
      </c>
      <c r="C91" s="172" t="s">
        <v>659</v>
      </c>
      <c r="D91" s="236">
        <v>1</v>
      </c>
      <c r="E91" s="224">
        <v>73820.075527784691</v>
      </c>
      <c r="F91" s="224">
        <f t="shared" si="1"/>
        <v>73820.075527784691</v>
      </c>
    </row>
    <row r="92" spans="1:6" ht="54.6" customHeight="1" x14ac:dyDescent="0.2">
      <c r="A92" s="176">
        <v>2.0519999999999943</v>
      </c>
      <c r="B92" s="173" t="s">
        <v>149</v>
      </c>
      <c r="C92" s="172" t="s">
        <v>659</v>
      </c>
      <c r="D92" s="236">
        <v>1</v>
      </c>
      <c r="E92" s="224">
        <v>24134.65739321426</v>
      </c>
      <c r="F92" s="224">
        <f t="shared" si="1"/>
        <v>24134.65739321426</v>
      </c>
    </row>
    <row r="93" spans="1:6" ht="54.6" customHeight="1" x14ac:dyDescent="0.2">
      <c r="A93" s="176">
        <v>2.0529999999999942</v>
      </c>
      <c r="B93" s="173" t="s">
        <v>150</v>
      </c>
      <c r="C93" s="172" t="s">
        <v>659</v>
      </c>
      <c r="D93" s="236">
        <v>1</v>
      </c>
      <c r="E93" s="224">
        <v>16089.771595476173</v>
      </c>
      <c r="F93" s="224">
        <f t="shared" si="1"/>
        <v>16089.771595476173</v>
      </c>
    </row>
    <row r="94" spans="1:6" ht="54.6" customHeight="1" x14ac:dyDescent="0.2">
      <c r="A94" s="176">
        <v>2.0539999999999941</v>
      </c>
      <c r="B94" s="173" t="s">
        <v>151</v>
      </c>
      <c r="C94" s="172" t="s">
        <v>659</v>
      </c>
      <c r="D94" s="236">
        <v>1</v>
      </c>
      <c r="E94" s="224">
        <v>23008.333227371717</v>
      </c>
      <c r="F94" s="224">
        <f t="shared" si="1"/>
        <v>23008.333227371717</v>
      </c>
    </row>
    <row r="95" spans="1:6" ht="54.6" customHeight="1" x14ac:dyDescent="0.2">
      <c r="A95" s="176">
        <v>2.0549999999999939</v>
      </c>
      <c r="B95" s="173" t="s">
        <v>152</v>
      </c>
      <c r="C95" s="172" t="s">
        <v>659</v>
      </c>
      <c r="D95" s="236">
        <v>1</v>
      </c>
      <c r="E95" s="224">
        <v>12782.407348539844</v>
      </c>
      <c r="F95" s="224">
        <f t="shared" si="1"/>
        <v>12782.407348539844</v>
      </c>
    </row>
    <row r="96" spans="1:6" s="104" customFormat="1" ht="15.75" x14ac:dyDescent="0.25">
      <c r="A96" s="209"/>
      <c r="B96" s="216" t="s">
        <v>657</v>
      </c>
      <c r="C96" s="217"/>
      <c r="D96" s="237"/>
      <c r="E96" s="178"/>
      <c r="F96" s="223"/>
    </row>
    <row r="97" spans="1:6" ht="117.6" customHeight="1" x14ac:dyDescent="0.2">
      <c r="A97" s="209">
        <v>2.0559999999999938</v>
      </c>
      <c r="B97" s="212" t="s">
        <v>658</v>
      </c>
      <c r="C97" s="219" t="s">
        <v>659</v>
      </c>
      <c r="D97" s="237">
        <v>1</v>
      </c>
      <c r="E97" s="224">
        <v>16730.89967086367</v>
      </c>
      <c r="F97" s="224">
        <f>$D97*E97</f>
        <v>16730.89967086367</v>
      </c>
    </row>
    <row r="98" spans="1:6" ht="15.75" x14ac:dyDescent="0.2">
      <c r="A98" s="176"/>
      <c r="B98" s="170" t="s">
        <v>153</v>
      </c>
      <c r="C98" s="172"/>
      <c r="D98" s="236"/>
      <c r="E98" s="223"/>
      <c r="F98" s="223"/>
    </row>
    <row r="99" spans="1:6" ht="90" x14ac:dyDescent="0.2">
      <c r="A99" s="176"/>
      <c r="B99" s="173" t="s">
        <v>154</v>
      </c>
      <c r="C99" s="172"/>
      <c r="D99" s="236"/>
      <c r="E99" s="223"/>
      <c r="F99" s="223"/>
    </row>
    <row r="100" spans="1:6" x14ac:dyDescent="0.2">
      <c r="A100" s="176">
        <v>2.0569999999999937</v>
      </c>
      <c r="B100" s="173" t="s">
        <v>397</v>
      </c>
      <c r="C100" s="172" t="s">
        <v>659</v>
      </c>
      <c r="D100" s="236">
        <v>1</v>
      </c>
      <c r="E100" s="224">
        <v>1140740.3455439419</v>
      </c>
      <c r="F100" s="224">
        <f>$D100*E100</f>
        <v>1140740.3455439419</v>
      </c>
    </row>
    <row r="101" spans="1:6" s="104" customFormat="1" ht="15.75" x14ac:dyDescent="0.25">
      <c r="A101" s="176">
        <v>2.0579999999999936</v>
      </c>
      <c r="B101" s="173" t="s">
        <v>398</v>
      </c>
      <c r="C101" s="172" t="s">
        <v>659</v>
      </c>
      <c r="D101" s="236">
        <v>1</v>
      </c>
      <c r="E101" s="224">
        <v>582687.87938215258</v>
      </c>
      <c r="F101" s="224">
        <f>$D101*E101</f>
        <v>582687.87938215258</v>
      </c>
    </row>
    <row r="102" spans="1:6" x14ac:dyDescent="0.2">
      <c r="A102" s="176">
        <v>2.0589999999999935</v>
      </c>
      <c r="B102" s="173" t="s">
        <v>399</v>
      </c>
      <c r="C102" s="172" t="s">
        <v>659</v>
      </c>
      <c r="D102" s="236">
        <v>1</v>
      </c>
      <c r="E102" s="224">
        <v>460466.98419652635</v>
      </c>
      <c r="F102" s="224">
        <f>$D102*E102</f>
        <v>460466.98419652635</v>
      </c>
    </row>
    <row r="103" spans="1:6" ht="15.75" x14ac:dyDescent="0.2">
      <c r="A103" s="176"/>
      <c r="B103" s="170" t="s">
        <v>156</v>
      </c>
      <c r="C103" s="172"/>
      <c r="D103" s="236"/>
      <c r="E103" s="223"/>
      <c r="F103" s="223"/>
    </row>
    <row r="104" spans="1:6" s="104" customFormat="1" ht="15.75" x14ac:dyDescent="0.25">
      <c r="A104" s="176">
        <v>2.0599999999999934</v>
      </c>
      <c r="B104" s="173" t="s">
        <v>335</v>
      </c>
      <c r="C104" s="172" t="s">
        <v>659</v>
      </c>
      <c r="D104" s="236">
        <v>1</v>
      </c>
      <c r="E104" s="224">
        <v>54208.114933598292</v>
      </c>
      <c r="F104" s="224">
        <f>$D104*E104</f>
        <v>54208.114933598292</v>
      </c>
    </row>
    <row r="105" spans="1:6" s="104" customFormat="1" ht="15.75" x14ac:dyDescent="0.25">
      <c r="A105" s="176">
        <v>2.0609999999999933</v>
      </c>
      <c r="B105" s="173" t="s">
        <v>336</v>
      </c>
      <c r="C105" s="172" t="s">
        <v>659</v>
      </c>
      <c r="D105" s="236">
        <v>1</v>
      </c>
      <c r="E105" s="224">
        <v>10038.5398025182</v>
      </c>
      <c r="F105" s="224">
        <f>$D105*E105</f>
        <v>10038.5398025182</v>
      </c>
    </row>
    <row r="106" spans="1:6" ht="31.5" x14ac:dyDescent="0.2">
      <c r="A106" s="179"/>
      <c r="B106" s="170" t="s">
        <v>159</v>
      </c>
      <c r="C106" s="169"/>
      <c r="D106" s="235"/>
      <c r="E106" s="225"/>
      <c r="F106" s="225"/>
    </row>
    <row r="107" spans="1:6" ht="15.75" x14ac:dyDescent="0.2">
      <c r="A107" s="179"/>
      <c r="B107" s="173" t="s">
        <v>160</v>
      </c>
      <c r="C107" s="169"/>
      <c r="D107" s="235"/>
      <c r="E107" s="225"/>
      <c r="F107" s="225"/>
    </row>
    <row r="108" spans="1:6" x14ac:dyDescent="0.2">
      <c r="A108" s="176">
        <v>2.0619999999999932</v>
      </c>
      <c r="B108" s="173" t="s">
        <v>400</v>
      </c>
      <c r="C108" s="172" t="s">
        <v>659</v>
      </c>
      <c r="D108" s="236">
        <v>1</v>
      </c>
      <c r="E108" s="224">
        <v>75289.048518886499</v>
      </c>
      <c r="F108" s="224">
        <f t="shared" ref="F108:F117" si="2">$D108*E108</f>
        <v>75289.048518886499</v>
      </c>
    </row>
    <row r="109" spans="1:6" x14ac:dyDescent="0.2">
      <c r="A109" s="176">
        <v>2.0629999999999931</v>
      </c>
      <c r="B109" s="173" t="s">
        <v>401</v>
      </c>
      <c r="C109" s="172" t="s">
        <v>659</v>
      </c>
      <c r="D109" s="236">
        <v>1</v>
      </c>
      <c r="E109" s="224">
        <v>26769.439473381874</v>
      </c>
      <c r="F109" s="224">
        <f t="shared" si="2"/>
        <v>26769.439473381874</v>
      </c>
    </row>
    <row r="110" spans="1:6" ht="30" x14ac:dyDescent="0.2">
      <c r="A110" s="176">
        <v>2.063999999999993</v>
      </c>
      <c r="B110" s="173" t="s">
        <v>164</v>
      </c>
      <c r="C110" s="172" t="s">
        <v>659</v>
      </c>
      <c r="D110" s="236">
        <v>1</v>
      </c>
      <c r="E110" s="224">
        <v>34047.380830207563</v>
      </c>
      <c r="F110" s="224">
        <f t="shared" si="2"/>
        <v>34047.380830207563</v>
      </c>
    </row>
    <row r="111" spans="1:6" ht="30" x14ac:dyDescent="0.2">
      <c r="A111" s="176">
        <v>2.0649999999999928</v>
      </c>
      <c r="B111" s="173" t="s">
        <v>167</v>
      </c>
      <c r="C111" s="172" t="s">
        <v>659</v>
      </c>
      <c r="D111" s="236">
        <v>1</v>
      </c>
      <c r="E111" s="224">
        <v>44219.767830092671</v>
      </c>
      <c r="F111" s="224">
        <f t="shared" si="2"/>
        <v>44219.767830092671</v>
      </c>
    </row>
    <row r="112" spans="1:6" ht="30" x14ac:dyDescent="0.2">
      <c r="A112" s="176">
        <v>2.0659999999999927</v>
      </c>
      <c r="B112" s="173" t="s">
        <v>402</v>
      </c>
      <c r="C112" s="172" t="s">
        <v>659</v>
      </c>
      <c r="D112" s="236">
        <v>1</v>
      </c>
      <c r="E112" s="224">
        <v>10038.5398025182</v>
      </c>
      <c r="F112" s="224">
        <f t="shared" si="2"/>
        <v>10038.5398025182</v>
      </c>
    </row>
    <row r="113" spans="1:62" x14ac:dyDescent="0.2">
      <c r="A113" s="176">
        <v>2.0669999999999926</v>
      </c>
      <c r="B113" s="173" t="s">
        <v>169</v>
      </c>
      <c r="C113" s="172" t="s">
        <v>659</v>
      </c>
      <c r="D113" s="236">
        <v>1</v>
      </c>
      <c r="E113" s="224">
        <v>16730.89967086367</v>
      </c>
      <c r="F113" s="224">
        <f t="shared" si="2"/>
        <v>16730.89967086367</v>
      </c>
    </row>
    <row r="114" spans="1:62" ht="30" x14ac:dyDescent="0.2">
      <c r="A114" s="176">
        <v>2.0679999999999925</v>
      </c>
      <c r="B114" s="173" t="s">
        <v>342</v>
      </c>
      <c r="C114" s="172" t="s">
        <v>659</v>
      </c>
      <c r="D114" s="236">
        <v>1</v>
      </c>
      <c r="E114" s="224">
        <v>10038.5398025182</v>
      </c>
      <c r="F114" s="224">
        <f t="shared" si="2"/>
        <v>10038.5398025182</v>
      </c>
    </row>
    <row r="115" spans="1:62" ht="30" x14ac:dyDescent="0.2">
      <c r="A115" s="176">
        <v>2.0689999999999924</v>
      </c>
      <c r="B115" s="173" t="s">
        <v>170</v>
      </c>
      <c r="C115" s="172" t="s">
        <v>659</v>
      </c>
      <c r="D115" s="236">
        <v>1</v>
      </c>
      <c r="E115" s="224">
        <v>6692.3598683454684</v>
      </c>
      <c r="F115" s="224">
        <f t="shared" si="2"/>
        <v>6692.3598683454684</v>
      </c>
    </row>
    <row r="116" spans="1:62" s="104" customFormat="1" ht="15.75" x14ac:dyDescent="0.25">
      <c r="A116" s="176">
        <v>2.0699999999999923</v>
      </c>
      <c r="B116" s="173" t="s">
        <v>172</v>
      </c>
      <c r="C116" s="172" t="s">
        <v>659</v>
      </c>
      <c r="D116" s="236">
        <v>1</v>
      </c>
      <c r="E116" s="224">
        <v>25096.349506295504</v>
      </c>
      <c r="F116" s="224">
        <f t="shared" si="2"/>
        <v>25096.349506295504</v>
      </c>
    </row>
    <row r="117" spans="1:62" s="104" customFormat="1" ht="15.75" x14ac:dyDescent="0.25">
      <c r="A117" s="176">
        <v>2.0709999999999922</v>
      </c>
      <c r="B117" s="173" t="s">
        <v>174</v>
      </c>
      <c r="C117" s="172" t="s">
        <v>659</v>
      </c>
      <c r="D117" s="236">
        <v>1</v>
      </c>
      <c r="E117" s="224">
        <v>12951.684686386228</v>
      </c>
      <c r="F117" s="224">
        <f t="shared" si="2"/>
        <v>12951.684686386228</v>
      </c>
    </row>
    <row r="118" spans="1:62" ht="15.75" x14ac:dyDescent="0.2">
      <c r="A118" s="176"/>
      <c r="B118" s="170" t="s">
        <v>175</v>
      </c>
      <c r="C118" s="172"/>
      <c r="D118" s="236"/>
      <c r="E118" s="223"/>
      <c r="F118" s="223"/>
    </row>
    <row r="119" spans="1:62" s="95" customFormat="1" x14ac:dyDescent="0.2">
      <c r="A119" s="176">
        <v>2.0719999999999921</v>
      </c>
      <c r="B119" s="173" t="s">
        <v>344</v>
      </c>
      <c r="C119" s="172" t="s">
        <v>659</v>
      </c>
      <c r="D119" s="236">
        <v>1</v>
      </c>
      <c r="E119" s="224">
        <v>10943.976725882587</v>
      </c>
      <c r="F119" s="224">
        <f>$D119*E119</f>
        <v>10943.976725882587</v>
      </c>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167"/>
    </row>
    <row r="120" spans="1:62" s="95" customFormat="1" x14ac:dyDescent="0.2">
      <c r="A120" s="176">
        <v>2.072999999999992</v>
      </c>
      <c r="B120" s="173" t="s">
        <v>182</v>
      </c>
      <c r="C120" s="172" t="s">
        <v>659</v>
      </c>
      <c r="D120" s="236">
        <v>1</v>
      </c>
      <c r="E120" s="224">
        <v>6298.6916407957342</v>
      </c>
      <c r="F120" s="224">
        <f>$D120*E120</f>
        <v>6298.6916407957342</v>
      </c>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167"/>
    </row>
    <row r="121" spans="1:62" s="95" customFormat="1" x14ac:dyDescent="0.2">
      <c r="A121" s="176">
        <v>2.0739999999999919</v>
      </c>
      <c r="B121" s="173" t="s">
        <v>183</v>
      </c>
      <c r="C121" s="172" t="s">
        <v>659</v>
      </c>
      <c r="D121" s="236">
        <v>1</v>
      </c>
      <c r="E121" s="224">
        <v>2007.7079605036404</v>
      </c>
      <c r="F121" s="224">
        <f>$D121*E121</f>
        <v>2007.7079605036404</v>
      </c>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167"/>
    </row>
    <row r="122" spans="1:62" x14ac:dyDescent="0.2">
      <c r="A122" s="176">
        <v>2.0749999999999917</v>
      </c>
      <c r="B122" s="173" t="s">
        <v>184</v>
      </c>
      <c r="C122" s="172" t="s">
        <v>659</v>
      </c>
      <c r="D122" s="236">
        <v>1</v>
      </c>
      <c r="E122" s="224">
        <v>1003.8539802518202</v>
      </c>
      <c r="F122" s="224">
        <f>$D122*E122</f>
        <v>1003.8539802518202</v>
      </c>
    </row>
    <row r="123" spans="1:62" s="104" customFormat="1" ht="30" x14ac:dyDescent="0.25">
      <c r="A123" s="176">
        <v>2.0759999999999916</v>
      </c>
      <c r="B123" s="173" t="s">
        <v>185</v>
      </c>
      <c r="C123" s="172" t="s">
        <v>659</v>
      </c>
      <c r="D123" s="236">
        <v>1</v>
      </c>
      <c r="E123" s="224">
        <v>23423.259539209135</v>
      </c>
      <c r="F123" s="224">
        <f>$D123*E123</f>
        <v>23423.259539209135</v>
      </c>
    </row>
    <row r="124" spans="1:62" ht="15.75" x14ac:dyDescent="0.2">
      <c r="A124" s="176"/>
      <c r="B124" s="180" t="s">
        <v>378</v>
      </c>
      <c r="C124" s="172"/>
      <c r="D124" s="236"/>
      <c r="E124" s="223"/>
      <c r="F124" s="223"/>
    </row>
    <row r="125" spans="1:62" s="104" customFormat="1" ht="15.75" x14ac:dyDescent="0.25">
      <c r="A125" s="179"/>
      <c r="B125" s="170" t="s">
        <v>386</v>
      </c>
      <c r="C125" s="169"/>
      <c r="D125" s="235"/>
      <c r="E125" s="225"/>
      <c r="F125" s="225"/>
    </row>
    <row r="126" spans="1:62" s="95" customFormat="1" ht="63" x14ac:dyDescent="0.2">
      <c r="A126" s="179"/>
      <c r="B126" s="170" t="s">
        <v>94</v>
      </c>
      <c r="C126" s="169"/>
      <c r="D126" s="235"/>
      <c r="E126" s="225"/>
      <c r="F126" s="225"/>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0"/>
      <c r="BJ126" s="167"/>
    </row>
    <row r="127" spans="1:62" s="104" customFormat="1" ht="15.75" x14ac:dyDescent="0.25">
      <c r="A127" s="176"/>
      <c r="B127" s="170" t="s">
        <v>98</v>
      </c>
      <c r="C127" s="172"/>
      <c r="D127" s="236"/>
      <c r="E127" s="223"/>
      <c r="F127" s="223"/>
    </row>
    <row r="128" spans="1:62" s="104" customFormat="1" ht="36" customHeight="1" x14ac:dyDescent="0.25">
      <c r="A128" s="176">
        <v>2.0769999999999915</v>
      </c>
      <c r="B128" s="173" t="s">
        <v>403</v>
      </c>
      <c r="C128" s="172" t="s">
        <v>404</v>
      </c>
      <c r="D128" s="236">
        <v>400</v>
      </c>
      <c r="E128" s="224">
        <v>250.96349506295505</v>
      </c>
      <c r="F128" s="224">
        <f>$D128*E128</f>
        <v>100385.39802518202</v>
      </c>
    </row>
    <row r="129" spans="1:62" s="95" customFormat="1" ht="15.75" x14ac:dyDescent="0.2">
      <c r="A129" s="176"/>
      <c r="B129" s="170" t="s">
        <v>114</v>
      </c>
      <c r="C129" s="172"/>
      <c r="D129" s="236"/>
      <c r="E129" s="223"/>
      <c r="F129" s="223"/>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167"/>
    </row>
    <row r="130" spans="1:62" s="95" customFormat="1" ht="195.6" customHeight="1" x14ac:dyDescent="0.2">
      <c r="A130" s="176"/>
      <c r="B130" s="173" t="s">
        <v>702</v>
      </c>
      <c r="C130" s="169"/>
      <c r="D130" s="235"/>
      <c r="E130" s="225"/>
      <c r="F130" s="225"/>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167"/>
    </row>
    <row r="131" spans="1:62" s="95" customFormat="1" x14ac:dyDescent="0.2">
      <c r="A131" s="176">
        <v>2.0779999999999914</v>
      </c>
      <c r="B131" s="173" t="s">
        <v>405</v>
      </c>
      <c r="C131" s="172" t="s">
        <v>659</v>
      </c>
      <c r="D131" s="236">
        <v>1</v>
      </c>
      <c r="E131" s="224">
        <v>13384.719736690937</v>
      </c>
      <c r="F131" s="224">
        <f t="shared" ref="F131:F138" si="3">$D131*E131</f>
        <v>13384.719736690937</v>
      </c>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0"/>
      <c r="BF131" s="90"/>
      <c r="BG131" s="90"/>
      <c r="BH131" s="90"/>
      <c r="BI131" s="90"/>
      <c r="BJ131" s="167"/>
    </row>
    <row r="132" spans="1:62" s="95" customFormat="1" x14ac:dyDescent="0.2">
      <c r="A132" s="176">
        <v>2.0789999999999913</v>
      </c>
      <c r="B132" s="173" t="s">
        <v>406</v>
      </c>
      <c r="C132" s="172" t="s">
        <v>659</v>
      </c>
      <c r="D132" s="236">
        <v>1</v>
      </c>
      <c r="E132" s="224">
        <v>13384.719736690937</v>
      </c>
      <c r="F132" s="224">
        <f t="shared" si="3"/>
        <v>13384.719736690937</v>
      </c>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0"/>
      <c r="BF132" s="90"/>
      <c r="BG132" s="90"/>
      <c r="BH132" s="90"/>
      <c r="BI132" s="90"/>
      <c r="BJ132" s="167"/>
    </row>
    <row r="133" spans="1:62" s="95" customFormat="1" x14ac:dyDescent="0.2">
      <c r="A133" s="176">
        <v>2.0799999999999912</v>
      </c>
      <c r="B133" s="173" t="s">
        <v>407</v>
      </c>
      <c r="C133" s="172" t="s">
        <v>659</v>
      </c>
      <c r="D133" s="236">
        <v>1</v>
      </c>
      <c r="E133" s="224">
        <v>13384.719736690937</v>
      </c>
      <c r="F133" s="224">
        <f t="shared" si="3"/>
        <v>13384.719736690937</v>
      </c>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167"/>
    </row>
    <row r="134" spans="1:62" s="95" customFormat="1" ht="25.5" customHeight="1" x14ac:dyDescent="0.2">
      <c r="A134" s="176">
        <v>2.0809999999999911</v>
      </c>
      <c r="B134" s="173" t="s">
        <v>408</v>
      </c>
      <c r="C134" s="172" t="s">
        <v>659</v>
      </c>
      <c r="D134" s="236">
        <v>1</v>
      </c>
      <c r="E134" s="224">
        <v>13384.719736690937</v>
      </c>
      <c r="F134" s="224">
        <f t="shared" si="3"/>
        <v>13384.719736690937</v>
      </c>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0"/>
      <c r="BF134" s="90"/>
      <c r="BG134" s="90"/>
      <c r="BH134" s="90"/>
      <c r="BI134" s="90"/>
      <c r="BJ134" s="167"/>
    </row>
    <row r="135" spans="1:62" s="95" customFormat="1" x14ac:dyDescent="0.2">
      <c r="A135" s="176">
        <v>2.081999999999991</v>
      </c>
      <c r="B135" s="173" t="s">
        <v>409</v>
      </c>
      <c r="C135" s="172" t="s">
        <v>659</v>
      </c>
      <c r="D135" s="236">
        <v>1</v>
      </c>
      <c r="E135" s="224">
        <v>13384.719736690937</v>
      </c>
      <c r="F135" s="224">
        <f t="shared" si="3"/>
        <v>13384.719736690937</v>
      </c>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0"/>
      <c r="BF135" s="90"/>
      <c r="BG135" s="90"/>
      <c r="BH135" s="90"/>
      <c r="BI135" s="90"/>
      <c r="BJ135" s="167"/>
    </row>
    <row r="136" spans="1:62" s="95" customFormat="1" x14ac:dyDescent="0.2">
      <c r="A136" s="176">
        <v>2.0829999999999909</v>
      </c>
      <c r="B136" s="173" t="s">
        <v>410</v>
      </c>
      <c r="C136" s="172" t="s">
        <v>659</v>
      </c>
      <c r="D136" s="236">
        <v>1</v>
      </c>
      <c r="E136" s="224">
        <v>13384.719736690937</v>
      </c>
      <c r="F136" s="224">
        <f t="shared" si="3"/>
        <v>13384.719736690937</v>
      </c>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0"/>
      <c r="BF136" s="90"/>
      <c r="BG136" s="90"/>
      <c r="BH136" s="90"/>
      <c r="BI136" s="90"/>
      <c r="BJ136" s="167"/>
    </row>
    <row r="137" spans="1:62" s="139" customFormat="1" ht="25.5" customHeight="1" x14ac:dyDescent="0.25">
      <c r="A137" s="176">
        <v>2.0839999999999907</v>
      </c>
      <c r="B137" s="173" t="s">
        <v>411</v>
      </c>
      <c r="C137" s="172" t="s">
        <v>659</v>
      </c>
      <c r="D137" s="236">
        <v>1</v>
      </c>
      <c r="E137" s="224">
        <v>13384.719736690937</v>
      </c>
      <c r="F137" s="224">
        <f t="shared" si="3"/>
        <v>13384.719736690937</v>
      </c>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68"/>
    </row>
    <row r="138" spans="1:62" ht="30" x14ac:dyDescent="0.2">
      <c r="A138" s="176">
        <v>2.0849999999999906</v>
      </c>
      <c r="B138" s="173" t="s">
        <v>412</v>
      </c>
      <c r="C138" s="172" t="s">
        <v>659</v>
      </c>
      <c r="D138" s="236">
        <v>1</v>
      </c>
      <c r="E138" s="224">
        <v>13384.719736690937</v>
      </c>
      <c r="F138" s="224">
        <f t="shared" si="3"/>
        <v>13384.719736690937</v>
      </c>
    </row>
    <row r="139" spans="1:62" ht="15.75" x14ac:dyDescent="0.2">
      <c r="A139" s="209"/>
      <c r="B139" s="210" t="s">
        <v>676</v>
      </c>
      <c r="C139" s="211"/>
      <c r="D139" s="231"/>
      <c r="E139" s="223"/>
      <c r="F139" s="223"/>
    </row>
    <row r="140" spans="1:62" ht="75" x14ac:dyDescent="0.2">
      <c r="A140" s="209">
        <v>2.0859999999999905</v>
      </c>
      <c r="B140" s="212" t="s">
        <v>677</v>
      </c>
      <c r="C140" s="211" t="s">
        <v>659</v>
      </c>
      <c r="D140" s="231">
        <v>1</v>
      </c>
      <c r="E140" s="224">
        <v>100385.39802518202</v>
      </c>
      <c r="F140" s="224">
        <f>$D140*E140</f>
        <v>100385.39802518202</v>
      </c>
    </row>
    <row r="141" spans="1:62" ht="15.75" x14ac:dyDescent="0.25">
      <c r="A141" s="183"/>
      <c r="B141" s="171" t="s">
        <v>186</v>
      </c>
      <c r="C141" s="171"/>
      <c r="D141" s="184"/>
      <c r="E141" s="226"/>
      <c r="F141" s="225">
        <f>SUM(F8:F140)</f>
        <v>7924905.5521398904</v>
      </c>
    </row>
    <row r="142" spans="1:62" x14ac:dyDescent="0.2">
      <c r="D142" s="251"/>
      <c r="E142" s="251"/>
      <c r="F142" s="109"/>
    </row>
    <row r="143" spans="1:62" x14ac:dyDescent="0.2">
      <c r="F143" s="109"/>
    </row>
    <row r="144" spans="1:62" x14ac:dyDescent="0.2">
      <c r="F144" s="109"/>
    </row>
    <row r="145" spans="6:6" x14ac:dyDescent="0.2">
      <c r="F145" s="109"/>
    </row>
    <row r="146" spans="6:6" x14ac:dyDescent="0.2">
      <c r="F146" s="109"/>
    </row>
    <row r="147" spans="6:6" x14ac:dyDescent="0.2">
      <c r="F147" s="109"/>
    </row>
    <row r="148" spans="6:6" x14ac:dyDescent="0.2">
      <c r="F148" s="109"/>
    </row>
    <row r="149" spans="6:6" x14ac:dyDescent="0.2">
      <c r="F149" s="109"/>
    </row>
    <row r="150" spans="6:6" x14ac:dyDescent="0.2">
      <c r="F150" s="109"/>
    </row>
    <row r="151" spans="6:6" x14ac:dyDescent="0.2">
      <c r="F151" s="109"/>
    </row>
    <row r="152" spans="6:6" x14ac:dyDescent="0.2">
      <c r="F152" s="109"/>
    </row>
    <row r="153" spans="6:6" x14ac:dyDescent="0.2">
      <c r="F153" s="109"/>
    </row>
    <row r="154" spans="6:6" x14ac:dyDescent="0.2">
      <c r="F154" s="109"/>
    </row>
    <row r="155" spans="6:6" x14ac:dyDescent="0.2">
      <c r="F155" s="109"/>
    </row>
    <row r="156" spans="6:6" x14ac:dyDescent="0.2">
      <c r="F156" s="109"/>
    </row>
    <row r="157" spans="6:6" x14ac:dyDescent="0.2">
      <c r="F157" s="109"/>
    </row>
    <row r="158" spans="6:6" x14ac:dyDescent="0.2">
      <c r="F158" s="109"/>
    </row>
    <row r="159" spans="6:6" x14ac:dyDescent="0.2">
      <c r="F159" s="109"/>
    </row>
    <row r="160" spans="6:6" x14ac:dyDescent="0.2">
      <c r="F160" s="109"/>
    </row>
    <row r="161" spans="6:6" x14ac:dyDescent="0.2">
      <c r="F161" s="109"/>
    </row>
    <row r="162" spans="6:6" x14ac:dyDescent="0.2">
      <c r="F162" s="109"/>
    </row>
    <row r="163" spans="6:6" x14ac:dyDescent="0.2">
      <c r="F163" s="109"/>
    </row>
    <row r="164" spans="6:6" x14ac:dyDescent="0.2">
      <c r="F164" s="109"/>
    </row>
    <row r="165" spans="6:6" x14ac:dyDescent="0.2">
      <c r="F165" s="109"/>
    </row>
    <row r="166" spans="6:6" x14ac:dyDescent="0.2">
      <c r="F166" s="109"/>
    </row>
    <row r="167" spans="6:6" x14ac:dyDescent="0.2">
      <c r="F167" s="109"/>
    </row>
    <row r="168" spans="6:6" x14ac:dyDescent="0.2">
      <c r="F168" s="109"/>
    </row>
    <row r="169" spans="6:6" x14ac:dyDescent="0.2">
      <c r="F169" s="109"/>
    </row>
    <row r="170" spans="6:6" x14ac:dyDescent="0.2">
      <c r="F170" s="109"/>
    </row>
    <row r="171" spans="6:6" x14ac:dyDescent="0.2">
      <c r="F171" s="109"/>
    </row>
    <row r="172" spans="6:6" x14ac:dyDescent="0.2">
      <c r="F172" s="109"/>
    </row>
    <row r="173" spans="6:6" x14ac:dyDescent="0.2">
      <c r="F173" s="109"/>
    </row>
    <row r="174" spans="6:6" x14ac:dyDescent="0.2">
      <c r="F174" s="109"/>
    </row>
    <row r="175" spans="6:6" x14ac:dyDescent="0.2">
      <c r="F175" s="109"/>
    </row>
    <row r="176" spans="6:6" x14ac:dyDescent="0.2">
      <c r="F176" s="109"/>
    </row>
    <row r="177" spans="6:6" x14ac:dyDescent="0.2">
      <c r="F177" s="109"/>
    </row>
    <row r="178" spans="6:6" x14ac:dyDescent="0.2">
      <c r="F178" s="109"/>
    </row>
    <row r="179" spans="6:6" x14ac:dyDescent="0.2">
      <c r="F179" s="109"/>
    </row>
    <row r="180" spans="6:6" x14ac:dyDescent="0.2">
      <c r="F180" s="109"/>
    </row>
    <row r="181" spans="6:6" x14ac:dyDescent="0.2">
      <c r="F181" s="109"/>
    </row>
    <row r="182" spans="6:6" x14ac:dyDescent="0.2">
      <c r="F182" s="109"/>
    </row>
    <row r="183" spans="6:6" x14ac:dyDescent="0.2">
      <c r="F183" s="109"/>
    </row>
    <row r="184" spans="6:6" x14ac:dyDescent="0.2">
      <c r="F184" s="109"/>
    </row>
    <row r="185" spans="6:6" x14ac:dyDescent="0.2">
      <c r="F185" s="109"/>
    </row>
    <row r="186" spans="6:6" x14ac:dyDescent="0.2">
      <c r="F186" s="109"/>
    </row>
    <row r="187" spans="6:6" x14ac:dyDescent="0.2">
      <c r="F187" s="109"/>
    </row>
    <row r="188" spans="6:6" x14ac:dyDescent="0.2">
      <c r="F188" s="109"/>
    </row>
    <row r="189" spans="6:6" x14ac:dyDescent="0.2">
      <c r="F189" s="109"/>
    </row>
    <row r="190" spans="6:6" x14ac:dyDescent="0.2">
      <c r="F190" s="109"/>
    </row>
    <row r="191" spans="6:6" x14ac:dyDescent="0.2">
      <c r="F191" s="109"/>
    </row>
    <row r="192" spans="6:6" x14ac:dyDescent="0.2">
      <c r="F192" s="109"/>
    </row>
    <row r="193" spans="6:6" x14ac:dyDescent="0.2">
      <c r="F193" s="109"/>
    </row>
    <row r="194" spans="6:6" x14ac:dyDescent="0.2">
      <c r="F194" s="109"/>
    </row>
    <row r="195" spans="6:6" x14ac:dyDescent="0.2">
      <c r="F195" s="109"/>
    </row>
    <row r="196" spans="6:6" x14ac:dyDescent="0.2">
      <c r="F196" s="109"/>
    </row>
    <row r="197" spans="6:6" x14ac:dyDescent="0.2">
      <c r="F197" s="109"/>
    </row>
    <row r="198" spans="6:6" x14ac:dyDescent="0.2">
      <c r="F198" s="109"/>
    </row>
    <row r="199" spans="6:6" x14ac:dyDescent="0.2">
      <c r="F199" s="109"/>
    </row>
    <row r="200" spans="6:6" x14ac:dyDescent="0.2">
      <c r="F200" s="109"/>
    </row>
    <row r="201" spans="6:6" x14ac:dyDescent="0.2">
      <c r="F201" s="109"/>
    </row>
    <row r="202" spans="6:6" x14ac:dyDescent="0.2">
      <c r="F202" s="109"/>
    </row>
    <row r="203" spans="6:6" x14ac:dyDescent="0.2">
      <c r="F203" s="109"/>
    </row>
    <row r="204" spans="6:6" x14ac:dyDescent="0.2">
      <c r="F204" s="109"/>
    </row>
    <row r="205" spans="6:6" x14ac:dyDescent="0.2">
      <c r="F205" s="109"/>
    </row>
    <row r="206" spans="6:6" x14ac:dyDescent="0.2">
      <c r="F206" s="109"/>
    </row>
    <row r="207" spans="6:6" x14ac:dyDescent="0.2">
      <c r="F207" s="109"/>
    </row>
    <row r="208" spans="6:6" x14ac:dyDescent="0.2">
      <c r="F208" s="109"/>
    </row>
    <row r="209" spans="6:6" x14ac:dyDescent="0.2">
      <c r="F209" s="109"/>
    </row>
    <row r="210" spans="6:6" x14ac:dyDescent="0.2">
      <c r="F210" s="109"/>
    </row>
    <row r="211" spans="6:6" x14ac:dyDescent="0.2">
      <c r="F211" s="109"/>
    </row>
    <row r="212" spans="6:6" x14ac:dyDescent="0.2">
      <c r="F212" s="109"/>
    </row>
    <row r="213" spans="6:6" x14ac:dyDescent="0.2">
      <c r="F213" s="109"/>
    </row>
    <row r="214" spans="6:6" x14ac:dyDescent="0.2">
      <c r="F214" s="109"/>
    </row>
    <row r="215" spans="6:6" x14ac:dyDescent="0.2">
      <c r="F215" s="109"/>
    </row>
    <row r="216" spans="6:6" x14ac:dyDescent="0.2">
      <c r="F216" s="109"/>
    </row>
    <row r="217" spans="6:6" x14ac:dyDescent="0.2">
      <c r="F217" s="109"/>
    </row>
    <row r="218" spans="6:6" x14ac:dyDescent="0.2">
      <c r="F218" s="109"/>
    </row>
    <row r="219" spans="6:6" x14ac:dyDescent="0.2">
      <c r="F219" s="109"/>
    </row>
    <row r="220" spans="6:6" x14ac:dyDescent="0.2">
      <c r="F220" s="109"/>
    </row>
    <row r="221" spans="6:6" x14ac:dyDescent="0.2">
      <c r="F221" s="109"/>
    </row>
    <row r="222" spans="6:6" x14ac:dyDescent="0.2">
      <c r="F222" s="109"/>
    </row>
    <row r="223" spans="6:6" x14ac:dyDescent="0.2">
      <c r="F223" s="109"/>
    </row>
    <row r="224" spans="6:6" x14ac:dyDescent="0.2">
      <c r="F224" s="109"/>
    </row>
    <row r="225" spans="6:6" x14ac:dyDescent="0.2">
      <c r="F225" s="109"/>
    </row>
    <row r="226" spans="6:6" x14ac:dyDescent="0.2">
      <c r="F226" s="109"/>
    </row>
    <row r="227" spans="6:6" x14ac:dyDescent="0.2">
      <c r="F227" s="109"/>
    </row>
    <row r="228" spans="6:6" x14ac:dyDescent="0.2">
      <c r="F228" s="109"/>
    </row>
    <row r="229" spans="6:6" x14ac:dyDescent="0.2">
      <c r="F229" s="109"/>
    </row>
    <row r="230" spans="6:6" x14ac:dyDescent="0.2">
      <c r="F230" s="109"/>
    </row>
    <row r="231" spans="6:6" x14ac:dyDescent="0.2">
      <c r="F231" s="109"/>
    </row>
    <row r="232" spans="6:6" x14ac:dyDescent="0.2">
      <c r="F232" s="109"/>
    </row>
    <row r="233" spans="6:6" x14ac:dyDescent="0.2">
      <c r="F233" s="109"/>
    </row>
    <row r="234" spans="6:6" x14ac:dyDescent="0.2">
      <c r="F234" s="109"/>
    </row>
    <row r="235" spans="6:6" x14ac:dyDescent="0.2">
      <c r="F235" s="109"/>
    </row>
    <row r="236" spans="6:6" x14ac:dyDescent="0.2">
      <c r="F236" s="109"/>
    </row>
    <row r="237" spans="6:6" x14ac:dyDescent="0.2">
      <c r="F237" s="109"/>
    </row>
    <row r="238" spans="6:6" x14ac:dyDescent="0.2">
      <c r="F238" s="109"/>
    </row>
    <row r="239" spans="6:6" x14ac:dyDescent="0.2">
      <c r="F239" s="109"/>
    </row>
    <row r="240" spans="6:6" x14ac:dyDescent="0.2">
      <c r="F240" s="109"/>
    </row>
    <row r="241" spans="6:6" x14ac:dyDescent="0.2">
      <c r="F241" s="109"/>
    </row>
    <row r="242" spans="6:6" x14ac:dyDescent="0.2">
      <c r="F242" s="109"/>
    </row>
    <row r="243" spans="6:6" x14ac:dyDescent="0.2">
      <c r="F243" s="109"/>
    </row>
    <row r="244" spans="6:6" x14ac:dyDescent="0.2">
      <c r="F244" s="109"/>
    </row>
    <row r="245" spans="6:6" x14ac:dyDescent="0.2">
      <c r="F245" s="109"/>
    </row>
    <row r="246" spans="6:6" x14ac:dyDescent="0.2">
      <c r="F246" s="109"/>
    </row>
    <row r="247" spans="6:6" x14ac:dyDescent="0.2">
      <c r="F247" s="109"/>
    </row>
    <row r="248" spans="6:6" x14ac:dyDescent="0.2">
      <c r="F248" s="109"/>
    </row>
    <row r="249" spans="6:6" x14ac:dyDescent="0.2">
      <c r="F249" s="109"/>
    </row>
    <row r="250" spans="6:6" x14ac:dyDescent="0.2">
      <c r="F250" s="109"/>
    </row>
    <row r="251" spans="6:6" x14ac:dyDescent="0.2">
      <c r="F251" s="109"/>
    </row>
    <row r="252" spans="6:6" x14ac:dyDescent="0.2">
      <c r="F252" s="109"/>
    </row>
    <row r="253" spans="6:6" x14ac:dyDescent="0.2">
      <c r="F253" s="109"/>
    </row>
    <row r="254" spans="6:6" x14ac:dyDescent="0.2">
      <c r="F254" s="109"/>
    </row>
    <row r="255" spans="6:6" x14ac:dyDescent="0.2">
      <c r="F255" s="109"/>
    </row>
    <row r="256" spans="6:6" x14ac:dyDescent="0.2">
      <c r="F256" s="109"/>
    </row>
    <row r="257" spans="6:6" x14ac:dyDescent="0.2">
      <c r="F257" s="109"/>
    </row>
    <row r="258" spans="6:6" x14ac:dyDescent="0.2">
      <c r="F258" s="109"/>
    </row>
    <row r="259" spans="6:6" x14ac:dyDescent="0.2">
      <c r="F259" s="109"/>
    </row>
    <row r="260" spans="6:6" x14ac:dyDescent="0.2">
      <c r="F260" s="109"/>
    </row>
    <row r="261" spans="6:6" x14ac:dyDescent="0.2">
      <c r="F261" s="109"/>
    </row>
    <row r="262" spans="6:6" x14ac:dyDescent="0.2">
      <c r="F262" s="109"/>
    </row>
    <row r="263" spans="6:6" x14ac:dyDescent="0.2">
      <c r="F263" s="109"/>
    </row>
    <row r="264" spans="6:6" x14ac:dyDescent="0.2">
      <c r="F264" s="109"/>
    </row>
    <row r="265" spans="6:6" x14ac:dyDescent="0.2">
      <c r="F265" s="109"/>
    </row>
    <row r="266" spans="6:6" x14ac:dyDescent="0.2">
      <c r="F266" s="109"/>
    </row>
    <row r="267" spans="6:6" x14ac:dyDescent="0.2">
      <c r="F267" s="109"/>
    </row>
    <row r="268" spans="6:6" x14ac:dyDescent="0.2">
      <c r="F268" s="109"/>
    </row>
    <row r="269" spans="6:6" x14ac:dyDescent="0.2">
      <c r="F269" s="109"/>
    </row>
    <row r="270" spans="6:6" x14ac:dyDescent="0.2">
      <c r="F270" s="109"/>
    </row>
    <row r="271" spans="6:6" x14ac:dyDescent="0.2">
      <c r="F271" s="109"/>
    </row>
    <row r="272" spans="6:6" x14ac:dyDescent="0.2">
      <c r="F272" s="109"/>
    </row>
    <row r="273" spans="6:6" x14ac:dyDescent="0.2">
      <c r="F273" s="109"/>
    </row>
    <row r="274" spans="6:6" x14ac:dyDescent="0.2">
      <c r="F274" s="109"/>
    </row>
    <row r="275" spans="6:6" x14ac:dyDescent="0.2">
      <c r="F275" s="109"/>
    </row>
    <row r="276" spans="6:6" x14ac:dyDescent="0.2">
      <c r="F276" s="109"/>
    </row>
    <row r="277" spans="6:6" x14ac:dyDescent="0.2">
      <c r="F277" s="109"/>
    </row>
    <row r="278" spans="6:6" x14ac:dyDescent="0.2">
      <c r="F278" s="109"/>
    </row>
    <row r="279" spans="6:6" x14ac:dyDescent="0.2">
      <c r="F279" s="109"/>
    </row>
    <row r="280" spans="6:6" x14ac:dyDescent="0.2">
      <c r="F280" s="109"/>
    </row>
    <row r="281" spans="6:6" x14ac:dyDescent="0.2">
      <c r="F281" s="109"/>
    </row>
    <row r="282" spans="6:6" x14ac:dyDescent="0.2">
      <c r="F282" s="109"/>
    </row>
    <row r="283" spans="6:6" x14ac:dyDescent="0.2">
      <c r="F283" s="109"/>
    </row>
    <row r="284" spans="6:6" x14ac:dyDescent="0.2">
      <c r="F284" s="109"/>
    </row>
    <row r="285" spans="6:6" x14ac:dyDescent="0.2">
      <c r="F285" s="109"/>
    </row>
    <row r="286" spans="6:6" x14ac:dyDescent="0.2">
      <c r="F286" s="109"/>
    </row>
    <row r="287" spans="6:6" x14ac:dyDescent="0.2">
      <c r="F287" s="109"/>
    </row>
    <row r="288" spans="6:6" x14ac:dyDescent="0.2">
      <c r="F288" s="109"/>
    </row>
    <row r="289" spans="6:6" x14ac:dyDescent="0.2">
      <c r="F289" s="109"/>
    </row>
    <row r="290" spans="6:6" x14ac:dyDescent="0.2">
      <c r="F290" s="109"/>
    </row>
    <row r="291" spans="6:6" x14ac:dyDescent="0.2">
      <c r="F291" s="109"/>
    </row>
    <row r="292" spans="6:6" x14ac:dyDescent="0.2">
      <c r="F292" s="109"/>
    </row>
    <row r="293" spans="6:6" x14ac:dyDescent="0.2">
      <c r="F293" s="109"/>
    </row>
    <row r="294" spans="6:6" x14ac:dyDescent="0.2">
      <c r="F294" s="109"/>
    </row>
    <row r="295" spans="6:6" x14ac:dyDescent="0.2">
      <c r="F295" s="109"/>
    </row>
    <row r="296" spans="6:6" x14ac:dyDescent="0.2">
      <c r="F296" s="109"/>
    </row>
    <row r="297" spans="6:6" x14ac:dyDescent="0.2">
      <c r="F297" s="109"/>
    </row>
    <row r="298" spans="6:6" x14ac:dyDescent="0.2">
      <c r="F298" s="109"/>
    </row>
    <row r="299" spans="6:6" x14ac:dyDescent="0.2">
      <c r="F299" s="109"/>
    </row>
    <row r="300" spans="6:6" x14ac:dyDescent="0.2">
      <c r="F300" s="109"/>
    </row>
    <row r="301" spans="6:6" x14ac:dyDescent="0.2">
      <c r="F301" s="109"/>
    </row>
    <row r="302" spans="6:6" x14ac:dyDescent="0.2">
      <c r="F302" s="109"/>
    </row>
    <row r="303" spans="6:6" x14ac:dyDescent="0.2">
      <c r="F303" s="109"/>
    </row>
    <row r="304" spans="6:6" x14ac:dyDescent="0.2">
      <c r="F304" s="109"/>
    </row>
    <row r="305" spans="6:6" x14ac:dyDescent="0.2">
      <c r="F305" s="109"/>
    </row>
    <row r="306" spans="6:6" x14ac:dyDescent="0.2">
      <c r="F306" s="109"/>
    </row>
    <row r="307" spans="6:6" x14ac:dyDescent="0.2">
      <c r="F307" s="109"/>
    </row>
    <row r="308" spans="6:6" x14ac:dyDescent="0.2">
      <c r="F308" s="109"/>
    </row>
    <row r="309" spans="6:6" x14ac:dyDescent="0.2">
      <c r="F309" s="109"/>
    </row>
    <row r="310" spans="6:6" x14ac:dyDescent="0.2">
      <c r="F310" s="109"/>
    </row>
    <row r="311" spans="6:6" x14ac:dyDescent="0.2">
      <c r="F311" s="109"/>
    </row>
    <row r="312" spans="6:6" x14ac:dyDescent="0.2">
      <c r="F312" s="109"/>
    </row>
    <row r="313" spans="6:6" x14ac:dyDescent="0.2">
      <c r="F313" s="109"/>
    </row>
    <row r="314" spans="6:6" x14ac:dyDescent="0.2">
      <c r="F314" s="109"/>
    </row>
    <row r="315" spans="6:6" x14ac:dyDescent="0.2">
      <c r="F315" s="109"/>
    </row>
    <row r="316" spans="6:6" x14ac:dyDescent="0.2">
      <c r="F316" s="109"/>
    </row>
    <row r="317" spans="6:6" x14ac:dyDescent="0.2">
      <c r="F317" s="109"/>
    </row>
    <row r="318" spans="6:6" x14ac:dyDescent="0.2">
      <c r="F318" s="109"/>
    </row>
    <row r="319" spans="6:6" x14ac:dyDescent="0.2">
      <c r="F319" s="109"/>
    </row>
    <row r="320" spans="6:6" x14ac:dyDescent="0.2">
      <c r="F320" s="109"/>
    </row>
    <row r="321" spans="6:6" x14ac:dyDescent="0.2">
      <c r="F321" s="109"/>
    </row>
    <row r="322" spans="6:6" x14ac:dyDescent="0.2">
      <c r="F322" s="109"/>
    </row>
    <row r="323" spans="6:6" x14ac:dyDescent="0.2">
      <c r="F323" s="109"/>
    </row>
    <row r="324" spans="6:6" x14ac:dyDescent="0.2">
      <c r="F324" s="109"/>
    </row>
    <row r="325" spans="6:6" x14ac:dyDescent="0.2">
      <c r="F325" s="109"/>
    </row>
    <row r="326" spans="6:6" x14ac:dyDescent="0.2">
      <c r="F326" s="109"/>
    </row>
    <row r="327" spans="6:6" x14ac:dyDescent="0.2">
      <c r="F327" s="109"/>
    </row>
    <row r="328" spans="6:6" x14ac:dyDescent="0.2">
      <c r="F328" s="109"/>
    </row>
    <row r="329" spans="6:6" x14ac:dyDescent="0.2">
      <c r="F329" s="109"/>
    </row>
    <row r="330" spans="6:6" x14ac:dyDescent="0.2">
      <c r="F330" s="109"/>
    </row>
    <row r="331" spans="6:6" x14ac:dyDescent="0.2">
      <c r="F331" s="109"/>
    </row>
    <row r="332" spans="6:6" x14ac:dyDescent="0.2">
      <c r="F332" s="109"/>
    </row>
    <row r="333" spans="6:6" x14ac:dyDescent="0.2">
      <c r="F333" s="109"/>
    </row>
    <row r="334" spans="6:6" x14ac:dyDescent="0.2">
      <c r="F334" s="109"/>
    </row>
    <row r="335" spans="6:6" x14ac:dyDescent="0.2">
      <c r="F335" s="109"/>
    </row>
    <row r="336" spans="6:6" x14ac:dyDescent="0.2">
      <c r="F336" s="109"/>
    </row>
    <row r="337" spans="6:6" x14ac:dyDescent="0.2">
      <c r="F337" s="109"/>
    </row>
    <row r="338" spans="6:6" x14ac:dyDescent="0.2">
      <c r="F338" s="109"/>
    </row>
    <row r="339" spans="6:6" x14ac:dyDescent="0.2">
      <c r="F339" s="109"/>
    </row>
    <row r="340" spans="6:6" x14ac:dyDescent="0.2">
      <c r="F340" s="109"/>
    </row>
    <row r="341" spans="6:6" x14ac:dyDescent="0.2">
      <c r="F341" s="109"/>
    </row>
    <row r="342" spans="6:6" x14ac:dyDescent="0.2">
      <c r="F342" s="109"/>
    </row>
    <row r="343" spans="6:6" x14ac:dyDescent="0.2">
      <c r="F343" s="109"/>
    </row>
    <row r="344" spans="6:6" x14ac:dyDescent="0.2">
      <c r="F344" s="109"/>
    </row>
    <row r="345" spans="6:6" x14ac:dyDescent="0.2">
      <c r="F345" s="109"/>
    </row>
    <row r="346" spans="6:6" x14ac:dyDescent="0.2">
      <c r="F346" s="109"/>
    </row>
    <row r="347" spans="6:6" x14ac:dyDescent="0.2">
      <c r="F347" s="109"/>
    </row>
    <row r="348" spans="6:6" x14ac:dyDescent="0.2">
      <c r="F348" s="109"/>
    </row>
    <row r="349" spans="6:6" x14ac:dyDescent="0.2">
      <c r="F349" s="109"/>
    </row>
    <row r="350" spans="6:6" x14ac:dyDescent="0.2">
      <c r="F350" s="109"/>
    </row>
    <row r="351" spans="6:6" x14ac:dyDescent="0.2">
      <c r="F351" s="109"/>
    </row>
    <row r="352" spans="6:6" x14ac:dyDescent="0.2">
      <c r="F352" s="109"/>
    </row>
    <row r="353" spans="6:6" x14ac:dyDescent="0.2">
      <c r="F353" s="109"/>
    </row>
    <row r="354" spans="6:6" x14ac:dyDescent="0.2">
      <c r="F354" s="109"/>
    </row>
    <row r="355" spans="6:6" x14ac:dyDescent="0.2">
      <c r="F355" s="109"/>
    </row>
    <row r="356" spans="6:6" x14ac:dyDescent="0.2">
      <c r="F356" s="109"/>
    </row>
    <row r="357" spans="6:6" x14ac:dyDescent="0.2">
      <c r="F357" s="109"/>
    </row>
    <row r="358" spans="6:6" x14ac:dyDescent="0.2">
      <c r="F358" s="109"/>
    </row>
    <row r="359" spans="6:6" x14ac:dyDescent="0.2">
      <c r="F359" s="109"/>
    </row>
    <row r="360" spans="6:6" x14ac:dyDescent="0.2">
      <c r="F360" s="109"/>
    </row>
    <row r="361" spans="6:6" x14ac:dyDescent="0.2">
      <c r="F361" s="109"/>
    </row>
    <row r="362" spans="6:6" x14ac:dyDescent="0.2">
      <c r="F362" s="109"/>
    </row>
    <row r="363" spans="6:6" x14ac:dyDescent="0.2">
      <c r="F363" s="109"/>
    </row>
    <row r="364" spans="6:6" x14ac:dyDescent="0.2">
      <c r="F364" s="109"/>
    </row>
    <row r="365" spans="6:6" x14ac:dyDescent="0.2">
      <c r="F365" s="109"/>
    </row>
    <row r="366" spans="6:6" x14ac:dyDescent="0.2">
      <c r="F366" s="109"/>
    </row>
    <row r="367" spans="6:6" x14ac:dyDescent="0.2">
      <c r="F367" s="109"/>
    </row>
    <row r="368" spans="6:6" x14ac:dyDescent="0.2">
      <c r="F368" s="109"/>
    </row>
    <row r="369" spans="6:6" x14ac:dyDescent="0.2">
      <c r="F369" s="109"/>
    </row>
    <row r="370" spans="6:6" x14ac:dyDescent="0.2">
      <c r="F370" s="109"/>
    </row>
    <row r="371" spans="6:6" x14ac:dyDescent="0.2">
      <c r="F371" s="109"/>
    </row>
    <row r="372" spans="6:6" x14ac:dyDescent="0.2">
      <c r="F372" s="109"/>
    </row>
    <row r="373" spans="6:6" x14ac:dyDescent="0.2">
      <c r="F373" s="109"/>
    </row>
    <row r="374" spans="6:6" x14ac:dyDescent="0.2">
      <c r="F374" s="109"/>
    </row>
    <row r="375" spans="6:6" x14ac:dyDescent="0.2">
      <c r="F375" s="109"/>
    </row>
    <row r="376" spans="6:6" x14ac:dyDescent="0.2">
      <c r="F376" s="109"/>
    </row>
    <row r="377" spans="6:6" x14ac:dyDescent="0.2">
      <c r="F377" s="109"/>
    </row>
    <row r="378" spans="6:6" x14ac:dyDescent="0.2">
      <c r="F378" s="109"/>
    </row>
    <row r="379" spans="6:6" x14ac:dyDescent="0.2">
      <c r="F379" s="109"/>
    </row>
    <row r="380" spans="6:6" x14ac:dyDescent="0.2">
      <c r="F380" s="109"/>
    </row>
    <row r="381" spans="6:6" x14ac:dyDescent="0.2">
      <c r="F381" s="109"/>
    </row>
    <row r="382" spans="6:6" x14ac:dyDescent="0.2">
      <c r="F382" s="109"/>
    </row>
    <row r="383" spans="6:6" x14ac:dyDescent="0.2">
      <c r="F383" s="109"/>
    </row>
    <row r="384" spans="6:6" x14ac:dyDescent="0.2">
      <c r="F384" s="109"/>
    </row>
    <row r="385" spans="6:6" x14ac:dyDescent="0.2">
      <c r="F385" s="109"/>
    </row>
    <row r="386" spans="6:6" x14ac:dyDescent="0.2">
      <c r="F386" s="109"/>
    </row>
    <row r="387" spans="6:6" x14ac:dyDescent="0.2">
      <c r="F387" s="109"/>
    </row>
    <row r="388" spans="6:6" x14ac:dyDescent="0.2">
      <c r="F388" s="109"/>
    </row>
    <row r="389" spans="6:6" x14ac:dyDescent="0.2">
      <c r="F389" s="109"/>
    </row>
    <row r="390" spans="6:6" x14ac:dyDescent="0.2">
      <c r="F390" s="109"/>
    </row>
    <row r="391" spans="6:6" x14ac:dyDescent="0.2">
      <c r="F391" s="109"/>
    </row>
    <row r="392" spans="6:6" x14ac:dyDescent="0.2">
      <c r="F392" s="109"/>
    </row>
    <row r="393" spans="6:6" x14ac:dyDescent="0.2">
      <c r="F393" s="109"/>
    </row>
    <row r="394" spans="6:6" x14ac:dyDescent="0.2">
      <c r="F394" s="109"/>
    </row>
    <row r="395" spans="6:6" x14ac:dyDescent="0.2">
      <c r="F395" s="109"/>
    </row>
    <row r="396" spans="6:6" x14ac:dyDescent="0.2">
      <c r="F396" s="109"/>
    </row>
    <row r="397" spans="6:6" x14ac:dyDescent="0.2">
      <c r="F397" s="109"/>
    </row>
    <row r="398" spans="6:6" x14ac:dyDescent="0.2">
      <c r="F398" s="109"/>
    </row>
    <row r="399" spans="6:6" x14ac:dyDescent="0.2">
      <c r="F399" s="109"/>
    </row>
    <row r="400" spans="6:6" x14ac:dyDescent="0.2">
      <c r="F400" s="109"/>
    </row>
    <row r="401" spans="6:6" x14ac:dyDescent="0.2">
      <c r="F401" s="109"/>
    </row>
    <row r="402" spans="6:6" x14ac:dyDescent="0.2">
      <c r="F402" s="109"/>
    </row>
    <row r="403" spans="6:6" x14ac:dyDescent="0.2">
      <c r="F403" s="109"/>
    </row>
    <row r="404" spans="6:6" x14ac:dyDescent="0.2">
      <c r="F404" s="109"/>
    </row>
    <row r="405" spans="6:6" x14ac:dyDescent="0.2">
      <c r="F405" s="109"/>
    </row>
    <row r="406" spans="6:6" x14ac:dyDescent="0.2">
      <c r="F406" s="109"/>
    </row>
    <row r="407" spans="6:6" x14ac:dyDescent="0.2">
      <c r="F407" s="109"/>
    </row>
    <row r="408" spans="6:6" x14ac:dyDescent="0.2">
      <c r="F408" s="109"/>
    </row>
    <row r="409" spans="6:6" x14ac:dyDescent="0.2">
      <c r="F409" s="109"/>
    </row>
    <row r="410" spans="6:6" x14ac:dyDescent="0.2">
      <c r="F410" s="109"/>
    </row>
    <row r="411" spans="6:6" x14ac:dyDescent="0.2">
      <c r="F411" s="109"/>
    </row>
    <row r="412" spans="6:6" x14ac:dyDescent="0.2">
      <c r="F412" s="109"/>
    </row>
    <row r="413" spans="6:6" x14ac:dyDescent="0.2">
      <c r="F413" s="109"/>
    </row>
    <row r="414" spans="6:6" x14ac:dyDescent="0.2">
      <c r="F414" s="109"/>
    </row>
    <row r="415" spans="6:6" x14ac:dyDescent="0.2">
      <c r="F415" s="109"/>
    </row>
    <row r="416" spans="6:6" x14ac:dyDescent="0.2">
      <c r="F416" s="109"/>
    </row>
    <row r="417" spans="6:6" x14ac:dyDescent="0.2">
      <c r="F417" s="109"/>
    </row>
    <row r="418" spans="6:6" x14ac:dyDescent="0.2">
      <c r="F418" s="109"/>
    </row>
    <row r="419" spans="6:6" x14ac:dyDescent="0.2">
      <c r="F419" s="109"/>
    </row>
    <row r="420" spans="6:6" x14ac:dyDescent="0.2">
      <c r="F420" s="109"/>
    </row>
    <row r="421" spans="6:6" x14ac:dyDescent="0.2">
      <c r="F421" s="109"/>
    </row>
    <row r="422" spans="6:6" x14ac:dyDescent="0.2">
      <c r="F422" s="109"/>
    </row>
    <row r="423" spans="6:6" x14ac:dyDescent="0.2">
      <c r="F423" s="109"/>
    </row>
    <row r="424" spans="6:6" x14ac:dyDescent="0.2">
      <c r="F424" s="109"/>
    </row>
    <row r="425" spans="6:6" x14ac:dyDescent="0.2">
      <c r="F425" s="109"/>
    </row>
    <row r="426" spans="6:6" x14ac:dyDescent="0.2">
      <c r="F426" s="109"/>
    </row>
    <row r="427" spans="6:6" x14ac:dyDescent="0.2">
      <c r="F427" s="109"/>
    </row>
    <row r="428" spans="6:6" x14ac:dyDescent="0.2">
      <c r="F428" s="109"/>
    </row>
    <row r="429" spans="6:6" x14ac:dyDescent="0.2">
      <c r="F429" s="109"/>
    </row>
    <row r="430" spans="6:6" x14ac:dyDescent="0.2">
      <c r="F430" s="109"/>
    </row>
    <row r="431" spans="6:6" x14ac:dyDescent="0.2">
      <c r="F431" s="109"/>
    </row>
    <row r="432" spans="6:6" x14ac:dyDescent="0.2">
      <c r="F432" s="109"/>
    </row>
    <row r="433" spans="6:6" x14ac:dyDescent="0.2">
      <c r="F433" s="109"/>
    </row>
    <row r="434" spans="6:6" x14ac:dyDescent="0.2">
      <c r="F434" s="109"/>
    </row>
    <row r="435" spans="6:6" x14ac:dyDescent="0.2">
      <c r="F435" s="109"/>
    </row>
    <row r="436" spans="6:6" x14ac:dyDescent="0.2">
      <c r="F436" s="109"/>
    </row>
    <row r="437" spans="6:6" x14ac:dyDescent="0.2">
      <c r="F437" s="109"/>
    </row>
    <row r="438" spans="6:6" x14ac:dyDescent="0.2">
      <c r="F438" s="109"/>
    </row>
    <row r="439" spans="6:6" x14ac:dyDescent="0.2">
      <c r="F439" s="109"/>
    </row>
    <row r="440" spans="6:6" x14ac:dyDescent="0.2">
      <c r="F440" s="109"/>
    </row>
    <row r="441" spans="6:6" x14ac:dyDescent="0.2">
      <c r="F441" s="109"/>
    </row>
    <row r="442" spans="6:6" x14ac:dyDescent="0.2">
      <c r="F442" s="109"/>
    </row>
    <row r="443" spans="6:6" x14ac:dyDescent="0.2">
      <c r="F443" s="109"/>
    </row>
    <row r="444" spans="6:6" x14ac:dyDescent="0.2">
      <c r="F444" s="109"/>
    </row>
    <row r="445" spans="6:6" x14ac:dyDescent="0.2">
      <c r="F445" s="109"/>
    </row>
    <row r="446" spans="6:6" x14ac:dyDescent="0.2">
      <c r="F446" s="109"/>
    </row>
    <row r="447" spans="6:6" x14ac:dyDescent="0.2">
      <c r="F447" s="109"/>
    </row>
    <row r="448" spans="6:6" x14ac:dyDescent="0.2">
      <c r="F448" s="109"/>
    </row>
    <row r="449" spans="6:6" x14ac:dyDescent="0.2">
      <c r="F449" s="109"/>
    </row>
    <row r="450" spans="6:6" x14ac:dyDescent="0.2">
      <c r="F450" s="109"/>
    </row>
    <row r="451" spans="6:6" x14ac:dyDescent="0.2">
      <c r="F451" s="109"/>
    </row>
    <row r="452" spans="6:6" x14ac:dyDescent="0.2">
      <c r="F452" s="109"/>
    </row>
    <row r="453" spans="6:6" x14ac:dyDescent="0.2">
      <c r="F453" s="109"/>
    </row>
    <row r="454" spans="6:6" x14ac:dyDescent="0.2">
      <c r="F454" s="109"/>
    </row>
    <row r="455" spans="6:6" x14ac:dyDescent="0.2">
      <c r="F455" s="109"/>
    </row>
    <row r="456" spans="6:6" x14ac:dyDescent="0.2">
      <c r="F456" s="109"/>
    </row>
    <row r="457" spans="6:6" x14ac:dyDescent="0.2">
      <c r="F457" s="109"/>
    </row>
    <row r="458" spans="6:6" x14ac:dyDescent="0.2">
      <c r="F458" s="109"/>
    </row>
    <row r="459" spans="6:6" x14ac:dyDescent="0.2">
      <c r="F459" s="109"/>
    </row>
    <row r="460" spans="6:6" x14ac:dyDescent="0.2">
      <c r="F460" s="109"/>
    </row>
    <row r="461" spans="6:6" x14ac:dyDescent="0.2">
      <c r="F461" s="109"/>
    </row>
    <row r="462" spans="6:6" x14ac:dyDescent="0.2">
      <c r="F462" s="109"/>
    </row>
    <row r="463" spans="6:6" x14ac:dyDescent="0.2">
      <c r="F463" s="109"/>
    </row>
    <row r="464" spans="6:6" x14ac:dyDescent="0.2">
      <c r="F464" s="109"/>
    </row>
    <row r="465" spans="6:6" x14ac:dyDescent="0.2">
      <c r="F465" s="109"/>
    </row>
    <row r="466" spans="6:6" x14ac:dyDescent="0.2">
      <c r="F466" s="109"/>
    </row>
    <row r="467" spans="6:6" x14ac:dyDescent="0.2">
      <c r="F467" s="109"/>
    </row>
    <row r="468" spans="6:6" x14ac:dyDescent="0.2">
      <c r="F468" s="109"/>
    </row>
    <row r="469" spans="6:6" x14ac:dyDescent="0.2">
      <c r="F469" s="109"/>
    </row>
    <row r="470" spans="6:6" x14ac:dyDescent="0.2">
      <c r="F470" s="109"/>
    </row>
    <row r="471" spans="6:6" x14ac:dyDescent="0.2">
      <c r="F471" s="109"/>
    </row>
    <row r="472" spans="6:6" x14ac:dyDescent="0.2">
      <c r="F472" s="109"/>
    </row>
    <row r="473" spans="6:6" x14ac:dyDescent="0.2">
      <c r="F473" s="109"/>
    </row>
    <row r="474" spans="6:6" x14ac:dyDescent="0.2">
      <c r="F474" s="109"/>
    </row>
    <row r="475" spans="6:6" x14ac:dyDescent="0.2">
      <c r="F475" s="109"/>
    </row>
    <row r="476" spans="6:6" x14ac:dyDescent="0.2">
      <c r="F476" s="109"/>
    </row>
    <row r="477" spans="6:6" x14ac:dyDescent="0.2">
      <c r="F477" s="109"/>
    </row>
    <row r="478" spans="6:6" x14ac:dyDescent="0.2">
      <c r="F478" s="109"/>
    </row>
    <row r="479" spans="6:6" x14ac:dyDescent="0.2">
      <c r="F479" s="109"/>
    </row>
    <row r="480" spans="6:6" x14ac:dyDescent="0.2">
      <c r="F480" s="109"/>
    </row>
    <row r="481" spans="6:6" x14ac:dyDescent="0.2">
      <c r="F481" s="109"/>
    </row>
    <row r="482" spans="6:6" x14ac:dyDescent="0.2">
      <c r="F482" s="109"/>
    </row>
    <row r="483" spans="6:6" x14ac:dyDescent="0.2">
      <c r="F483" s="109"/>
    </row>
    <row r="484" spans="6:6" x14ac:dyDescent="0.2">
      <c r="F484" s="109"/>
    </row>
    <row r="485" spans="6:6" x14ac:dyDescent="0.2">
      <c r="F485" s="109"/>
    </row>
    <row r="486" spans="6:6" x14ac:dyDescent="0.2">
      <c r="F486" s="109"/>
    </row>
    <row r="487" spans="6:6" x14ac:dyDescent="0.2">
      <c r="F487" s="109"/>
    </row>
    <row r="488" spans="6:6" x14ac:dyDescent="0.2">
      <c r="F488" s="109"/>
    </row>
    <row r="489" spans="6:6" x14ac:dyDescent="0.2">
      <c r="F489" s="109"/>
    </row>
    <row r="490" spans="6:6" x14ac:dyDescent="0.2">
      <c r="F490" s="109"/>
    </row>
    <row r="491" spans="6:6" x14ac:dyDescent="0.2">
      <c r="F491" s="109"/>
    </row>
    <row r="492" spans="6:6" x14ac:dyDescent="0.2">
      <c r="F492" s="109"/>
    </row>
    <row r="493" spans="6:6" x14ac:dyDescent="0.2">
      <c r="F493" s="109"/>
    </row>
    <row r="494" spans="6:6" x14ac:dyDescent="0.2">
      <c r="F494" s="109"/>
    </row>
    <row r="495" spans="6:6" x14ac:dyDescent="0.2">
      <c r="F495" s="109"/>
    </row>
    <row r="496" spans="6:6" x14ac:dyDescent="0.2">
      <c r="F496" s="109"/>
    </row>
    <row r="497" spans="6:6" x14ac:dyDescent="0.2">
      <c r="F497" s="109"/>
    </row>
    <row r="498" spans="6:6" x14ac:dyDescent="0.2">
      <c r="F498" s="109"/>
    </row>
    <row r="499" spans="6:6" x14ac:dyDescent="0.2">
      <c r="F499" s="109"/>
    </row>
    <row r="500" spans="6:6" x14ac:dyDescent="0.2">
      <c r="F500" s="109"/>
    </row>
    <row r="501" spans="6:6" x14ac:dyDescent="0.2">
      <c r="F501" s="109"/>
    </row>
    <row r="502" spans="6:6" x14ac:dyDescent="0.2">
      <c r="F502" s="109"/>
    </row>
    <row r="503" spans="6:6" x14ac:dyDescent="0.2">
      <c r="F503" s="109"/>
    </row>
    <row r="504" spans="6:6" x14ac:dyDescent="0.2">
      <c r="F504" s="109"/>
    </row>
    <row r="505" spans="6:6" x14ac:dyDescent="0.2">
      <c r="F505" s="109"/>
    </row>
    <row r="506" spans="6:6" x14ac:dyDescent="0.2">
      <c r="F506" s="109"/>
    </row>
    <row r="507" spans="6:6" x14ac:dyDescent="0.2">
      <c r="F507" s="109"/>
    </row>
    <row r="508" spans="6:6" x14ac:dyDescent="0.2">
      <c r="F508" s="109"/>
    </row>
    <row r="509" spans="6:6" x14ac:dyDescent="0.2">
      <c r="F509" s="109"/>
    </row>
    <row r="510" spans="6:6" x14ac:dyDescent="0.2">
      <c r="F510" s="109"/>
    </row>
    <row r="511" spans="6:6" x14ac:dyDescent="0.2">
      <c r="F511" s="109"/>
    </row>
    <row r="512" spans="6:6" x14ac:dyDescent="0.2">
      <c r="F512" s="109"/>
    </row>
    <row r="513" spans="6:6" x14ac:dyDescent="0.2">
      <c r="F513" s="109"/>
    </row>
    <row r="514" spans="6:6" x14ac:dyDescent="0.2">
      <c r="F514" s="109"/>
    </row>
    <row r="515" spans="6:6" x14ac:dyDescent="0.2">
      <c r="F515" s="109"/>
    </row>
    <row r="516" spans="6:6" x14ac:dyDescent="0.2">
      <c r="F516" s="109"/>
    </row>
    <row r="517" spans="6:6" x14ac:dyDescent="0.2">
      <c r="F517" s="109"/>
    </row>
    <row r="518" spans="6:6" x14ac:dyDescent="0.2">
      <c r="F518" s="109"/>
    </row>
    <row r="519" spans="6:6" x14ac:dyDescent="0.2">
      <c r="F519" s="109"/>
    </row>
    <row r="520" spans="6:6" x14ac:dyDescent="0.2">
      <c r="F520" s="109"/>
    </row>
    <row r="521" spans="6:6" x14ac:dyDescent="0.2">
      <c r="F521" s="109"/>
    </row>
    <row r="522" spans="6:6" x14ac:dyDescent="0.2">
      <c r="F522" s="109"/>
    </row>
    <row r="523" spans="6:6" x14ac:dyDescent="0.2">
      <c r="F523" s="109"/>
    </row>
    <row r="524" spans="6:6" x14ac:dyDescent="0.2">
      <c r="F524" s="109"/>
    </row>
    <row r="525" spans="6:6" x14ac:dyDescent="0.2">
      <c r="F525" s="109"/>
    </row>
    <row r="526" spans="6:6" x14ac:dyDescent="0.2">
      <c r="F526" s="109"/>
    </row>
    <row r="527" spans="6:6" x14ac:dyDescent="0.2">
      <c r="F527" s="109"/>
    </row>
    <row r="528" spans="6:6" x14ac:dyDescent="0.2">
      <c r="F528" s="109"/>
    </row>
    <row r="529" spans="6:6" x14ac:dyDescent="0.2">
      <c r="F529" s="109"/>
    </row>
    <row r="530" spans="6:6" x14ac:dyDescent="0.2">
      <c r="F530" s="109"/>
    </row>
    <row r="531" spans="6:6" x14ac:dyDescent="0.2">
      <c r="F531" s="109"/>
    </row>
    <row r="532" spans="6:6" x14ac:dyDescent="0.2">
      <c r="F532" s="109"/>
    </row>
    <row r="533" spans="6:6" x14ac:dyDescent="0.2">
      <c r="F533" s="109"/>
    </row>
    <row r="534" spans="6:6" x14ac:dyDescent="0.2">
      <c r="F534" s="109"/>
    </row>
    <row r="535" spans="6:6" x14ac:dyDescent="0.2">
      <c r="F535" s="109"/>
    </row>
    <row r="536" spans="6:6" x14ac:dyDescent="0.2">
      <c r="F536" s="109"/>
    </row>
    <row r="537" spans="6:6" x14ac:dyDescent="0.2">
      <c r="F537" s="109"/>
    </row>
    <row r="538" spans="6:6" x14ac:dyDescent="0.2">
      <c r="F538" s="109"/>
    </row>
    <row r="539" spans="6:6" x14ac:dyDescent="0.2">
      <c r="F539" s="109"/>
    </row>
    <row r="540" spans="6:6" x14ac:dyDescent="0.2">
      <c r="F540" s="109"/>
    </row>
    <row r="541" spans="6:6" x14ac:dyDescent="0.2">
      <c r="F541" s="109"/>
    </row>
    <row r="542" spans="6:6" x14ac:dyDescent="0.2">
      <c r="F542" s="109"/>
    </row>
    <row r="543" spans="6:6" x14ac:dyDescent="0.2">
      <c r="F543" s="109"/>
    </row>
    <row r="544" spans="6:6" x14ac:dyDescent="0.2">
      <c r="F544" s="109"/>
    </row>
    <row r="545" spans="6:6" x14ac:dyDescent="0.2">
      <c r="F545" s="109"/>
    </row>
    <row r="546" spans="6:6" x14ac:dyDescent="0.2">
      <c r="F546" s="109"/>
    </row>
    <row r="547" spans="6:6" x14ac:dyDescent="0.2">
      <c r="F547" s="109"/>
    </row>
    <row r="548" spans="6:6" x14ac:dyDescent="0.2">
      <c r="F548" s="109"/>
    </row>
    <row r="549" spans="6:6" x14ac:dyDescent="0.2">
      <c r="F549" s="109"/>
    </row>
    <row r="550" spans="6:6" x14ac:dyDescent="0.2">
      <c r="F550" s="109"/>
    </row>
    <row r="551" spans="6:6" x14ac:dyDescent="0.2">
      <c r="F551" s="109"/>
    </row>
    <row r="552" spans="6:6" x14ac:dyDescent="0.2">
      <c r="F552" s="109"/>
    </row>
    <row r="553" spans="6:6" x14ac:dyDescent="0.2">
      <c r="F553" s="109"/>
    </row>
    <row r="554" spans="6:6" x14ac:dyDescent="0.2">
      <c r="F554" s="109"/>
    </row>
    <row r="555" spans="6:6" x14ac:dyDescent="0.2">
      <c r="F555" s="109"/>
    </row>
    <row r="556" spans="6:6" x14ac:dyDescent="0.2">
      <c r="F556" s="109"/>
    </row>
    <row r="557" spans="6:6" x14ac:dyDescent="0.2">
      <c r="F557" s="109"/>
    </row>
    <row r="558" spans="6:6" x14ac:dyDescent="0.2">
      <c r="F558" s="109"/>
    </row>
    <row r="559" spans="6:6" x14ac:dyDescent="0.2">
      <c r="F559" s="109"/>
    </row>
    <row r="560" spans="6:6" x14ac:dyDescent="0.2">
      <c r="F560" s="109"/>
    </row>
    <row r="561" spans="6:6" x14ac:dyDescent="0.2">
      <c r="F561" s="109"/>
    </row>
    <row r="562" spans="6:6" x14ac:dyDescent="0.2">
      <c r="F562" s="109"/>
    </row>
    <row r="563" spans="6:6" x14ac:dyDescent="0.2">
      <c r="F563" s="109"/>
    </row>
    <row r="564" spans="6:6" x14ac:dyDescent="0.2">
      <c r="F564" s="109"/>
    </row>
    <row r="565" spans="6:6" x14ac:dyDescent="0.2">
      <c r="F565" s="109"/>
    </row>
    <row r="566" spans="6:6" x14ac:dyDescent="0.2">
      <c r="F566" s="109"/>
    </row>
    <row r="567" spans="6:6" x14ac:dyDescent="0.2">
      <c r="F567" s="109"/>
    </row>
    <row r="568" spans="6:6" x14ac:dyDescent="0.2">
      <c r="F568" s="109"/>
    </row>
    <row r="569" spans="6:6" x14ac:dyDescent="0.2">
      <c r="F569" s="109"/>
    </row>
    <row r="570" spans="6:6" x14ac:dyDescent="0.2">
      <c r="F570" s="109"/>
    </row>
    <row r="571" spans="6:6" x14ac:dyDescent="0.2">
      <c r="F571" s="109"/>
    </row>
    <row r="572" spans="6:6" x14ac:dyDescent="0.2">
      <c r="F572" s="109"/>
    </row>
    <row r="573" spans="6:6" x14ac:dyDescent="0.2">
      <c r="F573" s="109"/>
    </row>
    <row r="574" spans="6:6" x14ac:dyDescent="0.2">
      <c r="F574" s="109"/>
    </row>
    <row r="575" spans="6:6" x14ac:dyDescent="0.2">
      <c r="F575" s="109"/>
    </row>
    <row r="576" spans="6:6" x14ac:dyDescent="0.2">
      <c r="F576" s="109"/>
    </row>
    <row r="577" spans="6:6" x14ac:dyDescent="0.2">
      <c r="F577" s="109"/>
    </row>
    <row r="578" spans="6:6" x14ac:dyDescent="0.2">
      <c r="F578" s="109"/>
    </row>
    <row r="579" spans="6:6" x14ac:dyDescent="0.2">
      <c r="F579" s="109"/>
    </row>
    <row r="580" spans="6:6" x14ac:dyDescent="0.2">
      <c r="F580" s="109"/>
    </row>
    <row r="581" spans="6:6" x14ac:dyDescent="0.2">
      <c r="F581" s="109"/>
    </row>
    <row r="582" spans="6:6" x14ac:dyDescent="0.2">
      <c r="F582" s="109"/>
    </row>
    <row r="583" spans="6:6" x14ac:dyDescent="0.2">
      <c r="F583" s="109"/>
    </row>
    <row r="584" spans="6:6" x14ac:dyDescent="0.2">
      <c r="F584" s="109"/>
    </row>
    <row r="585" spans="6:6" x14ac:dyDescent="0.2">
      <c r="F585" s="109"/>
    </row>
    <row r="586" spans="6:6" x14ac:dyDescent="0.2">
      <c r="F586" s="109"/>
    </row>
    <row r="587" spans="6:6" x14ac:dyDescent="0.2">
      <c r="F587" s="109"/>
    </row>
    <row r="588" spans="6:6" x14ac:dyDescent="0.2">
      <c r="F588" s="109"/>
    </row>
    <row r="589" spans="6:6" x14ac:dyDescent="0.2">
      <c r="F589" s="109"/>
    </row>
    <row r="590" spans="6:6" x14ac:dyDescent="0.2">
      <c r="F590" s="109"/>
    </row>
    <row r="591" spans="6:6" x14ac:dyDescent="0.2">
      <c r="F591" s="109"/>
    </row>
    <row r="592" spans="6:6" x14ac:dyDescent="0.2">
      <c r="F592" s="109"/>
    </row>
    <row r="593" spans="6:6" x14ac:dyDescent="0.2">
      <c r="F593" s="109"/>
    </row>
    <row r="594" spans="6:6" x14ac:dyDescent="0.2">
      <c r="F594" s="109"/>
    </row>
    <row r="595" spans="6:6" x14ac:dyDescent="0.2">
      <c r="F595" s="109"/>
    </row>
    <row r="596" spans="6:6" x14ac:dyDescent="0.2">
      <c r="F596" s="109"/>
    </row>
    <row r="597" spans="6:6" x14ac:dyDescent="0.2">
      <c r="F597" s="109"/>
    </row>
    <row r="598" spans="6:6" x14ac:dyDescent="0.2">
      <c r="F598" s="109"/>
    </row>
    <row r="599" spans="6:6" x14ac:dyDescent="0.2">
      <c r="F599" s="109"/>
    </row>
    <row r="600" spans="6:6" x14ac:dyDescent="0.2">
      <c r="F600" s="109"/>
    </row>
    <row r="601" spans="6:6" x14ac:dyDescent="0.2">
      <c r="F601" s="109"/>
    </row>
    <row r="602" spans="6:6" x14ac:dyDescent="0.2">
      <c r="F602" s="109"/>
    </row>
    <row r="603" spans="6:6" x14ac:dyDescent="0.2">
      <c r="F603" s="109"/>
    </row>
    <row r="604" spans="6:6" x14ac:dyDescent="0.2">
      <c r="F604" s="109"/>
    </row>
    <row r="605" spans="6:6" x14ac:dyDescent="0.2">
      <c r="F605" s="109"/>
    </row>
    <row r="606" spans="6:6" x14ac:dyDescent="0.2">
      <c r="F606" s="109"/>
    </row>
    <row r="607" spans="6:6" x14ac:dyDescent="0.2">
      <c r="F607" s="109"/>
    </row>
    <row r="608" spans="6:6" x14ac:dyDescent="0.2">
      <c r="F608" s="109"/>
    </row>
    <row r="609" spans="6:6" x14ac:dyDescent="0.2">
      <c r="F609" s="109"/>
    </row>
    <row r="610" spans="6:6" x14ac:dyDescent="0.2">
      <c r="F610" s="109"/>
    </row>
    <row r="611" spans="6:6" x14ac:dyDescent="0.2">
      <c r="F611" s="109"/>
    </row>
    <row r="612" spans="6:6" x14ac:dyDescent="0.2">
      <c r="F612" s="109"/>
    </row>
    <row r="613" spans="6:6" x14ac:dyDescent="0.2">
      <c r="F613" s="109"/>
    </row>
    <row r="614" spans="6:6" x14ac:dyDescent="0.2">
      <c r="F614" s="109"/>
    </row>
    <row r="615" spans="6:6" x14ac:dyDescent="0.2">
      <c r="F615" s="109"/>
    </row>
    <row r="616" spans="6:6" x14ac:dyDescent="0.2">
      <c r="F616" s="109"/>
    </row>
    <row r="617" spans="6:6" x14ac:dyDescent="0.2">
      <c r="F617" s="109"/>
    </row>
    <row r="618" spans="6:6" x14ac:dyDescent="0.2">
      <c r="F618" s="109"/>
    </row>
    <row r="619" spans="6:6" x14ac:dyDescent="0.2">
      <c r="F619" s="109"/>
    </row>
    <row r="620" spans="6:6" x14ac:dyDescent="0.2">
      <c r="F620" s="109"/>
    </row>
    <row r="621" spans="6:6" x14ac:dyDescent="0.2">
      <c r="F621" s="109"/>
    </row>
    <row r="622" spans="6:6" x14ac:dyDescent="0.2">
      <c r="F622" s="109"/>
    </row>
    <row r="623" spans="6:6" x14ac:dyDescent="0.2">
      <c r="F623" s="109"/>
    </row>
    <row r="624" spans="6:6" x14ac:dyDescent="0.2">
      <c r="F624" s="109"/>
    </row>
    <row r="625" spans="6:6" x14ac:dyDescent="0.2">
      <c r="F625" s="109"/>
    </row>
    <row r="626" spans="6:6" x14ac:dyDescent="0.2">
      <c r="F626" s="109"/>
    </row>
    <row r="627" spans="6:6" x14ac:dyDescent="0.2">
      <c r="F627" s="109"/>
    </row>
    <row r="628" spans="6:6" x14ac:dyDescent="0.2">
      <c r="F628" s="109"/>
    </row>
    <row r="629" spans="6:6" x14ac:dyDescent="0.2">
      <c r="F629" s="109"/>
    </row>
    <row r="630" spans="6:6" x14ac:dyDescent="0.2">
      <c r="F630" s="109"/>
    </row>
    <row r="631" spans="6:6" x14ac:dyDescent="0.2">
      <c r="F631" s="109"/>
    </row>
    <row r="632" spans="6:6" x14ac:dyDescent="0.2">
      <c r="F632" s="109"/>
    </row>
    <row r="633" spans="6:6" x14ac:dyDescent="0.2">
      <c r="F633" s="109"/>
    </row>
    <row r="634" spans="6:6" x14ac:dyDescent="0.2">
      <c r="F634" s="109"/>
    </row>
    <row r="635" spans="6:6" x14ac:dyDescent="0.2">
      <c r="F635" s="109"/>
    </row>
    <row r="636" spans="6:6" x14ac:dyDescent="0.2">
      <c r="F636" s="109"/>
    </row>
    <row r="637" spans="6:6" x14ac:dyDescent="0.2">
      <c r="F637" s="109"/>
    </row>
    <row r="638" spans="6:6" x14ac:dyDescent="0.2">
      <c r="F638" s="109"/>
    </row>
    <row r="639" spans="6:6" x14ac:dyDescent="0.2">
      <c r="F639" s="109"/>
    </row>
    <row r="640" spans="6:6" x14ac:dyDescent="0.2">
      <c r="F640" s="109"/>
    </row>
    <row r="641" spans="6:6" x14ac:dyDescent="0.2">
      <c r="F641" s="109"/>
    </row>
    <row r="642" spans="6:6" x14ac:dyDescent="0.2">
      <c r="F642" s="109"/>
    </row>
    <row r="643" spans="6:6" x14ac:dyDescent="0.2">
      <c r="F643" s="109"/>
    </row>
    <row r="644" spans="6:6" x14ac:dyDescent="0.2">
      <c r="F644" s="109"/>
    </row>
    <row r="645" spans="6:6" x14ac:dyDescent="0.2">
      <c r="F645" s="109"/>
    </row>
    <row r="646" spans="6:6" x14ac:dyDescent="0.2">
      <c r="F646" s="109"/>
    </row>
    <row r="647" spans="6:6" x14ac:dyDescent="0.2">
      <c r="F647" s="109"/>
    </row>
    <row r="648" spans="6:6" x14ac:dyDescent="0.2">
      <c r="F648" s="109"/>
    </row>
    <row r="649" spans="6:6" x14ac:dyDescent="0.2">
      <c r="F649" s="109"/>
    </row>
    <row r="650" spans="6:6" x14ac:dyDescent="0.2">
      <c r="F650" s="109"/>
    </row>
    <row r="651" spans="6:6" x14ac:dyDescent="0.2">
      <c r="F651" s="109"/>
    </row>
    <row r="652" spans="6:6" x14ac:dyDescent="0.2">
      <c r="F652" s="109"/>
    </row>
    <row r="653" spans="6:6" x14ac:dyDescent="0.2">
      <c r="F653" s="109"/>
    </row>
    <row r="654" spans="6:6" x14ac:dyDescent="0.2">
      <c r="F654" s="109"/>
    </row>
    <row r="655" spans="6:6" x14ac:dyDescent="0.2">
      <c r="F655" s="109"/>
    </row>
    <row r="656" spans="6:6" x14ac:dyDescent="0.2">
      <c r="F656" s="109"/>
    </row>
    <row r="657" spans="6:6" x14ac:dyDescent="0.2">
      <c r="F657" s="109"/>
    </row>
    <row r="658" spans="6:6" x14ac:dyDescent="0.2">
      <c r="F658" s="109"/>
    </row>
    <row r="659" spans="6:6" x14ac:dyDescent="0.2">
      <c r="F659" s="109"/>
    </row>
    <row r="660" spans="6:6" x14ac:dyDescent="0.2">
      <c r="F660" s="109"/>
    </row>
    <row r="661" spans="6:6" x14ac:dyDescent="0.2">
      <c r="F661" s="109"/>
    </row>
    <row r="662" spans="6:6" x14ac:dyDescent="0.2">
      <c r="F662" s="109"/>
    </row>
    <row r="663" spans="6:6" x14ac:dyDescent="0.2">
      <c r="F663" s="109"/>
    </row>
    <row r="664" spans="6:6" x14ac:dyDescent="0.2">
      <c r="F664" s="109"/>
    </row>
    <row r="665" spans="6:6" x14ac:dyDescent="0.2">
      <c r="F665" s="109"/>
    </row>
    <row r="666" spans="6:6" x14ac:dyDescent="0.2">
      <c r="F666" s="109"/>
    </row>
    <row r="667" spans="6:6" x14ac:dyDescent="0.2">
      <c r="F667" s="109"/>
    </row>
    <row r="668" spans="6:6" x14ac:dyDescent="0.2">
      <c r="F668" s="109"/>
    </row>
    <row r="669" spans="6:6" x14ac:dyDescent="0.2">
      <c r="F669" s="109"/>
    </row>
    <row r="670" spans="6:6" x14ac:dyDescent="0.2">
      <c r="F670" s="109"/>
    </row>
    <row r="671" spans="6:6" x14ac:dyDescent="0.2">
      <c r="F671" s="109"/>
    </row>
    <row r="672" spans="6:6" x14ac:dyDescent="0.2">
      <c r="F672" s="109"/>
    </row>
    <row r="673" spans="6:6" x14ac:dyDescent="0.2">
      <c r="F673" s="109"/>
    </row>
    <row r="674" spans="6:6" x14ac:dyDescent="0.2">
      <c r="F674" s="109"/>
    </row>
    <row r="675" spans="6:6" x14ac:dyDescent="0.2">
      <c r="F675" s="109"/>
    </row>
    <row r="676" spans="6:6" x14ac:dyDescent="0.2">
      <c r="F676" s="109"/>
    </row>
    <row r="677" spans="6:6" x14ac:dyDescent="0.2">
      <c r="F677" s="109"/>
    </row>
    <row r="678" spans="6:6" x14ac:dyDescent="0.2">
      <c r="F678" s="109"/>
    </row>
    <row r="679" spans="6:6" x14ac:dyDescent="0.2">
      <c r="F679" s="109"/>
    </row>
    <row r="680" spans="6:6" x14ac:dyDescent="0.2">
      <c r="F680" s="109"/>
    </row>
    <row r="681" spans="6:6" x14ac:dyDescent="0.2">
      <c r="F681" s="109"/>
    </row>
    <row r="682" spans="6:6" x14ac:dyDescent="0.2">
      <c r="F682" s="109"/>
    </row>
    <row r="683" spans="6:6" x14ac:dyDescent="0.2">
      <c r="F683" s="109"/>
    </row>
    <row r="684" spans="6:6" x14ac:dyDescent="0.2">
      <c r="F684" s="109"/>
    </row>
    <row r="685" spans="6:6" x14ac:dyDescent="0.2">
      <c r="F685" s="109"/>
    </row>
    <row r="686" spans="6:6" x14ac:dyDescent="0.2">
      <c r="F686" s="109"/>
    </row>
    <row r="687" spans="6:6" x14ac:dyDescent="0.2">
      <c r="F687" s="109"/>
    </row>
    <row r="688" spans="6:6" x14ac:dyDescent="0.2">
      <c r="F688" s="109"/>
    </row>
    <row r="689" spans="6:6" x14ac:dyDescent="0.2">
      <c r="F689" s="109"/>
    </row>
    <row r="690" spans="6:6" x14ac:dyDescent="0.2">
      <c r="F690" s="109"/>
    </row>
    <row r="691" spans="6:6" x14ac:dyDescent="0.2">
      <c r="F691" s="109"/>
    </row>
    <row r="692" spans="6:6" x14ac:dyDescent="0.2">
      <c r="F692" s="109"/>
    </row>
    <row r="693" spans="6:6" x14ac:dyDescent="0.2">
      <c r="F693" s="109"/>
    </row>
    <row r="694" spans="6:6" x14ac:dyDescent="0.2">
      <c r="F694" s="109"/>
    </row>
  </sheetData>
  <sheetProtection formatCells="0" formatColumns="0" formatRows="0" insertColumns="0" insertRows="0" insertHyperlinks="0" deleteColumns="0" deleteRows="0" sort="0" autoFilter="0" pivotTables="0"/>
  <protectedRanges>
    <protectedRange sqref="F16" name="Range1_3_5_1_1"/>
    <protectedRange sqref="F16" name="Range2_2_5_1_1"/>
    <protectedRange sqref="E74" name="Range1_3_1_1"/>
    <protectedRange sqref="E77" name="Range1_2_1_1"/>
    <protectedRange sqref="E80" name="Range1_5_2"/>
    <protectedRange sqref="F141" name="Range1_1_1"/>
  </protectedRanges>
  <autoFilter ref="A6:BJ141" xr:uid="{E49450B7-D849-4EBD-9575-A52FBDD122F5}"/>
  <pageMargins left="0.47244094488188981" right="0.47244094488188981" top="0.74803149606299213" bottom="0.74803149606299213" header="0.31496062992125984" footer="0.31496062992125984"/>
  <pageSetup paperSize="9" scale="93" fitToHeight="0" orientation="landscape" r:id="rId1"/>
  <headerFooter>
    <oddFooter>&amp;C&amp;"Arial,Bold"&amp;16&amp;P/&amp;N</oddFooter>
  </headerFooter>
  <rowBreaks count="13" manualBreakCount="13">
    <brk id="25" max="5" man="1"/>
    <brk id="36" max="5" man="1"/>
    <brk id="43" max="5" man="1"/>
    <brk id="55" max="5" man="1"/>
    <brk id="63" max="5" man="1"/>
    <brk id="76" max="5" man="1"/>
    <brk id="84" max="5" man="1"/>
    <brk id="89" max="5" man="1"/>
    <brk id="95" max="5" man="1"/>
    <brk id="102" max="5" man="1"/>
    <brk id="114" max="5" man="1"/>
    <brk id="128" max="5" man="1"/>
    <brk id="133" max="5"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82331-64E0-41D4-A432-909C38D53A55}">
  <dimension ref="A1:F695"/>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88"/>
    <col min="2" max="2" width="75.28515625" style="137" customWidth="1"/>
    <col min="3" max="3" width="12.140625" style="86" customWidth="1"/>
    <col min="4" max="4" width="14.28515625" style="88" customWidth="1"/>
    <col min="5" max="5" width="16.28515625" style="114" customWidth="1"/>
    <col min="6" max="6" width="19.5703125" style="114" customWidth="1"/>
    <col min="7" max="16384" width="9.140625" style="90"/>
  </cols>
  <sheetData>
    <row r="1" spans="1:6" x14ac:dyDescent="0.2">
      <c r="A1" s="86"/>
      <c r="B1" s="87"/>
      <c r="E1" s="90"/>
      <c r="F1" s="90"/>
    </row>
    <row r="2" spans="1:6" x14ac:dyDescent="0.2">
      <c r="A2" s="86"/>
      <c r="B2" s="87"/>
      <c r="E2" s="90"/>
      <c r="F2" s="90"/>
    </row>
    <row r="3" spans="1:6" ht="12" customHeight="1" thickBot="1" x14ac:dyDescent="0.25">
      <c r="A3" s="86"/>
      <c r="B3" s="273"/>
      <c r="C3" s="275"/>
      <c r="E3" s="90"/>
      <c r="F3" s="90"/>
    </row>
    <row r="4" spans="1:6" ht="33.950000000000003" customHeight="1" x14ac:dyDescent="0.2">
      <c r="A4" s="86"/>
      <c r="B4" s="87"/>
      <c r="E4" s="90"/>
      <c r="F4" s="90"/>
    </row>
    <row r="5" spans="1:6" s="95" customFormat="1" ht="15.75" x14ac:dyDescent="0.2">
      <c r="A5" s="91"/>
      <c r="B5" s="92" t="s">
        <v>187</v>
      </c>
      <c r="C5" s="91"/>
      <c r="D5" s="93"/>
    </row>
    <row r="6" spans="1:6" s="100" customFormat="1" ht="47.25" x14ac:dyDescent="0.2">
      <c r="A6" s="96" t="s">
        <v>14</v>
      </c>
      <c r="B6" s="97" t="s">
        <v>0</v>
      </c>
      <c r="C6" s="98" t="s">
        <v>15</v>
      </c>
      <c r="D6" s="98" t="s">
        <v>16</v>
      </c>
      <c r="E6" s="98" t="s">
        <v>17</v>
      </c>
      <c r="F6" s="98" t="s">
        <v>320</v>
      </c>
    </row>
    <row r="7" spans="1:6" s="104" customFormat="1" ht="15.75" x14ac:dyDescent="0.25">
      <c r="A7" s="169"/>
      <c r="B7" s="170" t="s">
        <v>188</v>
      </c>
      <c r="C7" s="171"/>
      <c r="D7" s="169"/>
      <c r="E7" s="169"/>
      <c r="F7" s="203"/>
    </row>
    <row r="8" spans="1:6" s="104" customFormat="1" ht="15.75" x14ac:dyDescent="0.25">
      <c r="A8" s="169"/>
      <c r="B8" s="170" t="s">
        <v>189</v>
      </c>
      <c r="C8" s="171"/>
      <c r="D8" s="169"/>
      <c r="E8" s="106"/>
      <c r="F8" s="106"/>
    </row>
    <row r="9" spans="1:6" s="104" customFormat="1" ht="15.75" x14ac:dyDescent="0.25">
      <c r="A9" s="172">
        <v>3.0009999999999999</v>
      </c>
      <c r="B9" s="173" t="s">
        <v>190</v>
      </c>
      <c r="C9" s="174" t="s">
        <v>659</v>
      </c>
      <c r="D9" s="172">
        <v>1</v>
      </c>
      <c r="E9" s="223">
        <v>52583.611499156112</v>
      </c>
      <c r="F9" s="223">
        <f>$D9*E9</f>
        <v>52583.611499156112</v>
      </c>
    </row>
    <row r="10" spans="1:6" s="104" customFormat="1" ht="15.75" x14ac:dyDescent="0.25">
      <c r="A10" s="172">
        <v>3.0019999999999998</v>
      </c>
      <c r="B10" s="173" t="s">
        <v>191</v>
      </c>
      <c r="C10" s="174" t="s">
        <v>659</v>
      </c>
      <c r="D10" s="172">
        <v>1</v>
      </c>
      <c r="E10" s="223">
        <v>31550.166899493666</v>
      </c>
      <c r="F10" s="223">
        <f>$D10*E10</f>
        <v>31550.166899493666</v>
      </c>
    </row>
    <row r="11" spans="1:6" s="104" customFormat="1" ht="15.75" x14ac:dyDescent="0.25">
      <c r="A11" s="172"/>
      <c r="B11" s="170" t="s">
        <v>192</v>
      </c>
      <c r="C11" s="174"/>
      <c r="D11" s="172"/>
      <c r="E11" s="223"/>
      <c r="F11" s="223"/>
    </row>
    <row r="12" spans="1:6" s="104" customFormat="1" ht="15.75" x14ac:dyDescent="0.25">
      <c r="A12" s="172">
        <v>3.0029999999999997</v>
      </c>
      <c r="B12" s="173" t="s">
        <v>193</v>
      </c>
      <c r="C12" s="174" t="s">
        <v>659</v>
      </c>
      <c r="D12" s="172">
        <v>1</v>
      </c>
      <c r="E12" s="223">
        <v>9841.7056887433337</v>
      </c>
      <c r="F12" s="223">
        <f t="shared" ref="F12:F13" si="0">$D12*E12</f>
        <v>9841.7056887433337</v>
      </c>
    </row>
    <row r="13" spans="1:6" s="104" customFormat="1" ht="15.75" x14ac:dyDescent="0.25">
      <c r="A13" s="172">
        <v>3.0039999999999996</v>
      </c>
      <c r="B13" s="173" t="s">
        <v>194</v>
      </c>
      <c r="C13" s="174" t="s">
        <v>659</v>
      </c>
      <c r="D13" s="172">
        <v>1</v>
      </c>
      <c r="E13" s="223">
        <v>2206.4710485935007</v>
      </c>
      <c r="F13" s="223">
        <f t="shared" si="0"/>
        <v>2206.4710485935007</v>
      </c>
    </row>
    <row r="14" spans="1:6" s="104" customFormat="1" ht="15.75" x14ac:dyDescent="0.25">
      <c r="A14" s="172"/>
      <c r="B14" s="170" t="s">
        <v>413</v>
      </c>
      <c r="C14" s="174"/>
      <c r="D14" s="172"/>
      <c r="E14" s="223"/>
      <c r="F14" s="223"/>
    </row>
    <row r="15" spans="1:6" s="104" customFormat="1" ht="15.75" x14ac:dyDescent="0.25">
      <c r="A15" s="172">
        <v>3.0049999999999994</v>
      </c>
      <c r="B15" s="173" t="s">
        <v>414</v>
      </c>
      <c r="C15" s="174" t="s">
        <v>659</v>
      </c>
      <c r="D15" s="172">
        <v>1</v>
      </c>
      <c r="E15" s="223">
        <v>20507.933733360485</v>
      </c>
      <c r="F15" s="223">
        <f t="shared" ref="F15:F16" si="1">$D15*E15</f>
        <v>20507.933733360485</v>
      </c>
    </row>
    <row r="16" spans="1:6" s="104" customFormat="1" ht="31.5" customHeight="1" x14ac:dyDescent="0.25">
      <c r="A16" s="172">
        <v>3.0059999999999993</v>
      </c>
      <c r="B16" s="173" t="s">
        <v>415</v>
      </c>
      <c r="C16" s="174" t="s">
        <v>659</v>
      </c>
      <c r="D16" s="172">
        <v>1</v>
      </c>
      <c r="E16" s="223">
        <v>12304.76024001629</v>
      </c>
      <c r="F16" s="223">
        <f t="shared" si="1"/>
        <v>12304.76024001629</v>
      </c>
    </row>
    <row r="17" spans="1:6" s="104" customFormat="1" ht="15.75" x14ac:dyDescent="0.25">
      <c r="A17" s="172"/>
      <c r="B17" s="170" t="s">
        <v>416</v>
      </c>
      <c r="C17" s="174"/>
      <c r="D17" s="172"/>
      <c r="E17" s="223"/>
      <c r="F17" s="223"/>
    </row>
    <row r="18" spans="1:6" s="104" customFormat="1" ht="15.75" x14ac:dyDescent="0.25">
      <c r="A18" s="172">
        <v>3.0069999999999992</v>
      </c>
      <c r="B18" s="173" t="s">
        <v>417</v>
      </c>
      <c r="C18" s="174" t="s">
        <v>659</v>
      </c>
      <c r="D18" s="172">
        <v>1</v>
      </c>
      <c r="E18" s="223">
        <v>8365.4498354318348</v>
      </c>
      <c r="F18" s="223">
        <f t="shared" ref="F18:F19" si="2">$D18*E18</f>
        <v>8365.4498354318348</v>
      </c>
    </row>
    <row r="19" spans="1:6" s="104" customFormat="1" ht="15.75" x14ac:dyDescent="0.25">
      <c r="A19" s="172">
        <v>3.0079999999999991</v>
      </c>
      <c r="B19" s="173" t="s">
        <v>418</v>
      </c>
      <c r="C19" s="174" t="s">
        <v>659</v>
      </c>
      <c r="D19" s="172">
        <v>1</v>
      </c>
      <c r="E19" s="223">
        <v>5019.2699012591002</v>
      </c>
      <c r="F19" s="223">
        <f t="shared" si="2"/>
        <v>5019.2699012591002</v>
      </c>
    </row>
    <row r="20" spans="1:6" s="104" customFormat="1" ht="15.75" x14ac:dyDescent="0.25">
      <c r="A20" s="169"/>
      <c r="B20" s="170" t="s">
        <v>195</v>
      </c>
      <c r="C20" s="171"/>
      <c r="D20" s="169"/>
      <c r="E20" s="223"/>
      <c r="F20" s="225"/>
    </row>
    <row r="21" spans="1:6" s="104" customFormat="1" ht="15.75" x14ac:dyDescent="0.25">
      <c r="A21" s="172">
        <v>3.008999999999999</v>
      </c>
      <c r="B21" s="173" t="s">
        <v>196</v>
      </c>
      <c r="C21" s="174" t="s">
        <v>659</v>
      </c>
      <c r="D21" s="172">
        <v>1</v>
      </c>
      <c r="E21" s="223">
        <v>21331.897080351177</v>
      </c>
      <c r="F21" s="223">
        <f t="shared" ref="F21:F85" si="3">$D21*E21</f>
        <v>21331.897080351177</v>
      </c>
    </row>
    <row r="22" spans="1:6" s="104" customFormat="1" ht="15.75" x14ac:dyDescent="0.25">
      <c r="A22" s="172">
        <v>3.0099999999999989</v>
      </c>
      <c r="B22" s="173" t="s">
        <v>197</v>
      </c>
      <c r="C22" s="174" t="s">
        <v>659</v>
      </c>
      <c r="D22" s="172">
        <v>1</v>
      </c>
      <c r="E22" s="223">
        <v>12799.138248210707</v>
      </c>
      <c r="F22" s="223">
        <f t="shared" si="3"/>
        <v>12799.138248210707</v>
      </c>
    </row>
    <row r="23" spans="1:6" s="104" customFormat="1" ht="15.75" x14ac:dyDescent="0.25">
      <c r="A23" s="172"/>
      <c r="B23" s="170" t="s">
        <v>198</v>
      </c>
      <c r="C23" s="174"/>
      <c r="D23" s="172"/>
      <c r="E23" s="225"/>
      <c r="F23" s="225"/>
    </row>
    <row r="24" spans="1:6" s="104" customFormat="1" ht="45" x14ac:dyDescent="0.25">
      <c r="A24" s="172">
        <v>3.0109999999999988</v>
      </c>
      <c r="B24" s="173" t="s">
        <v>199</v>
      </c>
      <c r="C24" s="174" t="s">
        <v>659</v>
      </c>
      <c r="D24" s="172">
        <v>1</v>
      </c>
      <c r="E24" s="223">
        <v>29279.074424011422</v>
      </c>
      <c r="F24" s="223">
        <f t="shared" si="3"/>
        <v>29279.074424011422</v>
      </c>
    </row>
    <row r="25" spans="1:6" s="104" customFormat="1" ht="60" x14ac:dyDescent="0.25">
      <c r="A25" s="172">
        <v>3.0119999999999987</v>
      </c>
      <c r="B25" s="173" t="s">
        <v>200</v>
      </c>
      <c r="C25" s="174" t="s">
        <v>659</v>
      </c>
      <c r="D25" s="172">
        <v>1</v>
      </c>
      <c r="E25" s="223">
        <v>17567.444654406852</v>
      </c>
      <c r="F25" s="223">
        <f t="shared" si="3"/>
        <v>17567.444654406852</v>
      </c>
    </row>
    <row r="26" spans="1:6" s="104" customFormat="1" ht="15.75" x14ac:dyDescent="0.25">
      <c r="A26" s="169"/>
      <c r="B26" s="170" t="s">
        <v>201</v>
      </c>
      <c r="C26" s="171"/>
      <c r="D26" s="169"/>
      <c r="E26" s="225"/>
      <c r="F26" s="225"/>
    </row>
    <row r="27" spans="1:6" s="104" customFormat="1" ht="30" x14ac:dyDescent="0.25">
      <c r="A27" s="172">
        <v>3.0129999999999986</v>
      </c>
      <c r="B27" s="173" t="s">
        <v>202</v>
      </c>
      <c r="C27" s="174" t="s">
        <v>659</v>
      </c>
      <c r="D27" s="172">
        <v>1</v>
      </c>
      <c r="E27" s="223">
        <v>20913.624588579583</v>
      </c>
      <c r="F27" s="223">
        <f t="shared" si="3"/>
        <v>20913.624588579583</v>
      </c>
    </row>
    <row r="28" spans="1:6" s="104" customFormat="1" ht="60" x14ac:dyDescent="0.25">
      <c r="A28" s="172">
        <v>3.0139999999999985</v>
      </c>
      <c r="B28" s="173" t="s">
        <v>203</v>
      </c>
      <c r="C28" s="174" t="s">
        <v>659</v>
      </c>
      <c r="D28" s="172">
        <v>1</v>
      </c>
      <c r="E28" s="223">
        <v>12548.174753147752</v>
      </c>
      <c r="F28" s="223">
        <f t="shared" si="3"/>
        <v>12548.174753147752</v>
      </c>
    </row>
    <row r="29" spans="1:6" s="104" customFormat="1" ht="15.75" x14ac:dyDescent="0.25">
      <c r="A29" s="169"/>
      <c r="B29" s="170" t="s">
        <v>204</v>
      </c>
      <c r="C29" s="171"/>
      <c r="D29" s="169"/>
      <c r="E29" s="225"/>
      <c r="F29" s="225"/>
    </row>
    <row r="30" spans="1:6" s="104" customFormat="1" ht="60" x14ac:dyDescent="0.25">
      <c r="A30" s="172">
        <v>3.0149999999999983</v>
      </c>
      <c r="B30" s="173" t="s">
        <v>205</v>
      </c>
      <c r="C30" s="174" t="s">
        <v>659</v>
      </c>
      <c r="D30" s="172">
        <v>1</v>
      </c>
      <c r="E30" s="223">
        <v>88422.804760514482</v>
      </c>
      <c r="F30" s="223">
        <f t="shared" si="3"/>
        <v>88422.804760514482</v>
      </c>
    </row>
    <row r="31" spans="1:6" s="104" customFormat="1" ht="15.75" x14ac:dyDescent="0.25">
      <c r="A31" s="172"/>
      <c r="B31" s="170" t="s">
        <v>206</v>
      </c>
      <c r="C31" s="174"/>
      <c r="D31" s="172"/>
      <c r="E31" s="223"/>
      <c r="F31" s="223"/>
    </row>
    <row r="32" spans="1:6" s="104" customFormat="1" ht="45" x14ac:dyDescent="0.25">
      <c r="A32" s="172">
        <v>3.0159999999999982</v>
      </c>
      <c r="B32" s="173" t="s">
        <v>207</v>
      </c>
      <c r="C32" s="174" t="s">
        <v>659</v>
      </c>
      <c r="D32" s="172">
        <v>1</v>
      </c>
      <c r="E32" s="223">
        <v>467481.02021530835</v>
      </c>
      <c r="F32" s="223">
        <f t="shared" si="3"/>
        <v>467481.02021530835</v>
      </c>
    </row>
    <row r="33" spans="1:6" s="104" customFormat="1" ht="45" x14ac:dyDescent="0.25">
      <c r="A33" s="172">
        <v>3.0169999999999981</v>
      </c>
      <c r="B33" s="173" t="s">
        <v>208</v>
      </c>
      <c r="C33" s="174" t="s">
        <v>659</v>
      </c>
      <c r="D33" s="172">
        <v>1</v>
      </c>
      <c r="E33" s="223">
        <v>24604.264221858335</v>
      </c>
      <c r="F33" s="223">
        <f t="shared" si="3"/>
        <v>24604.264221858335</v>
      </c>
    </row>
    <row r="34" spans="1:6" s="104" customFormat="1" ht="16.149999999999999" customHeight="1" x14ac:dyDescent="0.25">
      <c r="A34" s="172"/>
      <c r="B34" s="170" t="s">
        <v>209</v>
      </c>
      <c r="C34" s="174"/>
      <c r="D34" s="172"/>
      <c r="E34" s="223"/>
      <c r="F34" s="223"/>
    </row>
    <row r="35" spans="1:6" s="104" customFormat="1" ht="45" x14ac:dyDescent="0.25">
      <c r="A35" s="172">
        <v>3.017999999999998</v>
      </c>
      <c r="B35" s="173" t="s">
        <v>353</v>
      </c>
      <c r="C35" s="174" t="s">
        <v>659</v>
      </c>
      <c r="D35" s="172">
        <v>1</v>
      </c>
      <c r="E35" s="223">
        <v>14762.558533115001</v>
      </c>
      <c r="F35" s="223">
        <f t="shared" si="3"/>
        <v>14762.558533115001</v>
      </c>
    </row>
    <row r="36" spans="1:6" s="104" customFormat="1" ht="45" x14ac:dyDescent="0.25">
      <c r="A36" s="172">
        <v>3.0189999999999979</v>
      </c>
      <c r="B36" s="173" t="s">
        <v>354</v>
      </c>
      <c r="C36" s="174" t="s">
        <v>659</v>
      </c>
      <c r="D36" s="172">
        <v>1</v>
      </c>
      <c r="E36" s="223">
        <v>4173.0209959068161</v>
      </c>
      <c r="F36" s="223">
        <f t="shared" si="3"/>
        <v>4173.0209959068161</v>
      </c>
    </row>
    <row r="37" spans="1:6" s="104" customFormat="1" ht="15.75" x14ac:dyDescent="0.25">
      <c r="A37" s="169"/>
      <c r="B37" s="170" t="s">
        <v>212</v>
      </c>
      <c r="C37" s="171"/>
      <c r="D37" s="169"/>
      <c r="E37" s="225"/>
      <c r="F37" s="225"/>
    </row>
    <row r="38" spans="1:6" s="104" customFormat="1" ht="30" x14ac:dyDescent="0.25">
      <c r="A38" s="172">
        <v>3.0199999999999978</v>
      </c>
      <c r="B38" s="173" t="s">
        <v>213</v>
      </c>
      <c r="C38" s="174" t="s">
        <v>659</v>
      </c>
      <c r="D38" s="172">
        <v>1</v>
      </c>
      <c r="E38" s="223">
        <v>2509.6349506295501</v>
      </c>
      <c r="F38" s="223">
        <f t="shared" si="3"/>
        <v>2509.6349506295501</v>
      </c>
    </row>
    <row r="39" spans="1:6" s="104" customFormat="1" ht="30" x14ac:dyDescent="0.25">
      <c r="A39" s="172">
        <v>3.0209999999999977</v>
      </c>
      <c r="B39" s="173" t="s">
        <v>214</v>
      </c>
      <c r="C39" s="174" t="s">
        <v>659</v>
      </c>
      <c r="D39" s="172">
        <v>1</v>
      </c>
      <c r="E39" s="223">
        <v>1505.78097037773</v>
      </c>
      <c r="F39" s="223">
        <f t="shared" si="3"/>
        <v>1505.78097037773</v>
      </c>
    </row>
    <row r="40" spans="1:6" s="104" customFormat="1" ht="15.75" x14ac:dyDescent="0.25">
      <c r="A40" s="169"/>
      <c r="B40" s="213" t="s">
        <v>215</v>
      </c>
      <c r="C40" s="171"/>
      <c r="D40" s="169"/>
      <c r="E40" s="225"/>
      <c r="F40" s="225"/>
    </row>
    <row r="41" spans="1:6" s="104" customFormat="1" ht="30" x14ac:dyDescent="0.25">
      <c r="A41" s="172">
        <v>3.0219999999999976</v>
      </c>
      <c r="B41" s="212" t="s">
        <v>216</v>
      </c>
      <c r="C41" s="174" t="s">
        <v>659</v>
      </c>
      <c r="D41" s="172">
        <v>1</v>
      </c>
      <c r="E41" s="223">
        <v>24604.264221858335</v>
      </c>
      <c r="F41" s="223">
        <f t="shared" si="3"/>
        <v>24604.264221858335</v>
      </c>
    </row>
    <row r="42" spans="1:6" s="104" customFormat="1" ht="30" x14ac:dyDescent="0.25">
      <c r="A42" s="172">
        <v>3.0229999999999975</v>
      </c>
      <c r="B42" s="212" t="s">
        <v>217</v>
      </c>
      <c r="C42" s="174" t="s">
        <v>659</v>
      </c>
      <c r="D42" s="172">
        <v>1</v>
      </c>
      <c r="E42" s="223">
        <v>9841.7056887433337</v>
      </c>
      <c r="F42" s="223">
        <f t="shared" si="3"/>
        <v>9841.7056887433337</v>
      </c>
    </row>
    <row r="43" spans="1:6" s="104" customFormat="1" ht="31.5" x14ac:dyDescent="0.25">
      <c r="A43" s="172"/>
      <c r="B43" s="170" t="s">
        <v>218</v>
      </c>
      <c r="C43" s="174"/>
      <c r="D43" s="172"/>
      <c r="E43" s="223"/>
      <c r="F43" s="223"/>
    </row>
    <row r="44" spans="1:6" s="104" customFormat="1" ht="42" customHeight="1" x14ac:dyDescent="0.25">
      <c r="A44" s="172">
        <v>3.0239999999999974</v>
      </c>
      <c r="B44" s="173" t="s">
        <v>219</v>
      </c>
      <c r="C44" s="174" t="s">
        <v>659</v>
      </c>
      <c r="D44" s="172">
        <v>1</v>
      </c>
      <c r="E44" s="223">
        <v>7381.2792665575007</v>
      </c>
      <c r="F44" s="223">
        <f t="shared" si="3"/>
        <v>7381.2792665575007</v>
      </c>
    </row>
    <row r="45" spans="1:6" s="104" customFormat="1" ht="45" x14ac:dyDescent="0.25">
      <c r="A45" s="172">
        <v>3.0249999999999972</v>
      </c>
      <c r="B45" s="173" t="s">
        <v>220</v>
      </c>
      <c r="C45" s="174" t="s">
        <v>659</v>
      </c>
      <c r="D45" s="172">
        <v>1</v>
      </c>
      <c r="E45" s="223">
        <v>1455.588271365139</v>
      </c>
      <c r="F45" s="223">
        <f t="shared" si="3"/>
        <v>1455.588271365139</v>
      </c>
    </row>
    <row r="46" spans="1:6" s="104" customFormat="1" ht="15.75" x14ac:dyDescent="0.25">
      <c r="A46" s="172"/>
      <c r="B46" s="170" t="s">
        <v>355</v>
      </c>
      <c r="C46" s="174"/>
      <c r="D46" s="172"/>
      <c r="E46" s="223"/>
      <c r="F46" s="223"/>
    </row>
    <row r="47" spans="1:6" s="104" customFormat="1" ht="36.75" customHeight="1" x14ac:dyDescent="0.25">
      <c r="A47" s="172">
        <v>3.0259999999999971</v>
      </c>
      <c r="B47" s="173" t="s">
        <v>222</v>
      </c>
      <c r="C47" s="174" t="s">
        <v>659</v>
      </c>
      <c r="D47" s="172">
        <v>1</v>
      </c>
      <c r="E47" s="223">
        <v>9841.7056887433337</v>
      </c>
      <c r="F47" s="223">
        <f t="shared" si="3"/>
        <v>9841.7056887433337</v>
      </c>
    </row>
    <row r="48" spans="1:6" s="104" customFormat="1" ht="36.75" customHeight="1" x14ac:dyDescent="0.25">
      <c r="A48" s="172">
        <v>3.026999999999997</v>
      </c>
      <c r="B48" s="173" t="s">
        <v>223</v>
      </c>
      <c r="C48" s="174" t="s">
        <v>659</v>
      </c>
      <c r="D48" s="172">
        <v>1</v>
      </c>
      <c r="E48" s="223">
        <v>1279.9138248210706</v>
      </c>
      <c r="F48" s="223">
        <f t="shared" si="3"/>
        <v>1279.9138248210706</v>
      </c>
    </row>
    <row r="49" spans="1:6" s="104" customFormat="1" ht="15.75" x14ac:dyDescent="0.25">
      <c r="A49" s="172"/>
      <c r="B49" s="170" t="s">
        <v>224</v>
      </c>
      <c r="C49" s="174"/>
      <c r="D49" s="172"/>
      <c r="E49" s="223"/>
      <c r="F49" s="223"/>
    </row>
    <row r="50" spans="1:6" s="104" customFormat="1" ht="30" x14ac:dyDescent="0.25">
      <c r="A50" s="172">
        <v>3.0279999999999969</v>
      </c>
      <c r="B50" s="173" t="s">
        <v>225</v>
      </c>
      <c r="C50" s="174" t="s">
        <v>659</v>
      </c>
      <c r="D50" s="172">
        <v>1</v>
      </c>
      <c r="E50" s="223">
        <v>3828.0298446936076</v>
      </c>
      <c r="F50" s="223">
        <f t="shared" si="3"/>
        <v>3828.0298446936076</v>
      </c>
    </row>
    <row r="51" spans="1:6" s="104" customFormat="1" ht="65.25" customHeight="1" x14ac:dyDescent="0.25">
      <c r="A51" s="172">
        <v>3.0289999999999968</v>
      </c>
      <c r="B51" s="173" t="s">
        <v>226</v>
      </c>
      <c r="C51" s="174" t="s">
        <v>659</v>
      </c>
      <c r="D51" s="172">
        <v>1</v>
      </c>
      <c r="E51" s="223">
        <v>2296.8179068161644</v>
      </c>
      <c r="F51" s="223">
        <f t="shared" si="3"/>
        <v>2296.8179068161644</v>
      </c>
    </row>
    <row r="52" spans="1:6" s="104" customFormat="1" ht="15.75" x14ac:dyDescent="0.25">
      <c r="A52" s="172"/>
      <c r="B52" s="170" t="s">
        <v>227</v>
      </c>
      <c r="C52" s="174"/>
      <c r="D52" s="172"/>
      <c r="E52" s="223"/>
      <c r="F52" s="223"/>
    </row>
    <row r="53" spans="1:6" s="104" customFormat="1" ht="60" customHeight="1" x14ac:dyDescent="0.25">
      <c r="A53" s="172">
        <v>3.0299999999999967</v>
      </c>
      <c r="B53" s="173" t="s">
        <v>228</v>
      </c>
      <c r="C53" s="174" t="s">
        <v>659</v>
      </c>
      <c r="D53" s="172">
        <v>1</v>
      </c>
      <c r="E53" s="223">
        <v>88422.804760514482</v>
      </c>
      <c r="F53" s="223">
        <f t="shared" si="3"/>
        <v>88422.804760514482</v>
      </c>
    </row>
    <row r="54" spans="1:6" s="104" customFormat="1" ht="15.75" x14ac:dyDescent="0.25">
      <c r="A54" s="172"/>
      <c r="B54" s="170" t="s">
        <v>229</v>
      </c>
      <c r="C54" s="174"/>
      <c r="D54" s="172"/>
      <c r="E54" s="223"/>
      <c r="F54" s="223"/>
    </row>
    <row r="55" spans="1:6" s="104" customFormat="1" ht="30" x14ac:dyDescent="0.25">
      <c r="A55" s="172">
        <v>3.0309999999999966</v>
      </c>
      <c r="B55" s="173" t="s">
        <v>230</v>
      </c>
      <c r="C55" s="174" t="s">
        <v>659</v>
      </c>
      <c r="D55" s="172">
        <v>1</v>
      </c>
      <c r="E55" s="223">
        <v>33846.610034157202</v>
      </c>
      <c r="F55" s="223">
        <f t="shared" si="3"/>
        <v>33846.610034157202</v>
      </c>
    </row>
    <row r="56" spans="1:6" s="104" customFormat="1" ht="30" x14ac:dyDescent="0.25">
      <c r="A56" s="172">
        <v>3.0319999999999965</v>
      </c>
      <c r="B56" s="173" t="s">
        <v>231</v>
      </c>
      <c r="C56" s="174" t="s">
        <v>659</v>
      </c>
      <c r="D56" s="172">
        <v>1</v>
      </c>
      <c r="E56" s="223">
        <v>20307.966020494321</v>
      </c>
      <c r="F56" s="223">
        <f t="shared" si="3"/>
        <v>20307.966020494321</v>
      </c>
    </row>
    <row r="57" spans="1:6" s="104" customFormat="1" ht="15.75" x14ac:dyDescent="0.25">
      <c r="A57" s="169"/>
      <c r="B57" s="170" t="s">
        <v>232</v>
      </c>
      <c r="C57" s="171"/>
      <c r="D57" s="169"/>
      <c r="E57" s="225"/>
      <c r="F57" s="225"/>
    </row>
    <row r="58" spans="1:6" s="104" customFormat="1" ht="30" x14ac:dyDescent="0.25">
      <c r="A58" s="172">
        <v>3.0329999999999964</v>
      </c>
      <c r="B58" s="173" t="s">
        <v>233</v>
      </c>
      <c r="C58" s="174" t="s">
        <v>659</v>
      </c>
      <c r="D58" s="172">
        <v>1</v>
      </c>
      <c r="E58" s="223">
        <v>37644.524259443249</v>
      </c>
      <c r="F58" s="223">
        <f t="shared" si="3"/>
        <v>37644.524259443249</v>
      </c>
    </row>
    <row r="59" spans="1:6" s="104" customFormat="1" ht="30" x14ac:dyDescent="0.25">
      <c r="A59" s="172">
        <v>3.0339999999999963</v>
      </c>
      <c r="B59" s="173" t="s">
        <v>234</v>
      </c>
      <c r="C59" s="174" t="s">
        <v>659</v>
      </c>
      <c r="D59" s="172">
        <v>1</v>
      </c>
      <c r="E59" s="223">
        <v>22586.714555665953</v>
      </c>
      <c r="F59" s="223">
        <f t="shared" si="3"/>
        <v>22586.714555665953</v>
      </c>
    </row>
    <row r="60" spans="1:6" s="104" customFormat="1" ht="31.5" x14ac:dyDescent="0.25">
      <c r="A60" s="172"/>
      <c r="B60" s="170" t="s">
        <v>235</v>
      </c>
      <c r="C60" s="174"/>
      <c r="D60" s="172"/>
      <c r="E60" s="223"/>
      <c r="F60" s="223"/>
    </row>
    <row r="61" spans="1:6" s="104" customFormat="1" ht="45" x14ac:dyDescent="0.25">
      <c r="A61" s="172">
        <v>3.0349999999999961</v>
      </c>
      <c r="B61" s="173" t="s">
        <v>236</v>
      </c>
      <c r="C61" s="174" t="s">
        <v>659</v>
      </c>
      <c r="D61" s="172">
        <v>1</v>
      </c>
      <c r="E61" s="223">
        <v>30078.811428278703</v>
      </c>
      <c r="F61" s="223">
        <f t="shared" si="3"/>
        <v>30078.811428278703</v>
      </c>
    </row>
    <row r="62" spans="1:6" s="104" customFormat="1" ht="30" x14ac:dyDescent="0.25">
      <c r="A62" s="172">
        <v>3.035999999999996</v>
      </c>
      <c r="B62" s="173" t="s">
        <v>237</v>
      </c>
      <c r="C62" s="174" t="s">
        <v>659</v>
      </c>
      <c r="D62" s="172">
        <v>1</v>
      </c>
      <c r="E62" s="223">
        <v>18047.286856967221</v>
      </c>
      <c r="F62" s="223">
        <f t="shared" si="3"/>
        <v>18047.286856967221</v>
      </c>
    </row>
    <row r="63" spans="1:6" s="104" customFormat="1" ht="15.75" x14ac:dyDescent="0.25">
      <c r="A63" s="172"/>
      <c r="B63" s="170" t="s">
        <v>238</v>
      </c>
      <c r="C63" s="174"/>
      <c r="D63" s="172"/>
      <c r="E63" s="223"/>
      <c r="F63" s="223"/>
    </row>
    <row r="64" spans="1:6" s="104" customFormat="1" ht="30" x14ac:dyDescent="0.25">
      <c r="A64" s="172">
        <v>3.0369999999999959</v>
      </c>
      <c r="B64" s="173" t="s">
        <v>239</v>
      </c>
      <c r="C64" s="174" t="s">
        <v>659</v>
      </c>
      <c r="D64" s="172">
        <v>1</v>
      </c>
      <c r="E64" s="223">
        <v>2927.9074424011419</v>
      </c>
      <c r="F64" s="223">
        <f t="shared" si="3"/>
        <v>2927.9074424011419</v>
      </c>
    </row>
    <row r="65" spans="1:6" s="104" customFormat="1" ht="30" x14ac:dyDescent="0.25">
      <c r="A65" s="172">
        <v>3.0379999999999958</v>
      </c>
      <c r="B65" s="173" t="s">
        <v>240</v>
      </c>
      <c r="C65" s="174" t="s">
        <v>659</v>
      </c>
      <c r="D65" s="172">
        <v>1</v>
      </c>
      <c r="E65" s="223">
        <v>1756.7444654406854</v>
      </c>
      <c r="F65" s="223">
        <f t="shared" si="3"/>
        <v>1756.7444654406854</v>
      </c>
    </row>
    <row r="66" spans="1:6" s="104" customFormat="1" ht="15.75" x14ac:dyDescent="0.25">
      <c r="A66" s="172"/>
      <c r="B66" s="170" t="s">
        <v>360</v>
      </c>
      <c r="C66" s="174"/>
      <c r="D66" s="172"/>
      <c r="E66" s="223"/>
      <c r="F66" s="223"/>
    </row>
    <row r="67" spans="1:6" s="104" customFormat="1" ht="30" x14ac:dyDescent="0.25">
      <c r="A67" s="172">
        <v>3.0389999999999957</v>
      </c>
      <c r="B67" s="173" t="s">
        <v>202</v>
      </c>
      <c r="C67" s="174" t="s">
        <v>659</v>
      </c>
      <c r="D67" s="172">
        <v>1</v>
      </c>
      <c r="E67" s="223">
        <v>24741.654433273194</v>
      </c>
      <c r="F67" s="223">
        <f t="shared" ref="F67:F68" si="4">$D67*E67</f>
        <v>24741.654433273194</v>
      </c>
    </row>
    <row r="68" spans="1:6" s="104" customFormat="1" ht="60" x14ac:dyDescent="0.25">
      <c r="A68" s="172">
        <v>3.0399999999999956</v>
      </c>
      <c r="B68" s="173" t="s">
        <v>203</v>
      </c>
      <c r="C68" s="174" t="s">
        <v>659</v>
      </c>
      <c r="D68" s="172">
        <v>1</v>
      </c>
      <c r="E68" s="223">
        <v>14844.992659963915</v>
      </c>
      <c r="F68" s="223">
        <f t="shared" si="4"/>
        <v>14844.992659963915</v>
      </c>
    </row>
    <row r="69" spans="1:6" s="104" customFormat="1" ht="15.75" x14ac:dyDescent="0.25">
      <c r="A69" s="172"/>
      <c r="B69" s="170" t="s">
        <v>241</v>
      </c>
      <c r="C69" s="174"/>
      <c r="D69" s="185"/>
      <c r="E69" s="223"/>
      <c r="F69" s="223"/>
    </row>
    <row r="70" spans="1:6" s="104" customFormat="1" ht="30" x14ac:dyDescent="0.25">
      <c r="A70" s="172">
        <v>3.0409999999999955</v>
      </c>
      <c r="B70" s="173" t="s">
        <v>242</v>
      </c>
      <c r="C70" s="174" t="s">
        <v>659</v>
      </c>
      <c r="D70" s="172">
        <v>1</v>
      </c>
      <c r="E70" s="223">
        <v>23004.987047437542</v>
      </c>
      <c r="F70" s="223">
        <f t="shared" si="3"/>
        <v>23004.987047437542</v>
      </c>
    </row>
    <row r="71" spans="1:6" s="104" customFormat="1" ht="30" x14ac:dyDescent="0.25">
      <c r="A71" s="172">
        <v>3.0419999999999954</v>
      </c>
      <c r="B71" s="173" t="s">
        <v>361</v>
      </c>
      <c r="C71" s="174" t="s">
        <v>659</v>
      </c>
      <c r="D71" s="172">
        <v>1</v>
      </c>
      <c r="E71" s="223">
        <v>13802.992228462528</v>
      </c>
      <c r="F71" s="223">
        <f t="shared" si="3"/>
        <v>13802.992228462528</v>
      </c>
    </row>
    <row r="72" spans="1:6" s="104" customFormat="1" ht="30" x14ac:dyDescent="0.25">
      <c r="A72" s="172">
        <v>3.0429999999999953</v>
      </c>
      <c r="B72" s="173" t="s">
        <v>244</v>
      </c>
      <c r="C72" s="174" t="s">
        <v>659</v>
      </c>
      <c r="D72" s="172">
        <v>1</v>
      </c>
      <c r="E72" s="223">
        <v>8365.4498354318348</v>
      </c>
      <c r="F72" s="223">
        <f t="shared" si="3"/>
        <v>8365.4498354318348</v>
      </c>
    </row>
    <row r="73" spans="1:6" s="104" customFormat="1" ht="30" x14ac:dyDescent="0.25">
      <c r="A73" s="172">
        <v>3.0439999999999952</v>
      </c>
      <c r="B73" s="173" t="s">
        <v>362</v>
      </c>
      <c r="C73" s="174" t="s">
        <v>659</v>
      </c>
      <c r="D73" s="172">
        <v>1</v>
      </c>
      <c r="E73" s="223">
        <v>5019.2699012591002</v>
      </c>
      <c r="F73" s="223">
        <f t="shared" si="3"/>
        <v>5019.2699012591002</v>
      </c>
    </row>
    <row r="74" spans="1:6" s="104" customFormat="1" ht="30" x14ac:dyDescent="0.25">
      <c r="A74" s="172">
        <v>3.044999999999995</v>
      </c>
      <c r="B74" s="173" t="s">
        <v>246</v>
      </c>
      <c r="C74" s="174" t="s">
        <v>659</v>
      </c>
      <c r="D74" s="172">
        <v>1</v>
      </c>
      <c r="E74" s="223">
        <v>60231.238815109209</v>
      </c>
      <c r="F74" s="223">
        <f t="shared" si="3"/>
        <v>60231.238815109209</v>
      </c>
    </row>
    <row r="75" spans="1:6" s="104" customFormat="1" ht="45" x14ac:dyDescent="0.25">
      <c r="A75" s="172">
        <v>3.0459999999999949</v>
      </c>
      <c r="B75" s="173" t="s">
        <v>363</v>
      </c>
      <c r="C75" s="174" t="s">
        <v>659</v>
      </c>
      <c r="D75" s="172">
        <v>1</v>
      </c>
      <c r="E75" s="223">
        <v>36138.743289065525</v>
      </c>
      <c r="F75" s="223">
        <f t="shared" si="3"/>
        <v>36138.743289065525</v>
      </c>
    </row>
    <row r="76" spans="1:6" s="104" customFormat="1" ht="15.75" x14ac:dyDescent="0.25">
      <c r="A76" s="172"/>
      <c r="B76" s="170" t="s">
        <v>250</v>
      </c>
      <c r="C76" s="174"/>
      <c r="D76" s="172"/>
      <c r="E76" s="223"/>
      <c r="F76" s="223"/>
    </row>
    <row r="77" spans="1:6" s="104" customFormat="1" ht="15.75" x14ac:dyDescent="0.25">
      <c r="A77" s="172">
        <v>3.0469999999999948</v>
      </c>
      <c r="B77" s="173" t="s">
        <v>251</v>
      </c>
      <c r="C77" s="174" t="s">
        <v>659</v>
      </c>
      <c r="D77" s="172">
        <v>1</v>
      </c>
      <c r="E77" s="223">
        <v>2857.6376637835147</v>
      </c>
      <c r="F77" s="223">
        <f t="shared" si="3"/>
        <v>2857.6376637835147</v>
      </c>
    </row>
    <row r="78" spans="1:6" s="104" customFormat="1" ht="45" x14ac:dyDescent="0.25">
      <c r="A78" s="172">
        <v>3.0479999999999947</v>
      </c>
      <c r="B78" s="173" t="s">
        <v>252</v>
      </c>
      <c r="C78" s="174" t="s">
        <v>659</v>
      </c>
      <c r="D78" s="172">
        <v>1</v>
      </c>
      <c r="E78" s="223">
        <v>1714.5825982701087</v>
      </c>
      <c r="F78" s="223">
        <f t="shared" si="3"/>
        <v>1714.5825982701087</v>
      </c>
    </row>
    <row r="79" spans="1:6" s="104" customFormat="1" ht="15.75" x14ac:dyDescent="0.25">
      <c r="A79" s="172"/>
      <c r="B79" s="170" t="s">
        <v>248</v>
      </c>
      <c r="C79" s="174"/>
      <c r="D79" s="172"/>
      <c r="E79" s="223"/>
      <c r="F79" s="223"/>
    </row>
    <row r="80" spans="1:6" s="104" customFormat="1" ht="30" x14ac:dyDescent="0.25">
      <c r="A80" s="172">
        <v>3.0489999999999946</v>
      </c>
      <c r="B80" s="173" t="s">
        <v>225</v>
      </c>
      <c r="C80" s="174" t="s">
        <v>659</v>
      </c>
      <c r="D80" s="172">
        <v>1</v>
      </c>
      <c r="E80" s="223">
        <v>7172.5366888992548</v>
      </c>
      <c r="F80" s="223">
        <f t="shared" si="3"/>
        <v>7172.5366888992548</v>
      </c>
    </row>
    <row r="81" spans="1:6" s="104" customFormat="1" ht="60" x14ac:dyDescent="0.25">
      <c r="A81" s="172">
        <v>3.0499999999999945</v>
      </c>
      <c r="B81" s="173" t="s">
        <v>249</v>
      </c>
      <c r="C81" s="174" t="s">
        <v>659</v>
      </c>
      <c r="D81" s="172">
        <v>1</v>
      </c>
      <c r="E81" s="223">
        <v>4303.5220133395533</v>
      </c>
      <c r="F81" s="223">
        <f t="shared" si="3"/>
        <v>4303.5220133395533</v>
      </c>
    </row>
    <row r="82" spans="1:6" s="104" customFormat="1" ht="15.75" x14ac:dyDescent="0.25">
      <c r="A82" s="172"/>
      <c r="B82" s="170" t="s">
        <v>153</v>
      </c>
      <c r="C82" s="174"/>
      <c r="D82" s="172"/>
      <c r="E82" s="223"/>
      <c r="F82" s="223"/>
    </row>
    <row r="83" spans="1:6" s="104" customFormat="1" ht="60" x14ac:dyDescent="0.25">
      <c r="A83" s="172">
        <v>3.0509999999999944</v>
      </c>
      <c r="B83" s="173" t="s">
        <v>256</v>
      </c>
      <c r="C83" s="174" t="s">
        <v>659</v>
      </c>
      <c r="D83" s="172">
        <v>1</v>
      </c>
      <c r="E83" s="223">
        <v>344459.69910601672</v>
      </c>
      <c r="F83" s="223">
        <f t="shared" si="3"/>
        <v>344459.69910601672</v>
      </c>
    </row>
    <row r="84" spans="1:6" s="104" customFormat="1" ht="15.75" x14ac:dyDescent="0.25">
      <c r="A84" s="172"/>
      <c r="B84" s="170" t="s">
        <v>419</v>
      </c>
      <c r="C84" s="174"/>
      <c r="D84" s="172"/>
      <c r="E84" s="223"/>
      <c r="F84" s="223"/>
    </row>
    <row r="85" spans="1:6" s="104" customFormat="1" ht="75" x14ac:dyDescent="0.25">
      <c r="A85" s="172">
        <v>3.0519999999999943</v>
      </c>
      <c r="B85" s="173" t="s">
        <v>714</v>
      </c>
      <c r="C85" s="174" t="s">
        <v>79</v>
      </c>
      <c r="D85" s="172">
        <v>2</v>
      </c>
      <c r="E85" s="223">
        <v>123021.32110929168</v>
      </c>
      <c r="F85" s="223">
        <f t="shared" si="3"/>
        <v>246042.64221858335</v>
      </c>
    </row>
    <row r="86" spans="1:6" s="104" customFormat="1" ht="60" x14ac:dyDescent="0.25">
      <c r="A86" s="172">
        <v>3.0529999999999942</v>
      </c>
      <c r="B86" s="173" t="s">
        <v>715</v>
      </c>
      <c r="C86" s="174" t="s">
        <v>79</v>
      </c>
      <c r="D86" s="172">
        <v>2</v>
      </c>
      <c r="E86" s="223">
        <v>54208.114933598292</v>
      </c>
      <c r="F86" s="223">
        <f t="shared" ref="F86" si="5">$D86*E86</f>
        <v>108416.22986719658</v>
      </c>
    </row>
    <row r="87" spans="1:6" s="104" customFormat="1" ht="15.75" x14ac:dyDescent="0.25">
      <c r="A87" s="172"/>
      <c r="B87" s="170" t="s">
        <v>420</v>
      </c>
      <c r="C87" s="172"/>
      <c r="D87" s="172"/>
      <c r="E87" s="223"/>
      <c r="F87" s="223"/>
    </row>
    <row r="88" spans="1:6" s="104" customFormat="1" ht="72" customHeight="1" x14ac:dyDescent="0.25">
      <c r="A88" s="172">
        <v>3.0539999999999941</v>
      </c>
      <c r="B88" s="173" t="s">
        <v>716</v>
      </c>
      <c r="C88" s="172" t="s">
        <v>659</v>
      </c>
      <c r="D88" s="172">
        <v>1</v>
      </c>
      <c r="E88" s="223">
        <v>49208.52844371667</v>
      </c>
      <c r="F88" s="223">
        <f t="shared" ref="F88:F98" si="6">$D88*E88</f>
        <v>49208.52844371667</v>
      </c>
    </row>
    <row r="89" spans="1:6" s="104" customFormat="1" ht="60" x14ac:dyDescent="0.25">
      <c r="A89" s="172">
        <v>3.0549999999999939</v>
      </c>
      <c r="B89" s="173" t="s">
        <v>717</v>
      </c>
      <c r="C89" s="172" t="s">
        <v>659</v>
      </c>
      <c r="D89" s="172">
        <v>1</v>
      </c>
      <c r="E89" s="223">
        <v>9841.7056887433337</v>
      </c>
      <c r="F89" s="223">
        <f t="shared" si="6"/>
        <v>9841.7056887433337</v>
      </c>
    </row>
    <row r="90" spans="1:6" s="104" customFormat="1" ht="15.75" x14ac:dyDescent="0.25">
      <c r="A90" s="172"/>
      <c r="B90" s="170" t="s">
        <v>421</v>
      </c>
      <c r="C90" s="172"/>
      <c r="D90" s="172"/>
      <c r="E90" s="223"/>
      <c r="F90" s="223"/>
    </row>
    <row r="91" spans="1:6" s="104" customFormat="1" ht="90" x14ac:dyDescent="0.25">
      <c r="A91" s="172">
        <v>3.0559999999999938</v>
      </c>
      <c r="B91" s="173" t="s">
        <v>422</v>
      </c>
      <c r="C91" s="172" t="s">
        <v>659</v>
      </c>
      <c r="D91" s="172">
        <v>1</v>
      </c>
      <c r="E91" s="223">
        <v>56589.807710274174</v>
      </c>
      <c r="F91" s="223">
        <f t="shared" si="6"/>
        <v>56589.807710274174</v>
      </c>
    </row>
    <row r="92" spans="1:6" s="104" customFormat="1" ht="75" x14ac:dyDescent="0.25">
      <c r="A92" s="172">
        <v>3.0569999999999937</v>
      </c>
      <c r="B92" s="173" t="s">
        <v>423</v>
      </c>
      <c r="C92" s="172" t="s">
        <v>659</v>
      </c>
      <c r="D92" s="172">
        <v>1</v>
      </c>
      <c r="E92" s="223">
        <v>14762.558533115001</v>
      </c>
      <c r="F92" s="223">
        <f t="shared" si="6"/>
        <v>14762.558533115001</v>
      </c>
    </row>
    <row r="93" spans="1:6" s="104" customFormat="1" ht="15.75" x14ac:dyDescent="0.25">
      <c r="A93" s="172"/>
      <c r="B93" s="170" t="s">
        <v>424</v>
      </c>
      <c r="C93" s="174"/>
      <c r="D93" s="172"/>
      <c r="E93" s="223"/>
      <c r="F93" s="223"/>
    </row>
    <row r="94" spans="1:6" s="104" customFormat="1" ht="75" x14ac:dyDescent="0.25">
      <c r="A94" s="172">
        <v>3.0579999999999936</v>
      </c>
      <c r="B94" s="173" t="s">
        <v>425</v>
      </c>
      <c r="C94" s="174" t="s">
        <v>289</v>
      </c>
      <c r="D94" s="172">
        <v>1</v>
      </c>
      <c r="E94" s="223">
        <v>21050.817965880669</v>
      </c>
      <c r="F94" s="223">
        <f t="shared" si="6"/>
        <v>21050.817965880669</v>
      </c>
    </row>
    <row r="95" spans="1:6" s="104" customFormat="1" ht="75" x14ac:dyDescent="0.25">
      <c r="A95" s="172">
        <v>3.0589999999999935</v>
      </c>
      <c r="B95" s="173" t="s">
        <v>426</v>
      </c>
      <c r="C95" s="174" t="s">
        <v>289</v>
      </c>
      <c r="D95" s="172">
        <v>1</v>
      </c>
      <c r="E95" s="223">
        <v>12630.490779528402</v>
      </c>
      <c r="F95" s="223">
        <f t="shared" si="6"/>
        <v>12630.490779528402</v>
      </c>
    </row>
    <row r="96" spans="1:6" s="104" customFormat="1" ht="31.5" x14ac:dyDescent="0.25">
      <c r="A96" s="172"/>
      <c r="B96" s="170" t="s">
        <v>427</v>
      </c>
      <c r="C96" s="174"/>
      <c r="D96" s="172"/>
      <c r="E96" s="223"/>
      <c r="F96" s="223"/>
    </row>
    <row r="97" spans="1:6" s="104" customFormat="1" ht="75" x14ac:dyDescent="0.25">
      <c r="A97" s="172">
        <v>3.0599999999999934</v>
      </c>
      <c r="B97" s="173" t="s">
        <v>428</v>
      </c>
      <c r="C97" s="172" t="s">
        <v>659</v>
      </c>
      <c r="D97" s="172">
        <v>1</v>
      </c>
      <c r="E97" s="223">
        <v>53120.60645499215</v>
      </c>
      <c r="F97" s="223">
        <f t="shared" si="6"/>
        <v>53120.60645499215</v>
      </c>
    </row>
    <row r="98" spans="1:6" s="104" customFormat="1" ht="75" x14ac:dyDescent="0.25">
      <c r="A98" s="176">
        <v>3.0609999999999933</v>
      </c>
      <c r="B98" s="173" t="s">
        <v>429</v>
      </c>
      <c r="C98" s="172" t="s">
        <v>659</v>
      </c>
      <c r="D98" s="172">
        <v>1</v>
      </c>
      <c r="E98" s="223">
        <v>31872.363872995291</v>
      </c>
      <c r="F98" s="223">
        <f t="shared" si="6"/>
        <v>31872.363872995291</v>
      </c>
    </row>
    <row r="99" spans="1:6" s="104" customFormat="1" ht="15.75" x14ac:dyDescent="0.25">
      <c r="A99" s="172"/>
      <c r="B99" s="170" t="s">
        <v>430</v>
      </c>
      <c r="C99" s="174"/>
      <c r="D99" s="172"/>
      <c r="E99" s="223"/>
      <c r="F99" s="223"/>
    </row>
    <row r="100" spans="1:6" s="104" customFormat="1" ht="30" x14ac:dyDescent="0.25">
      <c r="A100" s="172"/>
      <c r="B100" s="199" t="s">
        <v>431</v>
      </c>
      <c r="C100" s="174"/>
      <c r="D100" s="172"/>
      <c r="E100" s="223"/>
      <c r="F100" s="223"/>
    </row>
    <row r="101" spans="1:6" s="104" customFormat="1" ht="60" x14ac:dyDescent="0.25">
      <c r="A101" s="176">
        <v>3.0619999999999932</v>
      </c>
      <c r="B101" s="173" t="s">
        <v>432</v>
      </c>
      <c r="C101" s="172" t="s">
        <v>659</v>
      </c>
      <c r="D101" s="172">
        <v>1</v>
      </c>
      <c r="E101" s="223">
        <v>14639.537212005711</v>
      </c>
      <c r="F101" s="223">
        <f t="shared" ref="F101:F102" si="7">$D101*E101</f>
        <v>14639.537212005711</v>
      </c>
    </row>
    <row r="102" spans="1:6" s="104" customFormat="1" ht="90" x14ac:dyDescent="0.25">
      <c r="A102" s="176">
        <v>3.0629999999999931</v>
      </c>
      <c r="B102" s="173" t="s">
        <v>433</v>
      </c>
      <c r="C102" s="172" t="s">
        <v>659</v>
      </c>
      <c r="D102" s="172">
        <v>1</v>
      </c>
      <c r="E102" s="223">
        <v>8783.7223272034262</v>
      </c>
      <c r="F102" s="223">
        <f t="shared" si="7"/>
        <v>8783.7223272034262</v>
      </c>
    </row>
    <row r="103" spans="1:6" s="104" customFormat="1" ht="31.5" x14ac:dyDescent="0.25">
      <c r="A103" s="172"/>
      <c r="B103" s="170" t="s">
        <v>434</v>
      </c>
      <c r="C103" s="174"/>
      <c r="D103" s="172"/>
      <c r="E103" s="223"/>
      <c r="F103" s="223"/>
    </row>
    <row r="104" spans="1:6" s="104" customFormat="1" ht="30" x14ac:dyDescent="0.25">
      <c r="A104" s="176">
        <v>3.063999999999993</v>
      </c>
      <c r="B104" s="173" t="s">
        <v>435</v>
      </c>
      <c r="C104" s="172" t="s">
        <v>659</v>
      </c>
      <c r="D104" s="172">
        <v>1</v>
      </c>
      <c r="E104" s="223">
        <v>24604.264221858335</v>
      </c>
      <c r="F104" s="223">
        <f t="shared" ref="F104:F105" si="8">$D104*E104</f>
        <v>24604.264221858335</v>
      </c>
    </row>
    <row r="105" spans="1:6" s="104" customFormat="1" ht="96" customHeight="1" x14ac:dyDescent="0.25">
      <c r="A105" s="176">
        <v>3.0649999999999928</v>
      </c>
      <c r="B105" s="173" t="s">
        <v>436</v>
      </c>
      <c r="C105" s="172" t="s">
        <v>659</v>
      </c>
      <c r="D105" s="172">
        <v>1</v>
      </c>
      <c r="E105" s="223">
        <v>5019.2699012591002</v>
      </c>
      <c r="F105" s="223">
        <f t="shared" si="8"/>
        <v>5019.2699012591002</v>
      </c>
    </row>
    <row r="106" spans="1:6" s="104" customFormat="1" ht="31.5" x14ac:dyDescent="0.25">
      <c r="A106" s="172"/>
      <c r="B106" s="170" t="s">
        <v>437</v>
      </c>
      <c r="C106" s="174"/>
      <c r="D106" s="172"/>
      <c r="E106" s="223"/>
      <c r="F106" s="223"/>
    </row>
    <row r="107" spans="1:6" s="104" customFormat="1" ht="45" x14ac:dyDescent="0.25">
      <c r="A107" s="176">
        <v>3.0659999999999927</v>
      </c>
      <c r="B107" s="173" t="s">
        <v>438</v>
      </c>
      <c r="C107" s="172" t="s">
        <v>659</v>
      </c>
      <c r="D107" s="172">
        <v>1</v>
      </c>
      <c r="E107" s="223">
        <v>21495.859897125643</v>
      </c>
      <c r="F107" s="223">
        <f t="shared" ref="F107:F108" si="9">$D107*E107</f>
        <v>21495.859897125643</v>
      </c>
    </row>
    <row r="108" spans="1:6" s="104" customFormat="1" ht="105" x14ac:dyDescent="0.25">
      <c r="A108" s="176">
        <v>3.0669999999999926</v>
      </c>
      <c r="B108" s="173" t="s">
        <v>439</v>
      </c>
      <c r="C108" s="172" t="s">
        <v>659</v>
      </c>
      <c r="D108" s="172">
        <v>1</v>
      </c>
      <c r="E108" s="223">
        <v>12897.515938275385</v>
      </c>
      <c r="F108" s="223">
        <f t="shared" si="9"/>
        <v>12897.515938275385</v>
      </c>
    </row>
    <row r="109" spans="1:6" s="104" customFormat="1" ht="15.75" x14ac:dyDescent="0.25">
      <c r="A109" s="172"/>
      <c r="B109" s="170" t="s">
        <v>440</v>
      </c>
      <c r="C109" s="174"/>
      <c r="D109" s="172"/>
      <c r="E109" s="223"/>
      <c r="F109" s="223"/>
    </row>
    <row r="110" spans="1:6" s="104" customFormat="1" ht="69.75" customHeight="1" x14ac:dyDescent="0.25">
      <c r="A110" s="176">
        <v>3.0679999999999925</v>
      </c>
      <c r="B110" s="173" t="s">
        <v>441</v>
      </c>
      <c r="C110" s="172" t="s">
        <v>659</v>
      </c>
      <c r="D110" s="172">
        <v>1</v>
      </c>
      <c r="E110" s="223">
        <v>9841.7056887433337</v>
      </c>
      <c r="F110" s="223">
        <f t="shared" ref="F110:F111" si="10">$D110*E110</f>
        <v>9841.7056887433337</v>
      </c>
    </row>
    <row r="111" spans="1:6" s="104" customFormat="1" ht="105" customHeight="1" x14ac:dyDescent="0.25">
      <c r="A111" s="176">
        <v>3.0689999999999924</v>
      </c>
      <c r="B111" s="173" t="s">
        <v>442</v>
      </c>
      <c r="C111" s="172" t="s">
        <v>659</v>
      </c>
      <c r="D111" s="172">
        <v>1</v>
      </c>
      <c r="E111" s="223">
        <v>3463.2962318687796</v>
      </c>
      <c r="F111" s="223">
        <f t="shared" si="10"/>
        <v>3463.2962318687796</v>
      </c>
    </row>
    <row r="112" spans="1:6" s="104" customFormat="1" ht="15.75" x14ac:dyDescent="0.25">
      <c r="A112" s="176"/>
      <c r="B112" s="140" t="s">
        <v>257</v>
      </c>
      <c r="C112" s="141"/>
      <c r="D112" s="181"/>
      <c r="E112" s="182"/>
      <c r="F112" s="223"/>
    </row>
    <row r="113" spans="1:6" s="104" customFormat="1" ht="15.75" x14ac:dyDescent="0.25">
      <c r="A113" s="172">
        <v>3.0699999999999923</v>
      </c>
      <c r="B113" s="142" t="s">
        <v>258</v>
      </c>
      <c r="C113" s="172" t="s">
        <v>659</v>
      </c>
      <c r="D113" s="181">
        <v>1</v>
      </c>
      <c r="E113" s="223">
        <v>41827.249177159167</v>
      </c>
      <c r="F113" s="223">
        <f t="shared" ref="F113" si="11">$D113*E113</f>
        <v>41827.249177159167</v>
      </c>
    </row>
    <row r="114" spans="1:6" s="139" customFormat="1" ht="25.5" customHeight="1" x14ac:dyDescent="0.25">
      <c r="A114" s="205"/>
      <c r="B114" s="204" t="s">
        <v>725</v>
      </c>
      <c r="C114" s="205"/>
      <c r="D114" s="205"/>
      <c r="E114" s="131"/>
      <c r="F114" s="131"/>
    </row>
    <row r="115" spans="1:6" s="104" customFormat="1" ht="60" x14ac:dyDescent="0.25">
      <c r="A115" s="205"/>
      <c r="B115" s="206" t="s">
        <v>726</v>
      </c>
      <c r="C115" s="205"/>
      <c r="D115" s="205"/>
      <c r="E115" s="131"/>
      <c r="F115" s="131"/>
    </row>
    <row r="116" spans="1:6" x14ac:dyDescent="0.2">
      <c r="A116" s="205">
        <v>3.0709999999999922</v>
      </c>
      <c r="B116" s="206" t="s">
        <v>651</v>
      </c>
      <c r="C116" s="205" t="s">
        <v>659</v>
      </c>
      <c r="D116" s="205">
        <v>1</v>
      </c>
      <c r="E116" s="223">
        <v>16730.89967086367</v>
      </c>
      <c r="F116" s="223">
        <f t="shared" ref="F116" si="12">$D116*E116</f>
        <v>16730.89967086367</v>
      </c>
    </row>
    <row r="117" spans="1:6" s="104" customFormat="1" ht="15.75" x14ac:dyDescent="0.25">
      <c r="A117" s="205"/>
      <c r="B117" s="204" t="s">
        <v>648</v>
      </c>
      <c r="C117" s="205"/>
      <c r="D117" s="205"/>
      <c r="E117" s="131"/>
      <c r="F117" s="131"/>
    </row>
    <row r="118" spans="1:6" ht="75" x14ac:dyDescent="0.2">
      <c r="A118" s="205">
        <v>3.0719999999999921</v>
      </c>
      <c r="B118" s="206" t="s">
        <v>724</v>
      </c>
      <c r="C118" s="205" t="s">
        <v>659</v>
      </c>
      <c r="D118" s="205">
        <v>1</v>
      </c>
      <c r="E118" s="223">
        <v>125481.74753147752</v>
      </c>
      <c r="F118" s="223">
        <f t="shared" ref="F118" si="13">$D118*E118</f>
        <v>125481.74753147752</v>
      </c>
    </row>
    <row r="119" spans="1:6" s="139" customFormat="1" ht="25.5" customHeight="1" x14ac:dyDescent="0.25">
      <c r="A119" s="177"/>
      <c r="B119" s="171" t="s">
        <v>663</v>
      </c>
      <c r="C119" s="174"/>
      <c r="D119" s="178"/>
      <c r="E119" s="224"/>
      <c r="F119" s="225">
        <f>SUM(F9:F118)</f>
        <v>2611404.6073926101</v>
      </c>
    </row>
    <row r="120" spans="1:6" x14ac:dyDescent="0.2">
      <c r="E120" s="88"/>
      <c r="F120" s="109"/>
    </row>
    <row r="121" spans="1:6" x14ac:dyDescent="0.2">
      <c r="E121" s="109"/>
      <c r="F121" s="109"/>
    </row>
    <row r="122" spans="1:6" x14ac:dyDescent="0.2">
      <c r="E122" s="109"/>
      <c r="F122" s="109"/>
    </row>
    <row r="123" spans="1:6" x14ac:dyDescent="0.2">
      <c r="E123" s="109"/>
      <c r="F123" s="109"/>
    </row>
    <row r="124" spans="1:6" x14ac:dyDescent="0.2">
      <c r="E124" s="109"/>
      <c r="F124" s="109"/>
    </row>
    <row r="125" spans="1:6" x14ac:dyDescent="0.2">
      <c r="E125" s="109"/>
      <c r="F125" s="109"/>
    </row>
    <row r="126" spans="1:6" x14ac:dyDescent="0.2">
      <c r="E126" s="109"/>
      <c r="F126" s="109"/>
    </row>
    <row r="127" spans="1:6" x14ac:dyDescent="0.2">
      <c r="E127" s="109"/>
      <c r="F127" s="109"/>
    </row>
    <row r="128" spans="1:6" x14ac:dyDescent="0.2">
      <c r="E128" s="109"/>
      <c r="F128" s="109"/>
    </row>
    <row r="129" spans="5:6" x14ac:dyDescent="0.2">
      <c r="E129" s="109"/>
      <c r="F129" s="109"/>
    </row>
    <row r="130" spans="5:6" x14ac:dyDescent="0.2">
      <c r="E130" s="109"/>
      <c r="F130" s="109"/>
    </row>
    <row r="131" spans="5:6" x14ac:dyDescent="0.2">
      <c r="E131" s="109"/>
      <c r="F131" s="109"/>
    </row>
    <row r="132" spans="5:6" x14ac:dyDescent="0.2">
      <c r="E132" s="109"/>
      <c r="F132" s="109"/>
    </row>
    <row r="133" spans="5:6" x14ac:dyDescent="0.2">
      <c r="E133" s="109"/>
      <c r="F133" s="109"/>
    </row>
    <row r="134" spans="5:6" x14ac:dyDescent="0.2">
      <c r="E134" s="109"/>
      <c r="F134" s="109"/>
    </row>
    <row r="135" spans="5:6" x14ac:dyDescent="0.2">
      <c r="E135" s="109"/>
      <c r="F135" s="109"/>
    </row>
    <row r="136" spans="5:6" x14ac:dyDescent="0.2">
      <c r="E136" s="109"/>
      <c r="F136" s="109"/>
    </row>
    <row r="137" spans="5:6" x14ac:dyDescent="0.2">
      <c r="E137" s="109"/>
      <c r="F137" s="109"/>
    </row>
    <row r="138" spans="5:6" x14ac:dyDescent="0.2">
      <c r="E138" s="109"/>
      <c r="F138" s="109"/>
    </row>
    <row r="139" spans="5:6" x14ac:dyDescent="0.2">
      <c r="E139" s="109"/>
      <c r="F139" s="109"/>
    </row>
    <row r="140" spans="5:6" x14ac:dyDescent="0.2">
      <c r="E140" s="109"/>
      <c r="F140" s="109"/>
    </row>
    <row r="141" spans="5:6" x14ac:dyDescent="0.2">
      <c r="E141" s="109"/>
      <c r="F141" s="109"/>
    </row>
    <row r="142" spans="5:6" x14ac:dyDescent="0.2">
      <c r="E142" s="109"/>
      <c r="F142" s="109"/>
    </row>
    <row r="143" spans="5:6" x14ac:dyDescent="0.2">
      <c r="E143" s="109"/>
      <c r="F143" s="109"/>
    </row>
    <row r="144" spans="5:6" x14ac:dyDescent="0.2">
      <c r="E144" s="109"/>
      <c r="F144" s="109"/>
    </row>
    <row r="145" spans="5:6" x14ac:dyDescent="0.2">
      <c r="E145" s="109"/>
      <c r="F145" s="109"/>
    </row>
    <row r="146" spans="5:6" x14ac:dyDescent="0.2">
      <c r="E146" s="109"/>
      <c r="F146" s="109"/>
    </row>
    <row r="147" spans="5:6" x14ac:dyDescent="0.2">
      <c r="E147" s="109"/>
      <c r="F147" s="109"/>
    </row>
    <row r="148" spans="5:6" x14ac:dyDescent="0.2">
      <c r="E148" s="109"/>
      <c r="F148" s="109"/>
    </row>
    <row r="149" spans="5:6" x14ac:dyDescent="0.2">
      <c r="E149" s="109"/>
      <c r="F149" s="109"/>
    </row>
    <row r="150" spans="5:6" x14ac:dyDescent="0.2">
      <c r="E150" s="109"/>
      <c r="F150" s="109"/>
    </row>
    <row r="151" spans="5:6" x14ac:dyDescent="0.2">
      <c r="E151" s="109"/>
      <c r="F151" s="109"/>
    </row>
    <row r="152" spans="5:6" x14ac:dyDescent="0.2">
      <c r="E152" s="109"/>
      <c r="F152" s="109"/>
    </row>
    <row r="153" spans="5:6" x14ac:dyDescent="0.2">
      <c r="E153" s="109"/>
      <c r="F153" s="109"/>
    </row>
    <row r="154" spans="5:6" x14ac:dyDescent="0.2">
      <c r="E154" s="109"/>
      <c r="F154" s="109"/>
    </row>
    <row r="155" spans="5:6" x14ac:dyDescent="0.2">
      <c r="E155" s="109"/>
      <c r="F155" s="109"/>
    </row>
    <row r="156" spans="5:6" x14ac:dyDescent="0.2">
      <c r="E156" s="109"/>
      <c r="F156" s="109"/>
    </row>
    <row r="157" spans="5:6" x14ac:dyDescent="0.2">
      <c r="E157" s="109"/>
      <c r="F157" s="109"/>
    </row>
    <row r="158" spans="5:6" x14ac:dyDescent="0.2">
      <c r="E158" s="109"/>
      <c r="F158" s="109"/>
    </row>
    <row r="159" spans="5:6" x14ac:dyDescent="0.2">
      <c r="E159" s="109"/>
      <c r="F159" s="109"/>
    </row>
    <row r="160" spans="5:6" x14ac:dyDescent="0.2">
      <c r="E160" s="109"/>
      <c r="F160" s="109"/>
    </row>
    <row r="161" spans="5:6" x14ac:dyDescent="0.2">
      <c r="E161" s="109"/>
      <c r="F161" s="109"/>
    </row>
    <row r="162" spans="5:6" x14ac:dyDescent="0.2">
      <c r="E162" s="109"/>
      <c r="F162" s="109"/>
    </row>
    <row r="163" spans="5:6" x14ac:dyDescent="0.2">
      <c r="E163" s="109"/>
      <c r="F163" s="109"/>
    </row>
    <row r="164" spans="5:6" x14ac:dyDescent="0.2">
      <c r="E164" s="109"/>
      <c r="F164" s="109"/>
    </row>
    <row r="165" spans="5:6" x14ac:dyDescent="0.2">
      <c r="E165" s="109"/>
      <c r="F165" s="109"/>
    </row>
    <row r="166" spans="5:6" x14ac:dyDescent="0.2">
      <c r="E166" s="109"/>
      <c r="F166" s="109"/>
    </row>
    <row r="167" spans="5:6" x14ac:dyDescent="0.2">
      <c r="E167" s="109"/>
      <c r="F167" s="109"/>
    </row>
    <row r="168" spans="5:6" x14ac:dyDescent="0.2">
      <c r="E168" s="109"/>
      <c r="F168" s="109"/>
    </row>
    <row r="169" spans="5:6" x14ac:dyDescent="0.2">
      <c r="E169" s="109"/>
      <c r="F169" s="109"/>
    </row>
    <row r="170" spans="5:6" x14ac:dyDescent="0.2">
      <c r="E170" s="109"/>
      <c r="F170" s="109"/>
    </row>
    <row r="171" spans="5:6" x14ac:dyDescent="0.2">
      <c r="E171" s="109"/>
      <c r="F171" s="109"/>
    </row>
    <row r="172" spans="5:6" x14ac:dyDescent="0.2">
      <c r="E172" s="109"/>
      <c r="F172" s="109"/>
    </row>
    <row r="173" spans="5:6" x14ac:dyDescent="0.2">
      <c r="E173" s="109"/>
      <c r="F173" s="109"/>
    </row>
    <row r="174" spans="5:6" x14ac:dyDescent="0.2">
      <c r="E174" s="109"/>
      <c r="F174" s="109"/>
    </row>
    <row r="175" spans="5:6" x14ac:dyDescent="0.2">
      <c r="E175" s="109"/>
      <c r="F175" s="109"/>
    </row>
    <row r="176" spans="5:6" x14ac:dyDescent="0.2">
      <c r="E176" s="109"/>
      <c r="F176" s="109"/>
    </row>
    <row r="177" spans="5:6" x14ac:dyDescent="0.2">
      <c r="E177" s="109"/>
      <c r="F177" s="109"/>
    </row>
    <row r="178" spans="5:6" x14ac:dyDescent="0.2">
      <c r="E178" s="109"/>
      <c r="F178" s="109"/>
    </row>
    <row r="179" spans="5:6" x14ac:dyDescent="0.2">
      <c r="E179" s="109"/>
      <c r="F179" s="109"/>
    </row>
    <row r="180" spans="5:6" x14ac:dyDescent="0.2">
      <c r="E180" s="109"/>
      <c r="F180" s="109"/>
    </row>
    <row r="181" spans="5:6" x14ac:dyDescent="0.2">
      <c r="E181" s="109"/>
      <c r="F181" s="109"/>
    </row>
    <row r="182" spans="5:6" x14ac:dyDescent="0.2">
      <c r="E182" s="109"/>
      <c r="F182" s="109"/>
    </row>
    <row r="183" spans="5:6" x14ac:dyDescent="0.2">
      <c r="E183" s="109"/>
      <c r="F183" s="109"/>
    </row>
    <row r="184" spans="5:6" x14ac:dyDescent="0.2">
      <c r="E184" s="109"/>
      <c r="F184" s="109"/>
    </row>
    <row r="185" spans="5:6" x14ac:dyDescent="0.2">
      <c r="E185" s="109"/>
      <c r="F185" s="109"/>
    </row>
    <row r="186" spans="5:6" x14ac:dyDescent="0.2">
      <c r="E186" s="109"/>
      <c r="F186" s="109"/>
    </row>
    <row r="187" spans="5:6" x14ac:dyDescent="0.2">
      <c r="E187" s="109"/>
      <c r="F187" s="109"/>
    </row>
    <row r="188" spans="5:6" x14ac:dyDescent="0.2">
      <c r="E188" s="109"/>
      <c r="F188" s="109"/>
    </row>
    <row r="189" spans="5:6" x14ac:dyDescent="0.2">
      <c r="E189" s="109"/>
      <c r="F189" s="109"/>
    </row>
    <row r="190" spans="5:6" x14ac:dyDescent="0.2">
      <c r="E190" s="109"/>
      <c r="F190" s="109"/>
    </row>
    <row r="191" spans="5:6" x14ac:dyDescent="0.2">
      <c r="E191" s="109"/>
      <c r="F191" s="109"/>
    </row>
    <row r="192" spans="5:6" x14ac:dyDescent="0.2">
      <c r="E192" s="109"/>
      <c r="F192" s="109"/>
    </row>
    <row r="193" spans="5:6" x14ac:dyDescent="0.2">
      <c r="E193" s="109"/>
      <c r="F193" s="109"/>
    </row>
    <row r="194" spans="5:6" x14ac:dyDescent="0.2">
      <c r="E194" s="109"/>
      <c r="F194" s="109"/>
    </row>
    <row r="195" spans="5:6" x14ac:dyDescent="0.2">
      <c r="E195" s="109"/>
      <c r="F195" s="109"/>
    </row>
    <row r="196" spans="5:6" x14ac:dyDescent="0.2">
      <c r="E196" s="109"/>
      <c r="F196" s="109"/>
    </row>
    <row r="197" spans="5:6" x14ac:dyDescent="0.2">
      <c r="E197" s="109"/>
      <c r="F197" s="109"/>
    </row>
    <row r="198" spans="5:6" x14ac:dyDescent="0.2">
      <c r="E198" s="109"/>
      <c r="F198" s="109"/>
    </row>
    <row r="199" spans="5:6" x14ac:dyDescent="0.2">
      <c r="E199" s="109"/>
      <c r="F199" s="109"/>
    </row>
    <row r="200" spans="5:6" x14ac:dyDescent="0.2">
      <c r="E200" s="109"/>
      <c r="F200" s="109"/>
    </row>
    <row r="201" spans="5:6" x14ac:dyDescent="0.2">
      <c r="E201" s="109"/>
      <c r="F201" s="109"/>
    </row>
    <row r="202" spans="5:6" x14ac:dyDescent="0.2">
      <c r="E202" s="109"/>
      <c r="F202" s="109"/>
    </row>
    <row r="203" spans="5:6" x14ac:dyDescent="0.2">
      <c r="E203" s="109"/>
      <c r="F203" s="109"/>
    </row>
    <row r="204" spans="5:6" x14ac:dyDescent="0.2">
      <c r="E204" s="109"/>
      <c r="F204" s="109"/>
    </row>
    <row r="205" spans="5:6" x14ac:dyDescent="0.2">
      <c r="E205" s="109"/>
      <c r="F205" s="109"/>
    </row>
    <row r="206" spans="5:6" x14ac:dyDescent="0.2">
      <c r="E206" s="109"/>
      <c r="F206" s="109"/>
    </row>
    <row r="207" spans="5:6" x14ac:dyDescent="0.2">
      <c r="E207" s="109"/>
      <c r="F207" s="109"/>
    </row>
    <row r="208" spans="5:6" x14ac:dyDescent="0.2">
      <c r="E208" s="109"/>
      <c r="F208" s="109"/>
    </row>
    <row r="209" spans="5:6" x14ac:dyDescent="0.2">
      <c r="E209" s="109"/>
      <c r="F209" s="109"/>
    </row>
    <row r="210" spans="5:6" x14ac:dyDescent="0.2">
      <c r="E210" s="109"/>
      <c r="F210" s="109"/>
    </row>
    <row r="211" spans="5:6" x14ac:dyDescent="0.2">
      <c r="E211" s="109"/>
      <c r="F211" s="109"/>
    </row>
    <row r="212" spans="5:6" x14ac:dyDescent="0.2">
      <c r="E212" s="109"/>
      <c r="F212" s="109"/>
    </row>
    <row r="213" spans="5:6" x14ac:dyDescent="0.2">
      <c r="E213" s="109"/>
      <c r="F213" s="109"/>
    </row>
    <row r="214" spans="5:6" x14ac:dyDescent="0.2">
      <c r="E214" s="109"/>
      <c r="F214" s="109"/>
    </row>
    <row r="215" spans="5:6" x14ac:dyDescent="0.2">
      <c r="E215" s="109"/>
      <c r="F215" s="109"/>
    </row>
    <row r="216" spans="5:6" x14ac:dyDescent="0.2">
      <c r="E216" s="109"/>
      <c r="F216" s="109"/>
    </row>
    <row r="217" spans="5:6" x14ac:dyDescent="0.2">
      <c r="E217" s="109"/>
      <c r="F217" s="109"/>
    </row>
    <row r="218" spans="5:6" x14ac:dyDescent="0.2">
      <c r="E218" s="109"/>
      <c r="F218" s="109"/>
    </row>
    <row r="219" spans="5:6" x14ac:dyDescent="0.2">
      <c r="E219" s="109"/>
      <c r="F219" s="109"/>
    </row>
    <row r="220" spans="5:6" x14ac:dyDescent="0.2">
      <c r="E220" s="109"/>
      <c r="F220" s="109"/>
    </row>
    <row r="221" spans="5:6" x14ac:dyDescent="0.2">
      <c r="E221" s="109"/>
      <c r="F221" s="109"/>
    </row>
    <row r="222" spans="5:6" x14ac:dyDescent="0.2">
      <c r="E222" s="109"/>
      <c r="F222" s="109"/>
    </row>
    <row r="223" spans="5:6" x14ac:dyDescent="0.2">
      <c r="E223" s="109"/>
      <c r="F223" s="109"/>
    </row>
    <row r="224" spans="5:6" x14ac:dyDescent="0.2">
      <c r="E224" s="109"/>
      <c r="F224" s="109"/>
    </row>
    <row r="225" spans="5:6" x14ac:dyDescent="0.2">
      <c r="E225" s="109"/>
      <c r="F225" s="109"/>
    </row>
    <row r="226" spans="5:6" x14ac:dyDescent="0.2">
      <c r="E226" s="109"/>
      <c r="F226" s="109"/>
    </row>
    <row r="227" spans="5:6" x14ac:dyDescent="0.2">
      <c r="E227" s="109"/>
      <c r="F227" s="109"/>
    </row>
    <row r="228" spans="5:6" x14ac:dyDescent="0.2">
      <c r="E228" s="109"/>
      <c r="F228" s="109"/>
    </row>
    <row r="229" spans="5:6" x14ac:dyDescent="0.2">
      <c r="E229" s="109"/>
      <c r="F229" s="109"/>
    </row>
    <row r="230" spans="5:6" x14ac:dyDescent="0.2">
      <c r="E230" s="109"/>
      <c r="F230" s="109"/>
    </row>
    <row r="231" spans="5:6" x14ac:dyDescent="0.2">
      <c r="E231" s="109"/>
      <c r="F231" s="109"/>
    </row>
    <row r="232" spans="5:6" x14ac:dyDescent="0.2">
      <c r="E232" s="109"/>
      <c r="F232" s="109"/>
    </row>
    <row r="233" spans="5:6" x14ac:dyDescent="0.2">
      <c r="E233" s="109"/>
      <c r="F233" s="109"/>
    </row>
    <row r="234" spans="5:6" x14ac:dyDescent="0.2">
      <c r="E234" s="109"/>
      <c r="F234" s="109"/>
    </row>
    <row r="235" spans="5:6" x14ac:dyDescent="0.2">
      <c r="E235" s="109"/>
      <c r="F235" s="109"/>
    </row>
    <row r="236" spans="5:6" x14ac:dyDescent="0.2">
      <c r="E236" s="109"/>
      <c r="F236" s="109"/>
    </row>
    <row r="237" spans="5:6" x14ac:dyDescent="0.2">
      <c r="E237" s="109"/>
      <c r="F237" s="109"/>
    </row>
    <row r="238" spans="5:6" x14ac:dyDescent="0.2">
      <c r="E238" s="109"/>
      <c r="F238" s="109"/>
    </row>
    <row r="239" spans="5:6" x14ac:dyDescent="0.2">
      <c r="E239" s="109"/>
      <c r="F239" s="109"/>
    </row>
    <row r="240" spans="5:6" x14ac:dyDescent="0.2">
      <c r="E240" s="109"/>
      <c r="F240" s="109"/>
    </row>
    <row r="241" spans="5:6" x14ac:dyDescent="0.2">
      <c r="E241" s="109"/>
      <c r="F241" s="109"/>
    </row>
    <row r="242" spans="5:6" x14ac:dyDescent="0.2">
      <c r="E242" s="109"/>
      <c r="F242" s="109"/>
    </row>
    <row r="243" spans="5:6" x14ac:dyDescent="0.2">
      <c r="E243" s="109"/>
      <c r="F243" s="109"/>
    </row>
    <row r="244" spans="5:6" x14ac:dyDescent="0.2">
      <c r="E244" s="109"/>
      <c r="F244" s="109"/>
    </row>
    <row r="245" spans="5:6" x14ac:dyDescent="0.2">
      <c r="E245" s="109"/>
      <c r="F245" s="109"/>
    </row>
    <row r="246" spans="5:6" x14ac:dyDescent="0.2">
      <c r="E246" s="109"/>
      <c r="F246" s="109"/>
    </row>
    <row r="247" spans="5:6" x14ac:dyDescent="0.2">
      <c r="E247" s="109"/>
      <c r="F247" s="109"/>
    </row>
    <row r="248" spans="5:6" x14ac:dyDescent="0.2">
      <c r="E248" s="109"/>
      <c r="F248" s="109"/>
    </row>
    <row r="249" spans="5:6" x14ac:dyDescent="0.2">
      <c r="E249" s="109"/>
      <c r="F249" s="109"/>
    </row>
    <row r="250" spans="5:6" x14ac:dyDescent="0.2">
      <c r="E250" s="109"/>
      <c r="F250" s="109"/>
    </row>
    <row r="251" spans="5:6" x14ac:dyDescent="0.2">
      <c r="E251" s="109"/>
      <c r="F251" s="109"/>
    </row>
    <row r="252" spans="5:6" x14ac:dyDescent="0.2">
      <c r="E252" s="109"/>
      <c r="F252" s="109"/>
    </row>
    <row r="253" spans="5:6" x14ac:dyDescent="0.2">
      <c r="E253" s="109"/>
      <c r="F253" s="109"/>
    </row>
    <row r="254" spans="5:6" x14ac:dyDescent="0.2">
      <c r="E254" s="109"/>
      <c r="F254" s="109"/>
    </row>
    <row r="255" spans="5:6" x14ac:dyDescent="0.2">
      <c r="E255" s="109"/>
      <c r="F255" s="109"/>
    </row>
    <row r="256" spans="5:6" x14ac:dyDescent="0.2">
      <c r="E256" s="109"/>
      <c r="F256" s="109"/>
    </row>
    <row r="257" spans="5:6" x14ac:dyDescent="0.2">
      <c r="E257" s="109"/>
      <c r="F257" s="109"/>
    </row>
    <row r="258" spans="5:6" x14ac:dyDescent="0.2">
      <c r="E258" s="109"/>
      <c r="F258" s="109"/>
    </row>
    <row r="259" spans="5:6" x14ac:dyDescent="0.2">
      <c r="E259" s="109"/>
      <c r="F259" s="109"/>
    </row>
    <row r="260" spans="5:6" x14ac:dyDescent="0.2">
      <c r="E260" s="109"/>
      <c r="F260" s="109"/>
    </row>
    <row r="261" spans="5:6" x14ac:dyDescent="0.2">
      <c r="E261" s="109"/>
      <c r="F261" s="109"/>
    </row>
    <row r="262" spans="5:6" x14ac:dyDescent="0.2">
      <c r="E262" s="109"/>
      <c r="F262" s="109"/>
    </row>
    <row r="263" spans="5:6" x14ac:dyDescent="0.2">
      <c r="E263" s="109"/>
      <c r="F263" s="109"/>
    </row>
    <row r="264" spans="5:6" x14ac:dyDescent="0.2">
      <c r="E264" s="109"/>
      <c r="F264" s="109"/>
    </row>
    <row r="265" spans="5:6" x14ac:dyDescent="0.2">
      <c r="E265" s="109"/>
      <c r="F265" s="109"/>
    </row>
    <row r="266" spans="5:6" x14ac:dyDescent="0.2">
      <c r="E266" s="109"/>
      <c r="F266" s="109"/>
    </row>
    <row r="267" spans="5:6" x14ac:dyDescent="0.2">
      <c r="E267" s="109"/>
      <c r="F267" s="109"/>
    </row>
    <row r="268" spans="5:6" x14ac:dyDescent="0.2">
      <c r="E268" s="109"/>
      <c r="F268" s="109"/>
    </row>
    <row r="269" spans="5:6" x14ac:dyDescent="0.2">
      <c r="E269" s="109"/>
      <c r="F269" s="109"/>
    </row>
    <row r="270" spans="5:6" x14ac:dyDescent="0.2">
      <c r="E270" s="109"/>
      <c r="F270" s="109"/>
    </row>
    <row r="271" spans="5:6" x14ac:dyDescent="0.2">
      <c r="E271" s="109"/>
      <c r="F271" s="109"/>
    </row>
    <row r="272" spans="5:6" x14ac:dyDescent="0.2">
      <c r="E272" s="109"/>
      <c r="F272" s="109"/>
    </row>
    <row r="273" spans="5:6" x14ac:dyDescent="0.2">
      <c r="E273" s="109"/>
      <c r="F273" s="109"/>
    </row>
    <row r="274" spans="5:6" x14ac:dyDescent="0.2">
      <c r="E274" s="109"/>
      <c r="F274" s="109"/>
    </row>
    <row r="275" spans="5:6" x14ac:dyDescent="0.2">
      <c r="E275" s="109"/>
      <c r="F275" s="109"/>
    </row>
    <row r="276" spans="5:6" x14ac:dyDescent="0.2">
      <c r="E276" s="109"/>
      <c r="F276" s="109"/>
    </row>
    <row r="277" spans="5:6" x14ac:dyDescent="0.2">
      <c r="E277" s="109"/>
      <c r="F277" s="109"/>
    </row>
    <row r="278" spans="5:6" x14ac:dyDescent="0.2">
      <c r="E278" s="109"/>
      <c r="F278" s="109"/>
    </row>
    <row r="279" spans="5:6" x14ac:dyDescent="0.2">
      <c r="E279" s="109"/>
      <c r="F279" s="109"/>
    </row>
    <row r="280" spans="5:6" x14ac:dyDescent="0.2">
      <c r="E280" s="109"/>
      <c r="F280" s="109"/>
    </row>
    <row r="281" spans="5:6" x14ac:dyDescent="0.2">
      <c r="E281" s="109"/>
      <c r="F281" s="109"/>
    </row>
    <row r="282" spans="5:6" x14ac:dyDescent="0.2">
      <c r="E282" s="109"/>
      <c r="F282" s="109"/>
    </row>
    <row r="283" spans="5:6" x14ac:dyDescent="0.2">
      <c r="E283" s="109"/>
      <c r="F283" s="109"/>
    </row>
    <row r="284" spans="5:6" x14ac:dyDescent="0.2">
      <c r="E284" s="109"/>
      <c r="F284" s="109"/>
    </row>
    <row r="285" spans="5:6" x14ac:dyDescent="0.2">
      <c r="E285" s="109"/>
      <c r="F285" s="109"/>
    </row>
    <row r="286" spans="5:6" x14ac:dyDescent="0.2">
      <c r="E286" s="109"/>
      <c r="F286" s="109"/>
    </row>
    <row r="287" spans="5:6" x14ac:dyDescent="0.2">
      <c r="E287" s="109"/>
      <c r="F287" s="109"/>
    </row>
    <row r="288" spans="5:6" x14ac:dyDescent="0.2">
      <c r="E288" s="109"/>
      <c r="F288" s="109"/>
    </row>
    <row r="289" spans="5:6" x14ac:dyDescent="0.2">
      <c r="E289" s="109"/>
      <c r="F289" s="109"/>
    </row>
    <row r="290" spans="5:6" x14ac:dyDescent="0.2">
      <c r="E290" s="109"/>
      <c r="F290" s="109"/>
    </row>
    <row r="291" spans="5:6" x14ac:dyDescent="0.2">
      <c r="E291" s="109"/>
      <c r="F291" s="109"/>
    </row>
    <row r="292" spans="5:6" x14ac:dyDescent="0.2">
      <c r="E292" s="109"/>
      <c r="F292" s="109"/>
    </row>
    <row r="293" spans="5:6" x14ac:dyDescent="0.2">
      <c r="E293" s="109"/>
      <c r="F293" s="109"/>
    </row>
    <row r="294" spans="5:6" x14ac:dyDescent="0.2">
      <c r="E294" s="109"/>
      <c r="F294" s="109"/>
    </row>
    <row r="295" spans="5:6" x14ac:dyDescent="0.2">
      <c r="E295" s="109"/>
      <c r="F295" s="109"/>
    </row>
    <row r="296" spans="5:6" x14ac:dyDescent="0.2">
      <c r="E296" s="109"/>
      <c r="F296" s="109"/>
    </row>
    <row r="297" spans="5:6" x14ac:dyDescent="0.2">
      <c r="E297" s="109"/>
      <c r="F297" s="109"/>
    </row>
    <row r="298" spans="5:6" x14ac:dyDescent="0.2">
      <c r="E298" s="109"/>
      <c r="F298" s="109"/>
    </row>
    <row r="299" spans="5:6" x14ac:dyDescent="0.2">
      <c r="E299" s="109"/>
      <c r="F299" s="109"/>
    </row>
    <row r="300" spans="5:6" x14ac:dyDescent="0.2">
      <c r="E300" s="109"/>
      <c r="F300" s="109"/>
    </row>
    <row r="301" spans="5:6" x14ac:dyDescent="0.2">
      <c r="E301" s="109"/>
      <c r="F301" s="109"/>
    </row>
    <row r="302" spans="5:6" x14ac:dyDescent="0.2">
      <c r="E302" s="109"/>
      <c r="F302" s="109"/>
    </row>
    <row r="303" spans="5:6" x14ac:dyDescent="0.2">
      <c r="E303" s="109"/>
      <c r="F303" s="109"/>
    </row>
    <row r="304" spans="5:6" x14ac:dyDescent="0.2">
      <c r="E304" s="109"/>
      <c r="F304" s="109"/>
    </row>
    <row r="305" spans="5:6" x14ac:dyDescent="0.2">
      <c r="E305" s="109"/>
      <c r="F305" s="109"/>
    </row>
    <row r="306" spans="5:6" x14ac:dyDescent="0.2">
      <c r="E306" s="109"/>
      <c r="F306" s="109"/>
    </row>
    <row r="307" spans="5:6" x14ac:dyDescent="0.2">
      <c r="E307" s="109"/>
      <c r="F307" s="109"/>
    </row>
    <row r="308" spans="5:6" x14ac:dyDescent="0.2">
      <c r="E308" s="109"/>
      <c r="F308" s="109"/>
    </row>
    <row r="309" spans="5:6" x14ac:dyDescent="0.2">
      <c r="E309" s="109"/>
      <c r="F309" s="109"/>
    </row>
    <row r="310" spans="5:6" x14ac:dyDescent="0.2">
      <c r="E310" s="109"/>
      <c r="F310" s="109"/>
    </row>
    <row r="311" spans="5:6" x14ac:dyDescent="0.2">
      <c r="E311" s="109"/>
      <c r="F311" s="109"/>
    </row>
    <row r="312" spans="5:6" x14ac:dyDescent="0.2">
      <c r="E312" s="109"/>
      <c r="F312" s="109"/>
    </row>
    <row r="313" spans="5:6" x14ac:dyDescent="0.2">
      <c r="E313" s="109"/>
      <c r="F313" s="109"/>
    </row>
    <row r="314" spans="5:6" x14ac:dyDescent="0.2">
      <c r="E314" s="109"/>
      <c r="F314" s="109"/>
    </row>
    <row r="315" spans="5:6" x14ac:dyDescent="0.2">
      <c r="E315" s="109"/>
      <c r="F315" s="109"/>
    </row>
    <row r="316" spans="5:6" x14ac:dyDescent="0.2">
      <c r="E316" s="109"/>
      <c r="F316" s="109"/>
    </row>
    <row r="317" spans="5:6" x14ac:dyDescent="0.2">
      <c r="E317" s="109"/>
      <c r="F317" s="109"/>
    </row>
    <row r="318" spans="5:6" x14ac:dyDescent="0.2">
      <c r="E318" s="109"/>
      <c r="F318" s="109"/>
    </row>
    <row r="319" spans="5:6" x14ac:dyDescent="0.2">
      <c r="E319" s="109"/>
      <c r="F319" s="109"/>
    </row>
    <row r="320" spans="5:6" x14ac:dyDescent="0.2">
      <c r="E320" s="109"/>
      <c r="F320" s="109"/>
    </row>
    <row r="321" spans="5:6" x14ac:dyDescent="0.2">
      <c r="E321" s="109"/>
      <c r="F321" s="109"/>
    </row>
    <row r="322" spans="5:6" x14ac:dyDescent="0.2">
      <c r="E322" s="109"/>
      <c r="F322" s="109"/>
    </row>
    <row r="323" spans="5:6" x14ac:dyDescent="0.2">
      <c r="E323" s="109"/>
      <c r="F323" s="109"/>
    </row>
    <row r="324" spans="5:6" x14ac:dyDescent="0.2">
      <c r="E324" s="109"/>
      <c r="F324" s="109"/>
    </row>
    <row r="325" spans="5:6" x14ac:dyDescent="0.2">
      <c r="E325" s="109"/>
      <c r="F325" s="109"/>
    </row>
    <row r="326" spans="5:6" x14ac:dyDescent="0.2">
      <c r="E326" s="109"/>
      <c r="F326" s="109"/>
    </row>
    <row r="327" spans="5:6" x14ac:dyDescent="0.2">
      <c r="E327" s="109"/>
      <c r="F327" s="109"/>
    </row>
    <row r="328" spans="5:6" x14ac:dyDescent="0.2">
      <c r="E328" s="109"/>
      <c r="F328" s="109"/>
    </row>
    <row r="329" spans="5:6" x14ac:dyDescent="0.2">
      <c r="E329" s="109"/>
      <c r="F329" s="109"/>
    </row>
    <row r="330" spans="5:6" x14ac:dyDescent="0.2">
      <c r="E330" s="109"/>
      <c r="F330" s="109"/>
    </row>
    <row r="331" spans="5:6" x14ac:dyDescent="0.2">
      <c r="E331" s="109"/>
      <c r="F331" s="109"/>
    </row>
    <row r="332" spans="5:6" x14ac:dyDescent="0.2">
      <c r="E332" s="109"/>
      <c r="F332" s="109"/>
    </row>
    <row r="333" spans="5:6" x14ac:dyDescent="0.2">
      <c r="E333" s="109"/>
      <c r="F333" s="109"/>
    </row>
    <row r="334" spans="5:6" x14ac:dyDescent="0.2">
      <c r="E334" s="109"/>
      <c r="F334" s="109"/>
    </row>
    <row r="335" spans="5:6" x14ac:dyDescent="0.2">
      <c r="E335" s="109"/>
      <c r="F335" s="109"/>
    </row>
    <row r="336" spans="5:6" x14ac:dyDescent="0.2">
      <c r="E336" s="109"/>
      <c r="F336" s="109"/>
    </row>
    <row r="337" spans="5:6" x14ac:dyDescent="0.2">
      <c r="E337" s="109"/>
      <c r="F337" s="109"/>
    </row>
    <row r="338" spans="5:6" x14ac:dyDescent="0.2">
      <c r="E338" s="109"/>
      <c r="F338" s="109"/>
    </row>
    <row r="339" spans="5:6" x14ac:dyDescent="0.2">
      <c r="E339" s="109"/>
      <c r="F339" s="109"/>
    </row>
    <row r="340" spans="5:6" x14ac:dyDescent="0.2">
      <c r="E340" s="109"/>
      <c r="F340" s="109"/>
    </row>
    <row r="341" spans="5:6" x14ac:dyDescent="0.2">
      <c r="E341" s="109"/>
      <c r="F341" s="109"/>
    </row>
    <row r="342" spans="5:6" x14ac:dyDescent="0.2">
      <c r="E342" s="109"/>
      <c r="F342" s="109"/>
    </row>
    <row r="343" spans="5:6" x14ac:dyDescent="0.2">
      <c r="E343" s="109"/>
      <c r="F343" s="109"/>
    </row>
    <row r="344" spans="5:6" x14ac:dyDescent="0.2">
      <c r="E344" s="109"/>
      <c r="F344" s="109"/>
    </row>
    <row r="345" spans="5:6" x14ac:dyDescent="0.2">
      <c r="E345" s="109"/>
      <c r="F345" s="109"/>
    </row>
    <row r="346" spans="5:6" x14ac:dyDescent="0.2">
      <c r="E346" s="109"/>
      <c r="F346" s="109"/>
    </row>
    <row r="347" spans="5:6" x14ac:dyDescent="0.2">
      <c r="E347" s="109"/>
      <c r="F347" s="109"/>
    </row>
    <row r="348" spans="5:6" x14ac:dyDescent="0.2">
      <c r="E348" s="109"/>
      <c r="F348" s="109"/>
    </row>
    <row r="349" spans="5:6" x14ac:dyDescent="0.2">
      <c r="E349" s="109"/>
      <c r="F349" s="109"/>
    </row>
    <row r="350" spans="5:6" x14ac:dyDescent="0.2">
      <c r="E350" s="109"/>
      <c r="F350" s="109"/>
    </row>
    <row r="351" spans="5:6" x14ac:dyDescent="0.2">
      <c r="E351" s="109"/>
      <c r="F351" s="109"/>
    </row>
    <row r="352" spans="5:6" x14ac:dyDescent="0.2">
      <c r="E352" s="109"/>
      <c r="F352" s="109"/>
    </row>
    <row r="353" spans="5:6" x14ac:dyDescent="0.2">
      <c r="E353" s="109"/>
      <c r="F353" s="109"/>
    </row>
    <row r="354" spans="5:6" x14ac:dyDescent="0.2">
      <c r="E354" s="109"/>
      <c r="F354" s="109"/>
    </row>
    <row r="355" spans="5:6" x14ac:dyDescent="0.2">
      <c r="E355" s="109"/>
      <c r="F355" s="109"/>
    </row>
    <row r="356" spans="5:6" x14ac:dyDescent="0.2">
      <c r="E356" s="109"/>
      <c r="F356" s="109"/>
    </row>
    <row r="357" spans="5:6" x14ac:dyDescent="0.2">
      <c r="E357" s="109"/>
      <c r="F357" s="109"/>
    </row>
    <row r="358" spans="5:6" x14ac:dyDescent="0.2">
      <c r="E358" s="109"/>
      <c r="F358" s="109"/>
    </row>
    <row r="359" spans="5:6" x14ac:dyDescent="0.2">
      <c r="E359" s="109"/>
      <c r="F359" s="109"/>
    </row>
    <row r="360" spans="5:6" x14ac:dyDescent="0.2">
      <c r="E360" s="109"/>
      <c r="F360" s="109"/>
    </row>
    <row r="361" spans="5:6" x14ac:dyDescent="0.2">
      <c r="E361" s="109"/>
      <c r="F361" s="109"/>
    </row>
    <row r="362" spans="5:6" x14ac:dyDescent="0.2">
      <c r="E362" s="109"/>
      <c r="F362" s="109"/>
    </row>
    <row r="363" spans="5:6" x14ac:dyDescent="0.2">
      <c r="E363" s="109"/>
      <c r="F363" s="109"/>
    </row>
    <row r="364" spans="5:6" x14ac:dyDescent="0.2">
      <c r="E364" s="109"/>
      <c r="F364" s="109"/>
    </row>
    <row r="365" spans="5:6" x14ac:dyDescent="0.2">
      <c r="E365" s="109"/>
      <c r="F365" s="109"/>
    </row>
    <row r="366" spans="5:6" x14ac:dyDescent="0.2">
      <c r="E366" s="109"/>
      <c r="F366" s="109"/>
    </row>
    <row r="367" spans="5:6" x14ac:dyDescent="0.2">
      <c r="E367" s="109"/>
      <c r="F367" s="109"/>
    </row>
    <row r="368" spans="5:6" x14ac:dyDescent="0.2">
      <c r="E368" s="109"/>
      <c r="F368" s="109"/>
    </row>
    <row r="369" spans="5:6" x14ac:dyDescent="0.2">
      <c r="E369" s="109"/>
      <c r="F369" s="109"/>
    </row>
    <row r="370" spans="5:6" x14ac:dyDescent="0.2">
      <c r="E370" s="109"/>
      <c r="F370" s="109"/>
    </row>
    <row r="371" spans="5:6" x14ac:dyDescent="0.2">
      <c r="E371" s="109"/>
      <c r="F371" s="109"/>
    </row>
    <row r="372" spans="5:6" x14ac:dyDescent="0.2">
      <c r="E372" s="109"/>
      <c r="F372" s="109"/>
    </row>
    <row r="373" spans="5:6" x14ac:dyDescent="0.2">
      <c r="E373" s="109"/>
      <c r="F373" s="109"/>
    </row>
    <row r="374" spans="5:6" x14ac:dyDescent="0.2">
      <c r="E374" s="109"/>
      <c r="F374" s="109"/>
    </row>
    <row r="375" spans="5:6" x14ac:dyDescent="0.2">
      <c r="E375" s="109"/>
      <c r="F375" s="109"/>
    </row>
    <row r="376" spans="5:6" x14ac:dyDescent="0.2">
      <c r="E376" s="109"/>
      <c r="F376" s="109"/>
    </row>
    <row r="377" spans="5:6" x14ac:dyDescent="0.2">
      <c r="E377" s="109"/>
      <c r="F377" s="109"/>
    </row>
    <row r="378" spans="5:6" x14ac:dyDescent="0.2">
      <c r="E378" s="109"/>
      <c r="F378" s="109"/>
    </row>
    <row r="379" spans="5:6" x14ac:dyDescent="0.2">
      <c r="E379" s="109"/>
      <c r="F379" s="109"/>
    </row>
    <row r="380" spans="5:6" x14ac:dyDescent="0.2">
      <c r="E380" s="109"/>
      <c r="F380" s="109"/>
    </row>
    <row r="381" spans="5:6" x14ac:dyDescent="0.2">
      <c r="E381" s="109"/>
      <c r="F381" s="109"/>
    </row>
    <row r="382" spans="5:6" x14ac:dyDescent="0.2">
      <c r="E382" s="109"/>
      <c r="F382" s="109"/>
    </row>
    <row r="383" spans="5:6" x14ac:dyDescent="0.2">
      <c r="E383" s="109"/>
      <c r="F383" s="109"/>
    </row>
    <row r="384" spans="5:6" x14ac:dyDescent="0.2">
      <c r="E384" s="109"/>
      <c r="F384" s="109"/>
    </row>
    <row r="385" spans="5:6" x14ac:dyDescent="0.2">
      <c r="E385" s="109"/>
      <c r="F385" s="109"/>
    </row>
    <row r="386" spans="5:6" x14ac:dyDescent="0.2">
      <c r="E386" s="109"/>
      <c r="F386" s="109"/>
    </row>
    <row r="387" spans="5:6" x14ac:dyDescent="0.2">
      <c r="E387" s="109"/>
      <c r="F387" s="109"/>
    </row>
    <row r="388" spans="5:6" x14ac:dyDescent="0.2">
      <c r="E388" s="109"/>
      <c r="F388" s="109"/>
    </row>
    <row r="389" spans="5:6" x14ac:dyDescent="0.2">
      <c r="E389" s="109"/>
      <c r="F389" s="109"/>
    </row>
    <row r="390" spans="5:6" x14ac:dyDescent="0.2">
      <c r="E390" s="109"/>
      <c r="F390" s="109"/>
    </row>
    <row r="391" spans="5:6" x14ac:dyDescent="0.2">
      <c r="E391" s="109"/>
      <c r="F391" s="109"/>
    </row>
    <row r="392" spans="5:6" x14ac:dyDescent="0.2">
      <c r="E392" s="109"/>
      <c r="F392" s="109"/>
    </row>
    <row r="393" spans="5:6" x14ac:dyDescent="0.2">
      <c r="E393" s="109"/>
      <c r="F393" s="109"/>
    </row>
    <row r="394" spans="5:6" x14ac:dyDescent="0.2">
      <c r="E394" s="109"/>
      <c r="F394" s="109"/>
    </row>
    <row r="395" spans="5:6" x14ac:dyDescent="0.2">
      <c r="E395" s="109"/>
      <c r="F395" s="109"/>
    </row>
    <row r="396" spans="5:6" x14ac:dyDescent="0.2">
      <c r="E396" s="109"/>
      <c r="F396" s="109"/>
    </row>
    <row r="397" spans="5:6" x14ac:dyDescent="0.2">
      <c r="E397" s="109"/>
      <c r="F397" s="109"/>
    </row>
    <row r="398" spans="5:6" x14ac:dyDescent="0.2">
      <c r="E398" s="109"/>
      <c r="F398" s="109"/>
    </row>
    <row r="399" spans="5:6" x14ac:dyDescent="0.2">
      <c r="E399" s="109"/>
      <c r="F399" s="109"/>
    </row>
    <row r="400" spans="5:6" x14ac:dyDescent="0.2">
      <c r="E400" s="109"/>
      <c r="F400" s="109"/>
    </row>
    <row r="401" spans="5:6" x14ac:dyDescent="0.2">
      <c r="E401" s="109"/>
      <c r="F401" s="109"/>
    </row>
    <row r="402" spans="5:6" x14ac:dyDescent="0.2">
      <c r="E402" s="109"/>
      <c r="F402" s="109"/>
    </row>
    <row r="403" spans="5:6" x14ac:dyDescent="0.2">
      <c r="E403" s="109"/>
      <c r="F403" s="109"/>
    </row>
    <row r="404" spans="5:6" x14ac:dyDescent="0.2">
      <c r="E404" s="109"/>
      <c r="F404" s="109"/>
    </row>
    <row r="405" spans="5:6" x14ac:dyDescent="0.2">
      <c r="E405" s="109"/>
      <c r="F405" s="109"/>
    </row>
    <row r="406" spans="5:6" x14ac:dyDescent="0.2">
      <c r="E406" s="109"/>
      <c r="F406" s="109"/>
    </row>
    <row r="407" spans="5:6" x14ac:dyDescent="0.2">
      <c r="E407" s="109"/>
      <c r="F407" s="109"/>
    </row>
    <row r="408" spans="5:6" x14ac:dyDescent="0.2">
      <c r="E408" s="109"/>
      <c r="F408" s="109"/>
    </row>
    <row r="409" spans="5:6" x14ac:dyDescent="0.2">
      <c r="E409" s="109"/>
      <c r="F409" s="109"/>
    </row>
    <row r="410" spans="5:6" x14ac:dyDescent="0.2">
      <c r="E410" s="109"/>
      <c r="F410" s="109"/>
    </row>
    <row r="411" spans="5:6" x14ac:dyDescent="0.2">
      <c r="E411" s="109"/>
      <c r="F411" s="109"/>
    </row>
    <row r="412" spans="5:6" x14ac:dyDescent="0.2">
      <c r="E412" s="109"/>
      <c r="F412" s="109"/>
    </row>
    <row r="413" spans="5:6" x14ac:dyDescent="0.2">
      <c r="E413" s="109"/>
      <c r="F413" s="109"/>
    </row>
    <row r="414" spans="5:6" x14ac:dyDescent="0.2">
      <c r="E414" s="109"/>
      <c r="F414" s="109"/>
    </row>
    <row r="415" spans="5:6" x14ac:dyDescent="0.2">
      <c r="E415" s="109"/>
      <c r="F415" s="109"/>
    </row>
    <row r="416" spans="5:6" x14ac:dyDescent="0.2">
      <c r="E416" s="109"/>
      <c r="F416" s="109"/>
    </row>
    <row r="417" spans="5:6" x14ac:dyDescent="0.2">
      <c r="E417" s="109"/>
      <c r="F417" s="109"/>
    </row>
    <row r="418" spans="5:6" x14ac:dyDescent="0.2">
      <c r="E418" s="109"/>
      <c r="F418" s="109"/>
    </row>
    <row r="419" spans="5:6" x14ac:dyDescent="0.2">
      <c r="E419" s="109"/>
      <c r="F419" s="109"/>
    </row>
    <row r="420" spans="5:6" x14ac:dyDescent="0.2">
      <c r="E420" s="109"/>
      <c r="F420" s="109"/>
    </row>
    <row r="421" spans="5:6" x14ac:dyDescent="0.2">
      <c r="E421" s="109"/>
      <c r="F421" s="109"/>
    </row>
    <row r="422" spans="5:6" x14ac:dyDescent="0.2">
      <c r="E422" s="109"/>
      <c r="F422" s="109"/>
    </row>
    <row r="423" spans="5:6" x14ac:dyDescent="0.2">
      <c r="E423" s="109"/>
      <c r="F423" s="109"/>
    </row>
    <row r="424" spans="5:6" x14ac:dyDescent="0.2">
      <c r="E424" s="109"/>
      <c r="F424" s="109"/>
    </row>
    <row r="425" spans="5:6" x14ac:dyDescent="0.2">
      <c r="E425" s="109"/>
      <c r="F425" s="109"/>
    </row>
    <row r="426" spans="5:6" x14ac:dyDescent="0.2">
      <c r="E426" s="109"/>
      <c r="F426" s="109"/>
    </row>
    <row r="427" spans="5:6" x14ac:dyDescent="0.2">
      <c r="E427" s="109"/>
      <c r="F427" s="109"/>
    </row>
    <row r="428" spans="5:6" x14ac:dyDescent="0.2">
      <c r="E428" s="109"/>
      <c r="F428" s="109"/>
    </row>
    <row r="429" spans="5:6" x14ac:dyDescent="0.2">
      <c r="E429" s="109"/>
      <c r="F429" s="109"/>
    </row>
    <row r="430" spans="5:6" x14ac:dyDescent="0.2">
      <c r="E430" s="109"/>
      <c r="F430" s="109"/>
    </row>
    <row r="431" spans="5:6" x14ac:dyDescent="0.2">
      <c r="E431" s="109"/>
      <c r="F431" s="109"/>
    </row>
    <row r="432" spans="5:6" x14ac:dyDescent="0.2">
      <c r="E432" s="109"/>
      <c r="F432" s="109"/>
    </row>
    <row r="433" spans="5:6" x14ac:dyDescent="0.2">
      <c r="E433" s="109"/>
      <c r="F433" s="109"/>
    </row>
    <row r="434" spans="5:6" x14ac:dyDescent="0.2">
      <c r="E434" s="109"/>
      <c r="F434" s="109"/>
    </row>
    <row r="435" spans="5:6" x14ac:dyDescent="0.2">
      <c r="E435" s="109"/>
      <c r="F435" s="109"/>
    </row>
    <row r="436" spans="5:6" x14ac:dyDescent="0.2">
      <c r="E436" s="109"/>
      <c r="F436" s="109"/>
    </row>
    <row r="437" spans="5:6" x14ac:dyDescent="0.2">
      <c r="E437" s="109"/>
      <c r="F437" s="109"/>
    </row>
    <row r="438" spans="5:6" x14ac:dyDescent="0.2">
      <c r="E438" s="109"/>
      <c r="F438" s="109"/>
    </row>
    <row r="439" spans="5:6" x14ac:dyDescent="0.2">
      <c r="E439" s="109"/>
      <c r="F439" s="109"/>
    </row>
    <row r="440" spans="5:6" x14ac:dyDescent="0.2">
      <c r="E440" s="109"/>
      <c r="F440" s="109"/>
    </row>
    <row r="441" spans="5:6" x14ac:dyDescent="0.2">
      <c r="E441" s="109"/>
      <c r="F441" s="109"/>
    </row>
    <row r="442" spans="5:6" x14ac:dyDescent="0.2">
      <c r="E442" s="109"/>
      <c r="F442" s="109"/>
    </row>
    <row r="443" spans="5:6" x14ac:dyDescent="0.2">
      <c r="E443" s="109"/>
      <c r="F443" s="109"/>
    </row>
    <row r="444" spans="5:6" x14ac:dyDescent="0.2">
      <c r="E444" s="109"/>
      <c r="F444" s="109"/>
    </row>
    <row r="445" spans="5:6" x14ac:dyDescent="0.2">
      <c r="E445" s="109"/>
      <c r="F445" s="109"/>
    </row>
    <row r="446" spans="5:6" x14ac:dyDescent="0.2">
      <c r="E446" s="109"/>
      <c r="F446" s="109"/>
    </row>
    <row r="447" spans="5:6" x14ac:dyDescent="0.2">
      <c r="E447" s="109"/>
      <c r="F447" s="109"/>
    </row>
    <row r="448" spans="5:6" x14ac:dyDescent="0.2">
      <c r="E448" s="109"/>
      <c r="F448" s="109"/>
    </row>
    <row r="449" spans="5:6" x14ac:dyDescent="0.2">
      <c r="E449" s="109"/>
      <c r="F449" s="109"/>
    </row>
    <row r="450" spans="5:6" x14ac:dyDescent="0.2">
      <c r="E450" s="109"/>
      <c r="F450" s="109"/>
    </row>
    <row r="451" spans="5:6" x14ac:dyDescent="0.2">
      <c r="E451" s="109"/>
      <c r="F451" s="109"/>
    </row>
    <row r="452" spans="5:6" x14ac:dyDescent="0.2">
      <c r="E452" s="109"/>
      <c r="F452" s="109"/>
    </row>
    <row r="453" spans="5:6" x14ac:dyDescent="0.2">
      <c r="E453" s="109"/>
      <c r="F453" s="109"/>
    </row>
    <row r="454" spans="5:6" x14ac:dyDescent="0.2">
      <c r="E454" s="109"/>
      <c r="F454" s="109"/>
    </row>
    <row r="455" spans="5:6" x14ac:dyDescent="0.2">
      <c r="E455" s="109"/>
      <c r="F455" s="109"/>
    </row>
    <row r="456" spans="5:6" x14ac:dyDescent="0.2">
      <c r="E456" s="109"/>
      <c r="F456" s="109"/>
    </row>
    <row r="457" spans="5:6" x14ac:dyDescent="0.2">
      <c r="E457" s="109"/>
      <c r="F457" s="109"/>
    </row>
    <row r="458" spans="5:6" x14ac:dyDescent="0.2">
      <c r="E458" s="109"/>
      <c r="F458" s="109"/>
    </row>
    <row r="459" spans="5:6" x14ac:dyDescent="0.2">
      <c r="E459" s="109"/>
      <c r="F459" s="109"/>
    </row>
    <row r="460" spans="5:6" x14ac:dyDescent="0.2">
      <c r="E460" s="109"/>
      <c r="F460" s="109"/>
    </row>
    <row r="461" spans="5:6" x14ac:dyDescent="0.2">
      <c r="E461" s="109"/>
      <c r="F461" s="109"/>
    </row>
    <row r="462" spans="5:6" x14ac:dyDescent="0.2">
      <c r="E462" s="109"/>
      <c r="F462" s="109"/>
    </row>
    <row r="463" spans="5:6" x14ac:dyDescent="0.2">
      <c r="E463" s="109"/>
      <c r="F463" s="109"/>
    </row>
    <row r="464" spans="5:6" x14ac:dyDescent="0.2">
      <c r="E464" s="109"/>
      <c r="F464" s="109"/>
    </row>
    <row r="465" spans="5:6" x14ac:dyDescent="0.2">
      <c r="E465" s="109"/>
      <c r="F465" s="109"/>
    </row>
    <row r="466" spans="5:6" x14ac:dyDescent="0.2">
      <c r="E466" s="109"/>
      <c r="F466" s="109"/>
    </row>
    <row r="467" spans="5:6" x14ac:dyDescent="0.2">
      <c r="E467" s="109"/>
      <c r="F467" s="109"/>
    </row>
    <row r="468" spans="5:6" x14ac:dyDescent="0.2">
      <c r="E468" s="109"/>
      <c r="F468" s="109"/>
    </row>
    <row r="469" spans="5:6" x14ac:dyDescent="0.2">
      <c r="E469" s="109"/>
      <c r="F469" s="109"/>
    </row>
    <row r="470" spans="5:6" x14ac:dyDescent="0.2">
      <c r="E470" s="109"/>
      <c r="F470" s="109"/>
    </row>
    <row r="471" spans="5:6" x14ac:dyDescent="0.2">
      <c r="E471" s="109"/>
      <c r="F471" s="109"/>
    </row>
    <row r="472" spans="5:6" x14ac:dyDescent="0.2">
      <c r="E472" s="109"/>
      <c r="F472" s="109"/>
    </row>
    <row r="473" spans="5:6" x14ac:dyDescent="0.2">
      <c r="E473" s="109"/>
      <c r="F473" s="109"/>
    </row>
    <row r="474" spans="5:6" x14ac:dyDescent="0.2">
      <c r="E474" s="109"/>
      <c r="F474" s="109"/>
    </row>
    <row r="475" spans="5:6" x14ac:dyDescent="0.2">
      <c r="E475" s="109"/>
      <c r="F475" s="109"/>
    </row>
    <row r="476" spans="5:6" x14ac:dyDescent="0.2">
      <c r="E476" s="109"/>
      <c r="F476" s="109"/>
    </row>
    <row r="477" spans="5:6" x14ac:dyDescent="0.2">
      <c r="E477" s="109"/>
      <c r="F477" s="109"/>
    </row>
    <row r="478" spans="5:6" x14ac:dyDescent="0.2">
      <c r="E478" s="109"/>
      <c r="F478" s="109"/>
    </row>
    <row r="479" spans="5:6" x14ac:dyDescent="0.2">
      <c r="E479" s="109"/>
      <c r="F479" s="109"/>
    </row>
    <row r="480" spans="5:6" x14ac:dyDescent="0.2">
      <c r="E480" s="109"/>
      <c r="F480" s="109"/>
    </row>
    <row r="481" spans="5:6" x14ac:dyDescent="0.2">
      <c r="E481" s="109"/>
      <c r="F481" s="109"/>
    </row>
    <row r="482" spans="5:6" x14ac:dyDescent="0.2">
      <c r="E482" s="109"/>
      <c r="F482" s="109"/>
    </row>
    <row r="483" spans="5:6" x14ac:dyDescent="0.2">
      <c r="E483" s="109"/>
      <c r="F483" s="109"/>
    </row>
    <row r="484" spans="5:6" x14ac:dyDescent="0.2">
      <c r="E484" s="109"/>
      <c r="F484" s="109"/>
    </row>
    <row r="485" spans="5:6" x14ac:dyDescent="0.2">
      <c r="E485" s="109"/>
      <c r="F485" s="109"/>
    </row>
    <row r="486" spans="5:6" x14ac:dyDescent="0.2">
      <c r="E486" s="109"/>
      <c r="F486" s="109"/>
    </row>
    <row r="487" spans="5:6" x14ac:dyDescent="0.2">
      <c r="E487" s="109"/>
      <c r="F487" s="109"/>
    </row>
    <row r="488" spans="5:6" x14ac:dyDescent="0.2">
      <c r="E488" s="109"/>
      <c r="F488" s="109"/>
    </row>
    <row r="489" spans="5:6" x14ac:dyDescent="0.2">
      <c r="E489" s="109"/>
      <c r="F489" s="109"/>
    </row>
    <row r="490" spans="5:6" x14ac:dyDescent="0.2">
      <c r="E490" s="109"/>
      <c r="F490" s="109"/>
    </row>
    <row r="491" spans="5:6" x14ac:dyDescent="0.2">
      <c r="E491" s="109"/>
      <c r="F491" s="109"/>
    </row>
    <row r="492" spans="5:6" x14ac:dyDescent="0.2">
      <c r="E492" s="109"/>
      <c r="F492" s="109"/>
    </row>
    <row r="493" spans="5:6" x14ac:dyDescent="0.2">
      <c r="E493" s="109"/>
      <c r="F493" s="109"/>
    </row>
    <row r="494" spans="5:6" x14ac:dyDescent="0.2">
      <c r="E494" s="109"/>
      <c r="F494" s="109"/>
    </row>
    <row r="495" spans="5:6" x14ac:dyDescent="0.2">
      <c r="E495" s="109"/>
      <c r="F495" s="109"/>
    </row>
    <row r="496" spans="5:6" x14ac:dyDescent="0.2">
      <c r="E496" s="109"/>
      <c r="F496" s="109"/>
    </row>
    <row r="497" spans="5:6" x14ac:dyDescent="0.2">
      <c r="E497" s="109"/>
      <c r="F497" s="109"/>
    </row>
    <row r="498" spans="5:6" x14ac:dyDescent="0.2">
      <c r="E498" s="109"/>
      <c r="F498" s="109"/>
    </row>
    <row r="499" spans="5:6" x14ac:dyDescent="0.2">
      <c r="E499" s="109"/>
      <c r="F499" s="109"/>
    </row>
    <row r="500" spans="5:6" x14ac:dyDescent="0.2">
      <c r="E500" s="109"/>
      <c r="F500" s="109"/>
    </row>
    <row r="501" spans="5:6" x14ac:dyDescent="0.2">
      <c r="E501" s="109"/>
      <c r="F501" s="109"/>
    </row>
    <row r="502" spans="5:6" x14ac:dyDescent="0.2">
      <c r="E502" s="109"/>
      <c r="F502" s="109"/>
    </row>
    <row r="503" spans="5:6" x14ac:dyDescent="0.2">
      <c r="E503" s="109"/>
      <c r="F503" s="109"/>
    </row>
    <row r="504" spans="5:6" x14ac:dyDescent="0.2">
      <c r="E504" s="109"/>
      <c r="F504" s="109"/>
    </row>
    <row r="505" spans="5:6" x14ac:dyDescent="0.2">
      <c r="E505" s="109"/>
      <c r="F505" s="109"/>
    </row>
    <row r="506" spans="5:6" x14ac:dyDescent="0.2">
      <c r="E506" s="109"/>
      <c r="F506" s="109"/>
    </row>
    <row r="507" spans="5:6" x14ac:dyDescent="0.2">
      <c r="E507" s="109"/>
      <c r="F507" s="109"/>
    </row>
    <row r="508" spans="5:6" x14ac:dyDescent="0.2">
      <c r="E508" s="109"/>
      <c r="F508" s="109"/>
    </row>
    <row r="509" spans="5:6" x14ac:dyDescent="0.2">
      <c r="E509" s="109"/>
      <c r="F509" s="109"/>
    </row>
    <row r="510" spans="5:6" x14ac:dyDescent="0.2">
      <c r="E510" s="109"/>
      <c r="F510" s="109"/>
    </row>
    <row r="511" spans="5:6" x14ac:dyDescent="0.2">
      <c r="E511" s="109"/>
      <c r="F511" s="109"/>
    </row>
    <row r="512" spans="5:6" x14ac:dyDescent="0.2">
      <c r="E512" s="109"/>
      <c r="F512" s="109"/>
    </row>
    <row r="513" spans="5:6" x14ac:dyDescent="0.2">
      <c r="E513" s="109"/>
      <c r="F513" s="109"/>
    </row>
    <row r="514" spans="5:6" x14ac:dyDescent="0.2">
      <c r="E514" s="109"/>
      <c r="F514" s="109"/>
    </row>
    <row r="515" spans="5:6" x14ac:dyDescent="0.2">
      <c r="E515" s="109"/>
      <c r="F515" s="109"/>
    </row>
    <row r="516" spans="5:6" x14ac:dyDescent="0.2">
      <c r="E516" s="109"/>
      <c r="F516" s="109"/>
    </row>
    <row r="517" spans="5:6" x14ac:dyDescent="0.2">
      <c r="E517" s="109"/>
      <c r="F517" s="109"/>
    </row>
    <row r="518" spans="5:6" x14ac:dyDescent="0.2">
      <c r="E518" s="109"/>
      <c r="F518" s="109"/>
    </row>
    <row r="519" spans="5:6" x14ac:dyDescent="0.2">
      <c r="E519" s="109"/>
      <c r="F519" s="109"/>
    </row>
    <row r="520" spans="5:6" x14ac:dyDescent="0.2">
      <c r="E520" s="109"/>
      <c r="F520" s="109"/>
    </row>
    <row r="521" spans="5:6" x14ac:dyDescent="0.2">
      <c r="E521" s="109"/>
      <c r="F521" s="109"/>
    </row>
    <row r="522" spans="5:6" x14ac:dyDescent="0.2">
      <c r="E522" s="109"/>
      <c r="F522" s="109"/>
    </row>
    <row r="523" spans="5:6" x14ac:dyDescent="0.2">
      <c r="E523" s="109"/>
      <c r="F523" s="109"/>
    </row>
    <row r="524" spans="5:6" x14ac:dyDescent="0.2">
      <c r="E524" s="109"/>
      <c r="F524" s="109"/>
    </row>
    <row r="525" spans="5:6" x14ac:dyDescent="0.2">
      <c r="E525" s="109"/>
      <c r="F525" s="109"/>
    </row>
    <row r="526" spans="5:6" x14ac:dyDescent="0.2">
      <c r="E526" s="109"/>
      <c r="F526" s="109"/>
    </row>
    <row r="527" spans="5:6" x14ac:dyDescent="0.2">
      <c r="E527" s="109"/>
      <c r="F527" s="109"/>
    </row>
    <row r="528" spans="5:6" x14ac:dyDescent="0.2">
      <c r="E528" s="109"/>
      <c r="F528" s="109"/>
    </row>
    <row r="529" spans="5:6" x14ac:dyDescent="0.2">
      <c r="E529" s="109"/>
      <c r="F529" s="109"/>
    </row>
    <row r="530" spans="5:6" x14ac:dyDescent="0.2">
      <c r="E530" s="109"/>
      <c r="F530" s="109"/>
    </row>
    <row r="531" spans="5:6" x14ac:dyDescent="0.2">
      <c r="E531" s="109"/>
      <c r="F531" s="109"/>
    </row>
    <row r="532" spans="5:6" x14ac:dyDescent="0.2">
      <c r="E532" s="109"/>
      <c r="F532" s="109"/>
    </row>
    <row r="533" spans="5:6" x14ac:dyDescent="0.2">
      <c r="E533" s="109"/>
      <c r="F533" s="109"/>
    </row>
    <row r="534" spans="5:6" x14ac:dyDescent="0.2">
      <c r="E534" s="109"/>
      <c r="F534" s="109"/>
    </row>
    <row r="535" spans="5:6" x14ac:dyDescent="0.2">
      <c r="E535" s="109"/>
      <c r="F535" s="109"/>
    </row>
    <row r="536" spans="5:6" x14ac:dyDescent="0.2">
      <c r="E536" s="109"/>
      <c r="F536" s="109"/>
    </row>
    <row r="537" spans="5:6" x14ac:dyDescent="0.2">
      <c r="E537" s="109"/>
      <c r="F537" s="109"/>
    </row>
    <row r="538" spans="5:6" x14ac:dyDescent="0.2">
      <c r="E538" s="109"/>
      <c r="F538" s="109"/>
    </row>
    <row r="539" spans="5:6" x14ac:dyDescent="0.2">
      <c r="E539" s="109"/>
      <c r="F539" s="109"/>
    </row>
    <row r="540" spans="5:6" x14ac:dyDescent="0.2">
      <c r="E540" s="109"/>
      <c r="F540" s="109"/>
    </row>
    <row r="541" spans="5:6" x14ac:dyDescent="0.2">
      <c r="E541" s="109"/>
      <c r="F541" s="109"/>
    </row>
    <row r="542" spans="5:6" x14ac:dyDescent="0.2">
      <c r="E542" s="109"/>
      <c r="F542" s="109"/>
    </row>
    <row r="543" spans="5:6" x14ac:dyDescent="0.2">
      <c r="E543" s="109"/>
      <c r="F543" s="109"/>
    </row>
    <row r="544" spans="5:6" x14ac:dyDescent="0.2">
      <c r="E544" s="109"/>
      <c r="F544" s="109"/>
    </row>
    <row r="545" spans="5:6" x14ac:dyDescent="0.2">
      <c r="E545" s="109"/>
      <c r="F545" s="109"/>
    </row>
    <row r="546" spans="5:6" x14ac:dyDescent="0.2">
      <c r="E546" s="109"/>
      <c r="F546" s="109"/>
    </row>
    <row r="547" spans="5:6" x14ac:dyDescent="0.2">
      <c r="E547" s="109"/>
      <c r="F547" s="109"/>
    </row>
    <row r="548" spans="5:6" x14ac:dyDescent="0.2">
      <c r="E548" s="109"/>
      <c r="F548" s="109"/>
    </row>
    <row r="549" spans="5:6" x14ac:dyDescent="0.2">
      <c r="E549" s="109"/>
      <c r="F549" s="109"/>
    </row>
    <row r="550" spans="5:6" x14ac:dyDescent="0.2">
      <c r="E550" s="109"/>
      <c r="F550" s="109"/>
    </row>
    <row r="551" spans="5:6" x14ac:dyDescent="0.2">
      <c r="E551" s="109"/>
      <c r="F551" s="109"/>
    </row>
    <row r="552" spans="5:6" x14ac:dyDescent="0.2">
      <c r="E552" s="109"/>
      <c r="F552" s="109"/>
    </row>
    <row r="553" spans="5:6" x14ac:dyDescent="0.2">
      <c r="E553" s="109"/>
      <c r="F553" s="109"/>
    </row>
    <row r="554" spans="5:6" x14ac:dyDescent="0.2">
      <c r="E554" s="109"/>
      <c r="F554" s="109"/>
    </row>
    <row r="555" spans="5:6" x14ac:dyDescent="0.2">
      <c r="E555" s="109"/>
      <c r="F555" s="109"/>
    </row>
    <row r="556" spans="5:6" x14ac:dyDescent="0.2">
      <c r="E556" s="109"/>
      <c r="F556" s="109"/>
    </row>
    <row r="557" spans="5:6" x14ac:dyDescent="0.2">
      <c r="E557" s="109"/>
      <c r="F557" s="109"/>
    </row>
    <row r="558" spans="5:6" x14ac:dyDescent="0.2">
      <c r="E558" s="109"/>
      <c r="F558" s="109"/>
    </row>
    <row r="559" spans="5:6" x14ac:dyDescent="0.2">
      <c r="E559" s="109"/>
      <c r="F559" s="109"/>
    </row>
    <row r="560" spans="5:6" x14ac:dyDescent="0.2">
      <c r="E560" s="109"/>
      <c r="F560" s="109"/>
    </row>
    <row r="561" spans="5:6" x14ac:dyDescent="0.2">
      <c r="E561" s="109"/>
      <c r="F561" s="109"/>
    </row>
    <row r="562" spans="5:6" x14ac:dyDescent="0.2">
      <c r="E562" s="109"/>
      <c r="F562" s="109"/>
    </row>
    <row r="563" spans="5:6" x14ac:dyDescent="0.2">
      <c r="E563" s="109"/>
      <c r="F563" s="109"/>
    </row>
    <row r="564" spans="5:6" x14ac:dyDescent="0.2">
      <c r="E564" s="109"/>
      <c r="F564" s="109"/>
    </row>
    <row r="565" spans="5:6" x14ac:dyDescent="0.2">
      <c r="E565" s="109"/>
      <c r="F565" s="109"/>
    </row>
    <row r="566" spans="5:6" x14ac:dyDescent="0.2">
      <c r="E566" s="109"/>
      <c r="F566" s="109"/>
    </row>
    <row r="567" spans="5:6" x14ac:dyDescent="0.2">
      <c r="E567" s="109"/>
      <c r="F567" s="109"/>
    </row>
    <row r="568" spans="5:6" x14ac:dyDescent="0.2">
      <c r="E568" s="109"/>
      <c r="F568" s="109"/>
    </row>
    <row r="569" spans="5:6" x14ac:dyDescent="0.2">
      <c r="E569" s="109"/>
      <c r="F569" s="109"/>
    </row>
    <row r="570" spans="5:6" x14ac:dyDescent="0.2">
      <c r="E570" s="109"/>
      <c r="F570" s="109"/>
    </row>
    <row r="571" spans="5:6" x14ac:dyDescent="0.2">
      <c r="E571" s="109"/>
      <c r="F571" s="109"/>
    </row>
    <row r="572" spans="5:6" x14ac:dyDescent="0.2">
      <c r="E572" s="109"/>
      <c r="F572" s="109"/>
    </row>
    <row r="573" spans="5:6" x14ac:dyDescent="0.2">
      <c r="E573" s="109"/>
      <c r="F573" s="109"/>
    </row>
    <row r="574" spans="5:6" x14ac:dyDescent="0.2">
      <c r="E574" s="109"/>
      <c r="F574" s="109"/>
    </row>
    <row r="575" spans="5:6" x14ac:dyDescent="0.2">
      <c r="E575" s="109"/>
      <c r="F575" s="109"/>
    </row>
    <row r="576" spans="5:6" x14ac:dyDescent="0.2">
      <c r="E576" s="109"/>
      <c r="F576" s="109"/>
    </row>
    <row r="577" spans="5:6" x14ac:dyDescent="0.2">
      <c r="E577" s="109"/>
      <c r="F577" s="109"/>
    </row>
    <row r="578" spans="5:6" x14ac:dyDescent="0.2">
      <c r="E578" s="109"/>
      <c r="F578" s="109"/>
    </row>
    <row r="579" spans="5:6" x14ac:dyDescent="0.2">
      <c r="E579" s="109"/>
      <c r="F579" s="109"/>
    </row>
    <row r="580" spans="5:6" x14ac:dyDescent="0.2">
      <c r="E580" s="109"/>
      <c r="F580" s="109"/>
    </row>
    <row r="581" spans="5:6" x14ac:dyDescent="0.2">
      <c r="E581" s="109"/>
      <c r="F581" s="109"/>
    </row>
    <row r="582" spans="5:6" x14ac:dyDescent="0.2">
      <c r="E582" s="109"/>
      <c r="F582" s="109"/>
    </row>
    <row r="583" spans="5:6" x14ac:dyDescent="0.2">
      <c r="E583" s="109"/>
      <c r="F583" s="109"/>
    </row>
    <row r="584" spans="5:6" x14ac:dyDescent="0.2">
      <c r="E584" s="109"/>
      <c r="F584" s="109"/>
    </row>
    <row r="585" spans="5:6" x14ac:dyDescent="0.2">
      <c r="E585" s="109"/>
      <c r="F585" s="109"/>
    </row>
    <row r="586" spans="5:6" x14ac:dyDescent="0.2">
      <c r="E586" s="109"/>
      <c r="F586" s="109"/>
    </row>
    <row r="587" spans="5:6" x14ac:dyDescent="0.2">
      <c r="E587" s="109"/>
      <c r="F587" s="109"/>
    </row>
    <row r="588" spans="5:6" x14ac:dyDescent="0.2">
      <c r="E588" s="109"/>
      <c r="F588" s="109"/>
    </row>
    <row r="589" spans="5:6" x14ac:dyDescent="0.2">
      <c r="E589" s="109"/>
      <c r="F589" s="109"/>
    </row>
    <row r="590" spans="5:6" x14ac:dyDescent="0.2">
      <c r="E590" s="109"/>
      <c r="F590" s="109"/>
    </row>
    <row r="591" spans="5:6" x14ac:dyDescent="0.2">
      <c r="E591" s="109"/>
      <c r="F591" s="109"/>
    </row>
    <row r="592" spans="5:6" x14ac:dyDescent="0.2">
      <c r="E592" s="109"/>
      <c r="F592" s="109"/>
    </row>
    <row r="593" spans="5:6" x14ac:dyDescent="0.2">
      <c r="E593" s="109"/>
      <c r="F593" s="109"/>
    </row>
    <row r="594" spans="5:6" x14ac:dyDescent="0.2">
      <c r="E594" s="109"/>
      <c r="F594" s="109"/>
    </row>
    <row r="595" spans="5:6" x14ac:dyDescent="0.2">
      <c r="E595" s="109"/>
      <c r="F595" s="109"/>
    </row>
    <row r="596" spans="5:6" x14ac:dyDescent="0.2">
      <c r="E596" s="109"/>
      <c r="F596" s="109"/>
    </row>
    <row r="597" spans="5:6" x14ac:dyDescent="0.2">
      <c r="E597" s="109"/>
      <c r="F597" s="109"/>
    </row>
    <row r="598" spans="5:6" x14ac:dyDescent="0.2">
      <c r="E598" s="109"/>
      <c r="F598" s="109"/>
    </row>
    <row r="599" spans="5:6" x14ac:dyDescent="0.2">
      <c r="E599" s="109"/>
      <c r="F599" s="109"/>
    </row>
    <row r="600" spans="5:6" x14ac:dyDescent="0.2">
      <c r="E600" s="109"/>
      <c r="F600" s="109"/>
    </row>
    <row r="601" spans="5:6" x14ac:dyDescent="0.2">
      <c r="E601" s="109"/>
      <c r="F601" s="109"/>
    </row>
    <row r="602" spans="5:6" x14ac:dyDescent="0.2">
      <c r="E602" s="109"/>
      <c r="F602" s="109"/>
    </row>
    <row r="603" spans="5:6" x14ac:dyDescent="0.2">
      <c r="E603" s="109"/>
      <c r="F603" s="109"/>
    </row>
    <row r="604" spans="5:6" x14ac:dyDescent="0.2">
      <c r="E604" s="109"/>
      <c r="F604" s="109"/>
    </row>
    <row r="605" spans="5:6" x14ac:dyDescent="0.2">
      <c r="E605" s="109"/>
      <c r="F605" s="109"/>
    </row>
    <row r="606" spans="5:6" x14ac:dyDescent="0.2">
      <c r="E606" s="109"/>
      <c r="F606" s="109"/>
    </row>
    <row r="607" spans="5:6" x14ac:dyDescent="0.2">
      <c r="E607" s="109"/>
      <c r="F607" s="109"/>
    </row>
    <row r="608" spans="5:6" x14ac:dyDescent="0.2">
      <c r="E608" s="109"/>
      <c r="F608" s="109"/>
    </row>
    <row r="609" spans="5:6" x14ac:dyDescent="0.2">
      <c r="E609" s="109"/>
      <c r="F609" s="109"/>
    </row>
    <row r="610" spans="5:6" x14ac:dyDescent="0.2">
      <c r="E610" s="109"/>
      <c r="F610" s="109"/>
    </row>
    <row r="611" spans="5:6" x14ac:dyDescent="0.2">
      <c r="E611" s="109"/>
      <c r="F611" s="109"/>
    </row>
    <row r="612" spans="5:6" x14ac:dyDescent="0.2">
      <c r="E612" s="109"/>
      <c r="F612" s="109"/>
    </row>
    <row r="613" spans="5:6" x14ac:dyDescent="0.2">
      <c r="E613" s="109"/>
      <c r="F613" s="109"/>
    </row>
    <row r="614" spans="5:6" x14ac:dyDescent="0.2">
      <c r="E614" s="109"/>
      <c r="F614" s="109"/>
    </row>
    <row r="615" spans="5:6" x14ac:dyDescent="0.2">
      <c r="E615" s="109"/>
      <c r="F615" s="109"/>
    </row>
    <row r="616" spans="5:6" x14ac:dyDescent="0.2">
      <c r="E616" s="109"/>
      <c r="F616" s="109"/>
    </row>
    <row r="617" spans="5:6" x14ac:dyDescent="0.2">
      <c r="E617" s="109"/>
      <c r="F617" s="109"/>
    </row>
    <row r="618" spans="5:6" x14ac:dyDescent="0.2">
      <c r="E618" s="109"/>
      <c r="F618" s="109"/>
    </row>
    <row r="619" spans="5:6" x14ac:dyDescent="0.2">
      <c r="E619" s="109"/>
      <c r="F619" s="109"/>
    </row>
    <row r="620" spans="5:6" x14ac:dyDescent="0.2">
      <c r="E620" s="109"/>
      <c r="F620" s="109"/>
    </row>
    <row r="621" spans="5:6" x14ac:dyDescent="0.2">
      <c r="E621" s="109"/>
      <c r="F621" s="109"/>
    </row>
    <row r="622" spans="5:6" x14ac:dyDescent="0.2">
      <c r="E622" s="109"/>
      <c r="F622" s="109"/>
    </row>
    <row r="623" spans="5:6" x14ac:dyDescent="0.2">
      <c r="E623" s="109"/>
      <c r="F623" s="109"/>
    </row>
    <row r="624" spans="5:6" x14ac:dyDescent="0.2">
      <c r="E624" s="109"/>
      <c r="F624" s="109"/>
    </row>
    <row r="625" spans="5:6" x14ac:dyDescent="0.2">
      <c r="E625" s="109"/>
      <c r="F625" s="109"/>
    </row>
    <row r="626" spans="5:6" x14ac:dyDescent="0.2">
      <c r="E626" s="109"/>
      <c r="F626" s="109"/>
    </row>
    <row r="627" spans="5:6" x14ac:dyDescent="0.2">
      <c r="E627" s="109"/>
      <c r="F627" s="109"/>
    </row>
    <row r="628" spans="5:6" x14ac:dyDescent="0.2">
      <c r="E628" s="109"/>
      <c r="F628" s="109"/>
    </row>
    <row r="629" spans="5:6" x14ac:dyDescent="0.2">
      <c r="E629" s="109"/>
      <c r="F629" s="109"/>
    </row>
    <row r="630" spans="5:6" x14ac:dyDescent="0.2">
      <c r="E630" s="109"/>
      <c r="F630" s="109"/>
    </row>
    <row r="631" spans="5:6" x14ac:dyDescent="0.2">
      <c r="E631" s="109"/>
      <c r="F631" s="109"/>
    </row>
    <row r="632" spans="5:6" x14ac:dyDescent="0.2">
      <c r="E632" s="109"/>
      <c r="F632" s="109"/>
    </row>
    <row r="633" spans="5:6" x14ac:dyDescent="0.2">
      <c r="E633" s="109"/>
      <c r="F633" s="109"/>
    </row>
    <row r="634" spans="5:6" x14ac:dyDescent="0.2">
      <c r="E634" s="109"/>
      <c r="F634" s="109"/>
    </row>
    <row r="635" spans="5:6" x14ac:dyDescent="0.2">
      <c r="E635" s="109"/>
      <c r="F635" s="109"/>
    </row>
    <row r="636" spans="5:6" x14ac:dyDescent="0.2">
      <c r="E636" s="109"/>
      <c r="F636" s="109"/>
    </row>
    <row r="637" spans="5:6" x14ac:dyDescent="0.2">
      <c r="E637" s="109"/>
      <c r="F637" s="109"/>
    </row>
    <row r="638" spans="5:6" x14ac:dyDescent="0.2">
      <c r="E638" s="109"/>
      <c r="F638" s="109"/>
    </row>
    <row r="639" spans="5:6" x14ac:dyDescent="0.2">
      <c r="E639" s="109"/>
      <c r="F639" s="109"/>
    </row>
    <row r="640" spans="5:6" x14ac:dyDescent="0.2">
      <c r="E640" s="109"/>
      <c r="F640" s="109"/>
    </row>
    <row r="641" spans="5:6" x14ac:dyDescent="0.2">
      <c r="E641" s="109"/>
      <c r="F641" s="109"/>
    </row>
    <row r="642" spans="5:6" x14ac:dyDescent="0.2">
      <c r="E642" s="109"/>
      <c r="F642" s="109"/>
    </row>
    <row r="643" spans="5:6" x14ac:dyDescent="0.2">
      <c r="E643" s="109"/>
      <c r="F643" s="109"/>
    </row>
    <row r="644" spans="5:6" x14ac:dyDescent="0.2">
      <c r="E644" s="109"/>
      <c r="F644" s="109"/>
    </row>
    <row r="645" spans="5:6" x14ac:dyDescent="0.2">
      <c r="E645" s="109"/>
      <c r="F645" s="109"/>
    </row>
    <row r="646" spans="5:6" x14ac:dyDescent="0.2">
      <c r="E646" s="109"/>
      <c r="F646" s="109"/>
    </row>
    <row r="647" spans="5:6" x14ac:dyDescent="0.2">
      <c r="E647" s="109"/>
      <c r="F647" s="109"/>
    </row>
    <row r="648" spans="5:6" x14ac:dyDescent="0.2">
      <c r="E648" s="109"/>
      <c r="F648" s="109"/>
    </row>
    <row r="649" spans="5:6" x14ac:dyDescent="0.2">
      <c r="E649" s="109"/>
      <c r="F649" s="109"/>
    </row>
    <row r="650" spans="5:6" x14ac:dyDescent="0.2">
      <c r="E650" s="109"/>
      <c r="F650" s="109"/>
    </row>
    <row r="651" spans="5:6" x14ac:dyDescent="0.2">
      <c r="E651" s="109"/>
      <c r="F651" s="109"/>
    </row>
    <row r="652" spans="5:6" x14ac:dyDescent="0.2">
      <c r="E652" s="109"/>
      <c r="F652" s="109"/>
    </row>
    <row r="653" spans="5:6" x14ac:dyDescent="0.2">
      <c r="E653" s="109"/>
      <c r="F653" s="109"/>
    </row>
    <row r="654" spans="5:6" x14ac:dyDescent="0.2">
      <c r="E654" s="109"/>
      <c r="F654" s="109"/>
    </row>
    <row r="655" spans="5:6" x14ac:dyDescent="0.2">
      <c r="E655" s="109"/>
      <c r="F655" s="109"/>
    </row>
    <row r="656" spans="5:6" x14ac:dyDescent="0.2">
      <c r="E656" s="109"/>
      <c r="F656" s="109"/>
    </row>
    <row r="657" spans="5:6" x14ac:dyDescent="0.2">
      <c r="E657" s="109"/>
      <c r="F657" s="109"/>
    </row>
    <row r="658" spans="5:6" x14ac:dyDescent="0.2">
      <c r="E658" s="109"/>
      <c r="F658" s="109"/>
    </row>
    <row r="659" spans="5:6" x14ac:dyDescent="0.2">
      <c r="E659" s="109"/>
      <c r="F659" s="109"/>
    </row>
    <row r="660" spans="5:6" x14ac:dyDescent="0.2">
      <c r="E660" s="109"/>
      <c r="F660" s="109"/>
    </row>
    <row r="661" spans="5:6" x14ac:dyDescent="0.2">
      <c r="E661" s="109"/>
      <c r="F661" s="109"/>
    </row>
    <row r="662" spans="5:6" x14ac:dyDescent="0.2">
      <c r="E662" s="109"/>
      <c r="F662" s="109"/>
    </row>
    <row r="663" spans="5:6" x14ac:dyDescent="0.2">
      <c r="E663" s="109"/>
      <c r="F663" s="109"/>
    </row>
    <row r="664" spans="5:6" x14ac:dyDescent="0.2">
      <c r="E664" s="109"/>
      <c r="F664" s="109"/>
    </row>
    <row r="665" spans="5:6" x14ac:dyDescent="0.2">
      <c r="E665" s="109"/>
      <c r="F665" s="109"/>
    </row>
    <row r="666" spans="5:6" x14ac:dyDescent="0.2">
      <c r="E666" s="109"/>
      <c r="F666" s="109"/>
    </row>
    <row r="667" spans="5:6" x14ac:dyDescent="0.2">
      <c r="E667" s="109"/>
      <c r="F667" s="109"/>
    </row>
    <row r="668" spans="5:6" x14ac:dyDescent="0.2">
      <c r="E668" s="109"/>
      <c r="F668" s="109"/>
    </row>
    <row r="669" spans="5:6" x14ac:dyDescent="0.2">
      <c r="E669" s="109"/>
      <c r="F669" s="109"/>
    </row>
    <row r="670" spans="5:6" x14ac:dyDescent="0.2">
      <c r="E670" s="109"/>
      <c r="F670" s="109"/>
    </row>
    <row r="671" spans="5:6" x14ac:dyDescent="0.2">
      <c r="E671" s="109"/>
      <c r="F671" s="109"/>
    </row>
    <row r="672" spans="5:6" x14ac:dyDescent="0.2">
      <c r="E672" s="109"/>
      <c r="F672" s="109"/>
    </row>
    <row r="673" spans="5:6" x14ac:dyDescent="0.2">
      <c r="E673" s="109"/>
      <c r="F673" s="109"/>
    </row>
    <row r="674" spans="5:6" x14ac:dyDescent="0.2">
      <c r="E674" s="109"/>
      <c r="F674" s="109"/>
    </row>
    <row r="675" spans="5:6" x14ac:dyDescent="0.2">
      <c r="E675" s="109"/>
      <c r="F675" s="109"/>
    </row>
    <row r="676" spans="5:6" x14ac:dyDescent="0.2">
      <c r="E676" s="109"/>
      <c r="F676" s="109"/>
    </row>
    <row r="677" spans="5:6" x14ac:dyDescent="0.2">
      <c r="E677" s="109"/>
      <c r="F677" s="109"/>
    </row>
    <row r="678" spans="5:6" x14ac:dyDescent="0.2">
      <c r="E678" s="109"/>
      <c r="F678" s="109"/>
    </row>
    <row r="679" spans="5:6" x14ac:dyDescent="0.2">
      <c r="E679" s="109"/>
      <c r="F679" s="109"/>
    </row>
    <row r="680" spans="5:6" x14ac:dyDescent="0.2">
      <c r="E680" s="109"/>
      <c r="F680" s="109"/>
    </row>
    <row r="681" spans="5:6" x14ac:dyDescent="0.2">
      <c r="E681" s="109"/>
      <c r="F681" s="109"/>
    </row>
    <row r="682" spans="5:6" x14ac:dyDescent="0.2">
      <c r="E682" s="109"/>
      <c r="F682" s="109"/>
    </row>
    <row r="683" spans="5:6" x14ac:dyDescent="0.2">
      <c r="E683" s="109"/>
      <c r="F683" s="109"/>
    </row>
    <row r="684" spans="5:6" x14ac:dyDescent="0.2">
      <c r="E684" s="109"/>
      <c r="F684" s="109"/>
    </row>
    <row r="685" spans="5:6" x14ac:dyDescent="0.2">
      <c r="E685" s="109"/>
      <c r="F685" s="109"/>
    </row>
    <row r="686" spans="5:6" x14ac:dyDescent="0.2">
      <c r="E686" s="109"/>
      <c r="F686" s="109"/>
    </row>
    <row r="687" spans="5:6" x14ac:dyDescent="0.2">
      <c r="E687" s="109"/>
      <c r="F687" s="109"/>
    </row>
    <row r="688" spans="5:6" x14ac:dyDescent="0.2">
      <c r="E688" s="109"/>
      <c r="F688" s="109"/>
    </row>
    <row r="689" spans="5:6" x14ac:dyDescent="0.2">
      <c r="E689" s="109"/>
      <c r="F689" s="109"/>
    </row>
    <row r="690" spans="5:6" x14ac:dyDescent="0.2">
      <c r="E690" s="109"/>
      <c r="F690" s="109"/>
    </row>
    <row r="691" spans="5:6" x14ac:dyDescent="0.2">
      <c r="E691" s="109"/>
      <c r="F691" s="109"/>
    </row>
    <row r="692" spans="5:6" x14ac:dyDescent="0.2">
      <c r="E692" s="109"/>
      <c r="F692" s="109"/>
    </row>
    <row r="693" spans="5:6" x14ac:dyDescent="0.2">
      <c r="E693" s="109"/>
      <c r="F693" s="109"/>
    </row>
    <row r="694" spans="5:6" x14ac:dyDescent="0.2">
      <c r="E694" s="109"/>
      <c r="F694" s="109"/>
    </row>
    <row r="695" spans="5:6" x14ac:dyDescent="0.2">
      <c r="E695" s="109"/>
      <c r="F695" s="109"/>
    </row>
  </sheetData>
  <sheetProtection formatCells="0" formatColumns="0" formatRows="0" insertColumns="0" insertRows="0" insertHyperlinks="0" deleteColumns="0" deleteRows="0" sort="0" autoFilter="0" pivotTables="0"/>
  <protectedRanges>
    <protectedRange sqref="F119" name="Range1_1_2"/>
  </protectedRanges>
  <autoFilter ref="A6:F119" xr:uid="{BEF82331-64E0-41D4-A432-909C38D53A55}"/>
  <pageMargins left="0.47244094488188981" right="0.47244094488188981" top="0.74803149606299213" bottom="0.74803149606299213" header="0.31496062992125984" footer="0.31496062992125984"/>
  <pageSetup paperSize="9" scale="95" orientation="landscape" r:id="rId1"/>
  <headerFooter>
    <oddFooter>&amp;C&amp;"Arial,Bold"&amp;16&amp;P/&amp;N</oddFooter>
  </headerFooter>
  <rowBreaks count="11" manualBreakCount="11">
    <brk id="16" max="5" man="1"/>
    <brk id="28" max="5" man="1"/>
    <brk id="39" max="5" man="1"/>
    <brk id="50" max="5" man="1"/>
    <brk id="61" max="5" man="1"/>
    <brk id="74" max="5" man="1"/>
    <brk id="84" max="5" man="1"/>
    <brk id="91" max="5" man="1"/>
    <brk id="97" max="5" man="1"/>
    <brk id="104" max="5" man="1"/>
    <brk id="110" max="5"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3F4A-D6F3-42C3-BF19-B748707A65E7}">
  <dimension ref="A1:F678"/>
  <sheetViews>
    <sheetView view="pageBreakPreview" topLeftCell="C14" zoomScale="40" zoomScaleNormal="100" zoomScaleSheetLayoutView="40" workbookViewId="0">
      <selection activeCell="C3" sqref="C3"/>
    </sheetView>
  </sheetViews>
  <sheetFormatPr defaultColWidth="9.140625" defaultRowHeight="15" x14ac:dyDescent="0.2"/>
  <cols>
    <col min="1" max="1" width="9.140625" style="88"/>
    <col min="2" max="2" width="75.28515625" style="86" customWidth="1"/>
    <col min="3" max="3" width="12.42578125" style="86" bestFit="1" customWidth="1"/>
    <col min="4" max="4" width="14.28515625" style="88" customWidth="1"/>
    <col min="5" max="5" width="16.28515625" style="254" customWidth="1"/>
    <col min="6" max="6" width="19.5703125" style="114" customWidth="1"/>
    <col min="7" max="16384" width="9.140625" style="90"/>
  </cols>
  <sheetData>
    <row r="1" spans="1:6" x14ac:dyDescent="0.2">
      <c r="A1" s="86"/>
      <c r="B1" s="87"/>
      <c r="E1" s="252"/>
      <c r="F1" s="90"/>
    </row>
    <row r="2" spans="1:6" x14ac:dyDescent="0.2">
      <c r="A2" s="86"/>
      <c r="B2" s="87"/>
      <c r="E2" s="252"/>
      <c r="F2" s="90"/>
    </row>
    <row r="3" spans="1:6" ht="12" customHeight="1" thickBot="1" x14ac:dyDescent="0.25">
      <c r="A3" s="86"/>
      <c r="B3" s="273"/>
      <c r="C3" s="275"/>
      <c r="E3" s="252"/>
      <c r="F3" s="90"/>
    </row>
    <row r="4" spans="1:6" ht="33.950000000000003" customHeight="1" x14ac:dyDescent="0.2">
      <c r="A4" s="86"/>
      <c r="B4" s="87"/>
      <c r="E4" s="252"/>
      <c r="F4" s="90"/>
    </row>
    <row r="5" spans="1:6" s="95" customFormat="1" ht="15.75" x14ac:dyDescent="0.2">
      <c r="A5" s="91"/>
      <c r="B5" s="92" t="s">
        <v>259</v>
      </c>
      <c r="C5" s="91"/>
      <c r="D5" s="93"/>
      <c r="E5" s="253"/>
    </row>
    <row r="6" spans="1:6" s="100" customFormat="1" ht="47.25" x14ac:dyDescent="0.2">
      <c r="A6" s="96" t="s">
        <v>14</v>
      </c>
      <c r="B6" s="97" t="s">
        <v>0</v>
      </c>
      <c r="C6" s="98" t="s">
        <v>15</v>
      </c>
      <c r="D6" s="98" t="s">
        <v>16</v>
      </c>
      <c r="E6" s="98" t="s">
        <v>17</v>
      </c>
      <c r="F6" s="98" t="s">
        <v>320</v>
      </c>
    </row>
    <row r="7" spans="1:6" s="104" customFormat="1" ht="15.75" x14ac:dyDescent="0.25">
      <c r="A7" s="169"/>
      <c r="B7" s="170" t="s">
        <v>364</v>
      </c>
      <c r="C7" s="171"/>
      <c r="D7" s="169"/>
      <c r="E7" s="106"/>
      <c r="F7" s="106"/>
    </row>
    <row r="8" spans="1:6" s="104" customFormat="1" ht="78.75" x14ac:dyDescent="0.25">
      <c r="A8" s="169"/>
      <c r="B8" s="170" t="s">
        <v>261</v>
      </c>
      <c r="C8" s="171"/>
      <c r="D8" s="169"/>
      <c r="E8" s="106"/>
      <c r="F8" s="106"/>
    </row>
    <row r="9" spans="1:6" s="104" customFormat="1" ht="15.75" x14ac:dyDescent="0.25">
      <c r="A9" s="169"/>
      <c r="B9" s="170" t="s">
        <v>262</v>
      </c>
      <c r="C9" s="171"/>
      <c r="D9" s="169"/>
      <c r="E9" s="225"/>
      <c r="F9" s="225"/>
    </row>
    <row r="10" spans="1:6" x14ac:dyDescent="0.2">
      <c r="A10" s="172">
        <v>4.0010000000000003</v>
      </c>
      <c r="B10" s="173" t="s">
        <v>263</v>
      </c>
      <c r="C10" s="174" t="s">
        <v>659</v>
      </c>
      <c r="D10" s="172">
        <v>1</v>
      </c>
      <c r="E10" s="223">
        <v>1844.2203012798288</v>
      </c>
      <c r="F10" s="223">
        <f>$D10*E10</f>
        <v>1844.2203012798288</v>
      </c>
    </row>
    <row r="11" spans="1:6" x14ac:dyDescent="0.2">
      <c r="A11" s="172">
        <v>4.0020000000000007</v>
      </c>
      <c r="B11" s="173" t="s">
        <v>264</v>
      </c>
      <c r="C11" s="174" t="s">
        <v>659</v>
      </c>
      <c r="D11" s="172">
        <v>1</v>
      </c>
      <c r="E11" s="223">
        <v>805.57274207248065</v>
      </c>
      <c r="F11" s="223">
        <f>$D11*E11</f>
        <v>805.57274207248065</v>
      </c>
    </row>
    <row r="12" spans="1:6" s="104" customFormat="1" ht="15.75" x14ac:dyDescent="0.25">
      <c r="A12" s="169"/>
      <c r="B12" s="170" t="s">
        <v>96</v>
      </c>
      <c r="C12" s="171"/>
      <c r="D12" s="169"/>
      <c r="E12" s="225"/>
      <c r="F12" s="225"/>
    </row>
    <row r="13" spans="1:6" s="104" customFormat="1" ht="150" x14ac:dyDescent="0.25">
      <c r="A13" s="169"/>
      <c r="B13" s="215" t="s">
        <v>664</v>
      </c>
      <c r="C13" s="171"/>
      <c r="D13" s="169"/>
      <c r="E13" s="225"/>
      <c r="F13" s="225"/>
    </row>
    <row r="14" spans="1:6" x14ac:dyDescent="0.2">
      <c r="A14" s="172">
        <v>4.003000000000001</v>
      </c>
      <c r="B14" s="173" t="s">
        <v>96</v>
      </c>
      <c r="C14" s="174" t="s">
        <v>659</v>
      </c>
      <c r="D14" s="172">
        <v>1</v>
      </c>
      <c r="E14" s="223">
        <v>62517.402485014965</v>
      </c>
      <c r="F14" s="223">
        <f>$D14*E14</f>
        <v>62517.402485014965</v>
      </c>
    </row>
    <row r="15" spans="1:6" s="104" customFormat="1" ht="15.75" x14ac:dyDescent="0.25">
      <c r="A15" s="172"/>
      <c r="B15" s="170" t="s">
        <v>265</v>
      </c>
      <c r="C15" s="174"/>
      <c r="D15" s="172"/>
      <c r="E15" s="225"/>
      <c r="F15" s="225"/>
    </row>
    <row r="16" spans="1:6" s="104" customFormat="1" ht="71.45" customHeight="1" x14ac:dyDescent="0.25">
      <c r="A16" s="172"/>
      <c r="B16" s="199" t="s">
        <v>266</v>
      </c>
      <c r="C16" s="174"/>
      <c r="D16" s="172"/>
      <c r="E16" s="225"/>
      <c r="F16" s="225"/>
    </row>
    <row r="17" spans="1:6" x14ac:dyDescent="0.2">
      <c r="A17" s="172">
        <v>4.0040000000000013</v>
      </c>
      <c r="B17" s="173" t="s">
        <v>267</v>
      </c>
      <c r="C17" s="174" t="s">
        <v>659</v>
      </c>
      <c r="D17" s="172">
        <v>1</v>
      </c>
      <c r="E17" s="223">
        <v>894.87559215568263</v>
      </c>
      <c r="F17" s="223">
        <f>$D17*E17</f>
        <v>894.87559215568263</v>
      </c>
    </row>
    <row r="18" spans="1:6" s="104" customFormat="1" ht="15.75" x14ac:dyDescent="0.25">
      <c r="A18" s="169"/>
      <c r="B18" s="170" t="s">
        <v>268</v>
      </c>
      <c r="C18" s="171"/>
      <c r="D18" s="169"/>
      <c r="E18" s="225"/>
      <c r="F18" s="225"/>
    </row>
    <row r="19" spans="1:6" s="104" customFormat="1" ht="114" customHeight="1" x14ac:dyDescent="0.25">
      <c r="A19" s="169"/>
      <c r="B19" s="215" t="s">
        <v>665</v>
      </c>
      <c r="C19" s="171"/>
      <c r="D19" s="169"/>
      <c r="E19" s="225"/>
      <c r="F19" s="225"/>
    </row>
    <row r="20" spans="1:6" x14ac:dyDescent="0.2">
      <c r="A20" s="172">
        <v>4.0050000000000017</v>
      </c>
      <c r="B20" s="173" t="s">
        <v>269</v>
      </c>
      <c r="C20" s="174" t="s">
        <v>659</v>
      </c>
      <c r="D20" s="172">
        <v>1</v>
      </c>
      <c r="E20" s="223">
        <v>9869.9324879951055</v>
      </c>
      <c r="F20" s="223">
        <f>$D20*E20</f>
        <v>9869.9324879951055</v>
      </c>
    </row>
    <row r="21" spans="1:6" s="104" customFormat="1" ht="141.75" x14ac:dyDescent="0.25">
      <c r="A21" s="169"/>
      <c r="B21" s="170" t="s">
        <v>672</v>
      </c>
      <c r="C21" s="171"/>
      <c r="D21" s="169"/>
      <c r="E21" s="225"/>
      <c r="F21" s="225"/>
    </row>
    <row r="22" spans="1:6" s="104" customFormat="1" ht="15.75" x14ac:dyDescent="0.25">
      <c r="A22" s="169"/>
      <c r="B22" s="170" t="s">
        <v>270</v>
      </c>
      <c r="C22" s="171"/>
      <c r="D22" s="169"/>
      <c r="E22" s="225"/>
      <c r="F22" s="223"/>
    </row>
    <row r="23" spans="1:6" ht="22.15" customHeight="1" x14ac:dyDescent="0.2">
      <c r="A23" s="172">
        <v>4.006000000000002</v>
      </c>
      <c r="B23" s="173" t="s">
        <v>271</v>
      </c>
      <c r="C23" s="174" t="s">
        <v>659</v>
      </c>
      <c r="D23" s="172">
        <v>1</v>
      </c>
      <c r="E23" s="223">
        <v>2639.8950431070261</v>
      </c>
      <c r="F23" s="223">
        <f>$D23*E23</f>
        <v>2639.8950431070261</v>
      </c>
    </row>
    <row r="24" spans="1:6" ht="22.15" customHeight="1" x14ac:dyDescent="0.2">
      <c r="A24" s="172">
        <v>4.0070000000000023</v>
      </c>
      <c r="B24" s="173" t="s">
        <v>272</v>
      </c>
      <c r="C24" s="174" t="s">
        <v>659</v>
      </c>
      <c r="D24" s="172">
        <v>1</v>
      </c>
      <c r="E24" s="223">
        <v>1157.5440246283738</v>
      </c>
      <c r="F24" s="223">
        <f>$D24*E24</f>
        <v>1157.5440246283738</v>
      </c>
    </row>
    <row r="25" spans="1:6" s="104" customFormat="1" ht="22.15" customHeight="1" x14ac:dyDescent="0.25">
      <c r="A25" s="169"/>
      <c r="B25" s="170" t="s">
        <v>96</v>
      </c>
      <c r="C25" s="171"/>
      <c r="D25" s="169"/>
      <c r="E25" s="225"/>
      <c r="F25" s="223"/>
    </row>
    <row r="26" spans="1:6" ht="22.15" customHeight="1" x14ac:dyDescent="0.2">
      <c r="A26" s="172">
        <v>4.0080000000000027</v>
      </c>
      <c r="B26" s="173" t="s">
        <v>97</v>
      </c>
      <c r="C26" s="174" t="s">
        <v>659</v>
      </c>
      <c r="D26" s="172">
        <v>1</v>
      </c>
      <c r="E26" s="223">
        <v>96316.121991954278</v>
      </c>
      <c r="F26" s="223">
        <f>$D26*E26</f>
        <v>96316.121991954278</v>
      </c>
    </row>
    <row r="27" spans="1:6" s="104" customFormat="1" ht="22.15" customHeight="1" x14ac:dyDescent="0.25">
      <c r="A27" s="172"/>
      <c r="B27" s="170" t="s">
        <v>95</v>
      </c>
      <c r="C27" s="174"/>
      <c r="D27" s="172"/>
      <c r="E27" s="223"/>
      <c r="F27" s="223"/>
    </row>
    <row r="28" spans="1:6" ht="22.15" customHeight="1" x14ac:dyDescent="0.2">
      <c r="A28" s="172">
        <v>4.009000000000003</v>
      </c>
      <c r="B28" s="173" t="s">
        <v>104</v>
      </c>
      <c r="C28" s="174" t="s">
        <v>659</v>
      </c>
      <c r="D28" s="172">
        <v>1</v>
      </c>
      <c r="E28" s="223">
        <v>975.34452721266848</v>
      </c>
      <c r="F28" s="223">
        <f>$D28*E28</f>
        <v>975.34452721266848</v>
      </c>
    </row>
    <row r="29" spans="1:6" s="104" customFormat="1" ht="22.15" customHeight="1" x14ac:dyDescent="0.25">
      <c r="A29" s="169"/>
      <c r="B29" s="170" t="s">
        <v>269</v>
      </c>
      <c r="C29" s="171"/>
      <c r="D29" s="169"/>
      <c r="E29" s="225"/>
      <c r="F29" s="223"/>
    </row>
    <row r="30" spans="1:6" ht="22.15" customHeight="1" x14ac:dyDescent="0.2">
      <c r="A30" s="176">
        <v>4.0100000000000033</v>
      </c>
      <c r="B30" s="173" t="s">
        <v>269</v>
      </c>
      <c r="C30" s="174" t="s">
        <v>659</v>
      </c>
      <c r="D30" s="172">
        <v>1</v>
      </c>
      <c r="E30" s="223">
        <v>12337.418956173817</v>
      </c>
      <c r="F30" s="223">
        <f>$D30*E30</f>
        <v>12337.418956173817</v>
      </c>
    </row>
    <row r="31" spans="1:6" s="104" customFormat="1" ht="47.25" x14ac:dyDescent="0.25">
      <c r="A31" s="169"/>
      <c r="B31" s="213" t="s">
        <v>678</v>
      </c>
      <c r="C31" s="171"/>
      <c r="D31" s="169"/>
      <c r="E31" s="225"/>
      <c r="F31" s="225"/>
    </row>
    <row r="32" spans="1:6" ht="21.6" customHeight="1" x14ac:dyDescent="0.2">
      <c r="A32" s="172">
        <v>4.0110000000000037</v>
      </c>
      <c r="B32" s="173" t="s">
        <v>77</v>
      </c>
      <c r="C32" s="174" t="s">
        <v>659</v>
      </c>
      <c r="D32" s="172">
        <v>1</v>
      </c>
      <c r="E32" s="223">
        <v>37477.215262734615</v>
      </c>
      <c r="F32" s="223">
        <f t="shared" ref="F32:F39" si="0">$D32*E32</f>
        <v>37477.215262734615</v>
      </c>
    </row>
    <row r="33" spans="1:6" ht="21.6" customHeight="1" x14ac:dyDescent="0.2">
      <c r="A33" s="172">
        <v>4.012000000000004</v>
      </c>
      <c r="B33" s="173" t="s">
        <v>273</v>
      </c>
      <c r="C33" s="174" t="s">
        <v>659</v>
      </c>
      <c r="D33" s="172">
        <v>1</v>
      </c>
      <c r="E33" s="223">
        <v>34369.885652263132</v>
      </c>
      <c r="F33" s="223">
        <f t="shared" si="0"/>
        <v>34369.885652263132</v>
      </c>
    </row>
    <row r="34" spans="1:6" ht="21.6" customHeight="1" x14ac:dyDescent="0.2">
      <c r="A34" s="172">
        <v>4.0130000000000043</v>
      </c>
      <c r="B34" s="173" t="s">
        <v>365</v>
      </c>
      <c r="C34" s="174" t="s">
        <v>659</v>
      </c>
      <c r="D34" s="172">
        <v>1</v>
      </c>
      <c r="E34" s="223">
        <v>26627.735445529528</v>
      </c>
      <c r="F34" s="223">
        <f t="shared" si="0"/>
        <v>26627.735445529528</v>
      </c>
    </row>
    <row r="35" spans="1:6" ht="21.6" customHeight="1" x14ac:dyDescent="0.2">
      <c r="A35" s="172">
        <v>4.0140000000000047</v>
      </c>
      <c r="B35" s="173" t="s">
        <v>443</v>
      </c>
      <c r="C35" s="174" t="s">
        <v>659</v>
      </c>
      <c r="D35" s="172">
        <v>1</v>
      </c>
      <c r="E35" s="223">
        <v>3011.9300205482195</v>
      </c>
      <c r="F35" s="223">
        <f t="shared" si="0"/>
        <v>3011.9300205482195</v>
      </c>
    </row>
    <row r="36" spans="1:6" ht="21.6" customHeight="1" x14ac:dyDescent="0.2">
      <c r="A36" s="172">
        <v>4.015000000000005</v>
      </c>
      <c r="B36" s="173" t="s">
        <v>277</v>
      </c>
      <c r="C36" s="174" t="s">
        <v>659</v>
      </c>
      <c r="D36" s="172">
        <v>1</v>
      </c>
      <c r="E36" s="223">
        <v>3724.5458840493816</v>
      </c>
      <c r="F36" s="223">
        <f t="shared" si="0"/>
        <v>3724.5458840493816</v>
      </c>
    </row>
    <row r="37" spans="1:6" ht="21.6" customHeight="1" x14ac:dyDescent="0.2">
      <c r="A37" s="172">
        <v>4.0160000000000053</v>
      </c>
      <c r="B37" s="173" t="s">
        <v>276</v>
      </c>
      <c r="C37" s="174" t="s">
        <v>659</v>
      </c>
      <c r="D37" s="172">
        <v>1</v>
      </c>
      <c r="E37" s="223">
        <v>2845.2835674665489</v>
      </c>
      <c r="F37" s="223">
        <f t="shared" si="0"/>
        <v>2845.2835674665489</v>
      </c>
    </row>
    <row r="38" spans="1:6" ht="21.6" customHeight="1" x14ac:dyDescent="0.2">
      <c r="A38" s="172">
        <v>4.0170000000000057</v>
      </c>
      <c r="B38" s="173" t="s">
        <v>444</v>
      </c>
      <c r="C38" s="174" t="s">
        <v>659</v>
      </c>
      <c r="D38" s="172">
        <v>1</v>
      </c>
      <c r="E38" s="223">
        <v>5550.9377386399383</v>
      </c>
      <c r="F38" s="223">
        <f t="shared" si="0"/>
        <v>5550.9377386399383</v>
      </c>
    </row>
    <row r="39" spans="1:6" ht="21.6" customHeight="1" x14ac:dyDescent="0.2">
      <c r="A39" s="172">
        <v>4.018000000000006</v>
      </c>
      <c r="B39" s="173" t="s">
        <v>278</v>
      </c>
      <c r="C39" s="174" t="s">
        <v>659</v>
      </c>
      <c r="D39" s="172">
        <v>1</v>
      </c>
      <c r="E39" s="223">
        <v>4389.9672257589709</v>
      </c>
      <c r="F39" s="223">
        <f t="shared" si="0"/>
        <v>4389.9672257589709</v>
      </c>
    </row>
    <row r="40" spans="1:6" s="104" customFormat="1" ht="15.75" x14ac:dyDescent="0.25">
      <c r="A40" s="169"/>
      <c r="B40" s="170" t="s">
        <v>280</v>
      </c>
      <c r="C40" s="171"/>
      <c r="D40" s="169"/>
      <c r="E40" s="225"/>
      <c r="F40" s="225"/>
    </row>
    <row r="41" spans="1:6" s="104" customFormat="1" ht="15.75" x14ac:dyDescent="0.25">
      <c r="A41" s="169"/>
      <c r="B41" s="170" t="s">
        <v>281</v>
      </c>
      <c r="C41" s="171"/>
      <c r="D41" s="169"/>
      <c r="E41" s="225"/>
      <c r="F41" s="225"/>
    </row>
    <row r="42" spans="1:6" s="104" customFormat="1" ht="96.75" customHeight="1" x14ac:dyDescent="0.25">
      <c r="A42" s="169"/>
      <c r="B42" s="199" t="s">
        <v>712</v>
      </c>
      <c r="C42" s="171"/>
      <c r="D42" s="169"/>
      <c r="E42" s="225"/>
      <c r="F42" s="225"/>
    </row>
    <row r="43" spans="1:6" x14ac:dyDescent="0.2">
      <c r="A43" s="172">
        <v>4.0190000000000063</v>
      </c>
      <c r="B43" s="173" t="s">
        <v>282</v>
      </c>
      <c r="C43" s="174" t="s">
        <v>659</v>
      </c>
      <c r="D43" s="172">
        <v>1</v>
      </c>
      <c r="E43" s="223">
        <v>8030.8318420145615</v>
      </c>
      <c r="F43" s="223">
        <f>$D43*E43</f>
        <v>8030.8318420145615</v>
      </c>
    </row>
    <row r="44" spans="1:6" s="104" customFormat="1" ht="132" customHeight="1" x14ac:dyDescent="0.25">
      <c r="A44" s="169"/>
      <c r="B44" s="199" t="s">
        <v>719</v>
      </c>
      <c r="C44" s="171"/>
      <c r="D44" s="169"/>
      <c r="E44" s="225"/>
      <c r="F44" s="225"/>
    </row>
    <row r="45" spans="1:6" ht="27" customHeight="1" x14ac:dyDescent="0.2">
      <c r="A45" s="176">
        <v>4.0199999999999996</v>
      </c>
      <c r="B45" s="173" t="s">
        <v>283</v>
      </c>
      <c r="C45" s="174" t="s">
        <v>659</v>
      </c>
      <c r="D45" s="172">
        <v>1</v>
      </c>
      <c r="E45" s="223">
        <v>18738.607631367307</v>
      </c>
      <c r="F45" s="223">
        <f>$D45*E45</f>
        <v>18738.607631367307</v>
      </c>
    </row>
    <row r="46" spans="1:6" ht="27" customHeight="1" x14ac:dyDescent="0.2">
      <c r="A46" s="176">
        <v>4.021000000000007</v>
      </c>
      <c r="B46" s="173" t="s">
        <v>445</v>
      </c>
      <c r="C46" s="174" t="s">
        <v>659</v>
      </c>
      <c r="D46" s="172">
        <v>1</v>
      </c>
      <c r="E46" s="223">
        <v>16730.89967086367</v>
      </c>
      <c r="F46" s="223">
        <f>$D46*E46</f>
        <v>16730.89967086367</v>
      </c>
    </row>
    <row r="47" spans="1:6" s="104" customFormat="1" ht="58.9" customHeight="1" x14ac:dyDescent="0.25">
      <c r="A47" s="169"/>
      <c r="B47" s="213" t="s">
        <v>679</v>
      </c>
      <c r="C47" s="171"/>
      <c r="D47" s="169"/>
      <c r="E47" s="225"/>
      <c r="F47" s="225"/>
    </row>
    <row r="48" spans="1:6" s="104" customFormat="1" ht="15.75" x14ac:dyDescent="0.25">
      <c r="A48" s="172">
        <v>4.0220000000000073</v>
      </c>
      <c r="B48" s="173" t="s">
        <v>443</v>
      </c>
      <c r="C48" s="174" t="s">
        <v>659</v>
      </c>
      <c r="D48" s="172">
        <v>1</v>
      </c>
      <c r="E48" s="223">
        <v>16038.360886967543</v>
      </c>
      <c r="F48" s="223">
        <f t="shared" ref="F48:F54" si="1">$D48*E48</f>
        <v>16038.360886967543</v>
      </c>
    </row>
    <row r="49" spans="1:6" s="104" customFormat="1" ht="15.75" x14ac:dyDescent="0.25">
      <c r="A49" s="172">
        <v>4.0230000000000077</v>
      </c>
      <c r="B49" s="173" t="s">
        <v>77</v>
      </c>
      <c r="C49" s="174" t="s">
        <v>659</v>
      </c>
      <c r="D49" s="172">
        <v>1</v>
      </c>
      <c r="E49" s="223">
        <v>17172.990271406703</v>
      </c>
      <c r="F49" s="223">
        <f t="shared" si="1"/>
        <v>17172.990271406703</v>
      </c>
    </row>
    <row r="50" spans="1:6" x14ac:dyDescent="0.2">
      <c r="A50" s="172">
        <v>4.024000000000008</v>
      </c>
      <c r="B50" s="173" t="s">
        <v>365</v>
      </c>
      <c r="C50" s="174" t="s">
        <v>659</v>
      </c>
      <c r="D50" s="172">
        <v>1</v>
      </c>
      <c r="E50" s="223">
        <v>17305.34507252297</v>
      </c>
      <c r="F50" s="223">
        <f t="shared" si="1"/>
        <v>17305.34507252297</v>
      </c>
    </row>
    <row r="51" spans="1:6" s="104" customFormat="1" ht="15.75" x14ac:dyDescent="0.25">
      <c r="A51" s="172">
        <v>4.0250000000000083</v>
      </c>
      <c r="B51" s="173" t="s">
        <v>277</v>
      </c>
      <c r="C51" s="174" t="s">
        <v>659</v>
      </c>
      <c r="D51" s="172">
        <v>1</v>
      </c>
      <c r="E51" s="223">
        <v>3496.1891806216972</v>
      </c>
      <c r="F51" s="223">
        <f t="shared" si="1"/>
        <v>3496.1891806216972</v>
      </c>
    </row>
    <row r="52" spans="1:6" x14ac:dyDescent="0.2">
      <c r="A52" s="172">
        <v>4.0260000000000087</v>
      </c>
      <c r="B52" s="173" t="s">
        <v>276</v>
      </c>
      <c r="C52" s="174" t="s">
        <v>659</v>
      </c>
      <c r="D52" s="172">
        <v>1</v>
      </c>
      <c r="E52" s="223">
        <v>3181.6081126502504</v>
      </c>
      <c r="F52" s="223">
        <f t="shared" si="1"/>
        <v>3181.6081126502504</v>
      </c>
    </row>
    <row r="53" spans="1:6" x14ac:dyDescent="0.2">
      <c r="A53" s="172">
        <v>4.027000000000009</v>
      </c>
      <c r="B53" s="173" t="s">
        <v>444</v>
      </c>
      <c r="C53" s="174" t="s">
        <v>659</v>
      </c>
      <c r="D53" s="172">
        <v>1</v>
      </c>
      <c r="E53" s="223">
        <v>5550.9377386399383</v>
      </c>
      <c r="F53" s="223">
        <f t="shared" si="1"/>
        <v>5550.9377386399383</v>
      </c>
    </row>
    <row r="54" spans="1:6" x14ac:dyDescent="0.2">
      <c r="A54" s="172">
        <v>4.0280000000000094</v>
      </c>
      <c r="B54" s="173" t="s">
        <v>278</v>
      </c>
      <c r="C54" s="174" t="s">
        <v>659</v>
      </c>
      <c r="D54" s="172">
        <v>1</v>
      </c>
      <c r="E54" s="223">
        <v>3496.2126038812366</v>
      </c>
      <c r="F54" s="223">
        <f t="shared" si="1"/>
        <v>3496.2126038812366</v>
      </c>
    </row>
    <row r="55" spans="1:6" ht="15.75" x14ac:dyDescent="0.2">
      <c r="A55" s="177"/>
      <c r="B55" s="171" t="s">
        <v>284</v>
      </c>
      <c r="C55" s="174"/>
      <c r="D55" s="178"/>
      <c r="E55" s="224"/>
      <c r="F55" s="225">
        <f>SUM(F10:F54)</f>
        <v>417097.81195952051</v>
      </c>
    </row>
    <row r="56" spans="1:6" x14ac:dyDescent="0.2">
      <c r="E56" s="88"/>
      <c r="F56" s="109"/>
    </row>
    <row r="57" spans="1:6" x14ac:dyDescent="0.2">
      <c r="E57" s="125"/>
      <c r="F57" s="109"/>
    </row>
    <row r="58" spans="1:6" x14ac:dyDescent="0.2">
      <c r="E58" s="125"/>
      <c r="F58" s="109"/>
    </row>
    <row r="59" spans="1:6" x14ac:dyDescent="0.2">
      <c r="E59" s="125"/>
      <c r="F59" s="109"/>
    </row>
    <row r="60" spans="1:6" x14ac:dyDescent="0.2">
      <c r="E60" s="125"/>
      <c r="F60" s="109"/>
    </row>
    <row r="61" spans="1:6" x14ac:dyDescent="0.2">
      <c r="E61" s="125"/>
      <c r="F61" s="109"/>
    </row>
    <row r="62" spans="1:6" x14ac:dyDescent="0.2">
      <c r="E62" s="125"/>
      <c r="F62" s="109"/>
    </row>
    <row r="63" spans="1:6" x14ac:dyDescent="0.2">
      <c r="E63" s="125"/>
      <c r="F63" s="109"/>
    </row>
    <row r="64" spans="1:6" x14ac:dyDescent="0.2">
      <c r="E64" s="125"/>
      <c r="F64" s="109"/>
    </row>
    <row r="65" spans="5:6" x14ac:dyDescent="0.2">
      <c r="E65" s="125"/>
      <c r="F65" s="109"/>
    </row>
    <row r="66" spans="5:6" x14ac:dyDescent="0.2">
      <c r="E66" s="125"/>
      <c r="F66" s="109"/>
    </row>
    <row r="67" spans="5:6" x14ac:dyDescent="0.2">
      <c r="E67" s="125"/>
      <c r="F67" s="109"/>
    </row>
    <row r="68" spans="5:6" x14ac:dyDescent="0.2">
      <c r="E68" s="125"/>
      <c r="F68" s="109"/>
    </row>
    <row r="69" spans="5:6" x14ac:dyDescent="0.2">
      <c r="E69" s="125"/>
      <c r="F69" s="109"/>
    </row>
    <row r="70" spans="5:6" x14ac:dyDescent="0.2">
      <c r="E70" s="125"/>
      <c r="F70" s="109"/>
    </row>
    <row r="71" spans="5:6" x14ac:dyDescent="0.2">
      <c r="E71" s="125"/>
      <c r="F71" s="109"/>
    </row>
    <row r="72" spans="5:6" x14ac:dyDescent="0.2">
      <c r="E72" s="125"/>
      <c r="F72" s="109"/>
    </row>
    <row r="73" spans="5:6" x14ac:dyDescent="0.2">
      <c r="E73" s="125"/>
      <c r="F73" s="109"/>
    </row>
    <row r="74" spans="5:6" x14ac:dyDescent="0.2">
      <c r="E74" s="125"/>
      <c r="F74" s="109"/>
    </row>
    <row r="75" spans="5:6" x14ac:dyDescent="0.2">
      <c r="E75" s="125"/>
      <c r="F75" s="109"/>
    </row>
    <row r="76" spans="5:6" x14ac:dyDescent="0.2">
      <c r="E76" s="125"/>
      <c r="F76" s="109"/>
    </row>
    <row r="77" spans="5:6" x14ac:dyDescent="0.2">
      <c r="E77" s="125"/>
      <c r="F77" s="109"/>
    </row>
    <row r="78" spans="5:6" x14ac:dyDescent="0.2">
      <c r="E78" s="125"/>
      <c r="F78" s="109"/>
    </row>
    <row r="79" spans="5:6" x14ac:dyDescent="0.2">
      <c r="E79" s="125"/>
      <c r="F79" s="109"/>
    </row>
    <row r="80" spans="5:6" x14ac:dyDescent="0.2">
      <c r="E80" s="125"/>
      <c r="F80" s="109"/>
    </row>
    <row r="81" spans="5:6" x14ac:dyDescent="0.2">
      <c r="E81" s="125"/>
      <c r="F81" s="109"/>
    </row>
    <row r="82" spans="5:6" x14ac:dyDescent="0.2">
      <c r="E82" s="125"/>
      <c r="F82" s="109"/>
    </row>
    <row r="83" spans="5:6" x14ac:dyDescent="0.2">
      <c r="E83" s="125"/>
      <c r="F83" s="109"/>
    </row>
    <row r="84" spans="5:6" x14ac:dyDescent="0.2">
      <c r="E84" s="125"/>
      <c r="F84" s="109"/>
    </row>
    <row r="85" spans="5:6" x14ac:dyDescent="0.2">
      <c r="E85" s="125"/>
      <c r="F85" s="109"/>
    </row>
    <row r="86" spans="5:6" x14ac:dyDescent="0.2">
      <c r="E86" s="125"/>
      <c r="F86" s="109"/>
    </row>
    <row r="87" spans="5:6" x14ac:dyDescent="0.2">
      <c r="E87" s="125"/>
      <c r="F87" s="109"/>
    </row>
    <row r="88" spans="5:6" x14ac:dyDescent="0.2">
      <c r="E88" s="125"/>
      <c r="F88" s="109"/>
    </row>
    <row r="89" spans="5:6" x14ac:dyDescent="0.2">
      <c r="E89" s="125"/>
      <c r="F89" s="109"/>
    </row>
    <row r="90" spans="5:6" x14ac:dyDescent="0.2">
      <c r="E90" s="125"/>
      <c r="F90" s="109"/>
    </row>
    <row r="91" spans="5:6" x14ac:dyDescent="0.2">
      <c r="E91" s="125"/>
      <c r="F91" s="109"/>
    </row>
    <row r="92" spans="5:6" x14ac:dyDescent="0.2">
      <c r="E92" s="125"/>
      <c r="F92" s="109"/>
    </row>
    <row r="93" spans="5:6" x14ac:dyDescent="0.2">
      <c r="E93" s="125"/>
      <c r="F93" s="109"/>
    </row>
    <row r="94" spans="5:6" x14ac:dyDescent="0.2">
      <c r="E94" s="125"/>
      <c r="F94" s="109"/>
    </row>
    <row r="95" spans="5:6" x14ac:dyDescent="0.2">
      <c r="E95" s="125"/>
      <c r="F95" s="109"/>
    </row>
    <row r="96" spans="5:6" x14ac:dyDescent="0.2">
      <c r="E96" s="125"/>
      <c r="F96" s="109"/>
    </row>
    <row r="97" spans="5:6" x14ac:dyDescent="0.2">
      <c r="E97" s="125"/>
      <c r="F97" s="109"/>
    </row>
    <row r="98" spans="5:6" x14ac:dyDescent="0.2">
      <c r="E98" s="125"/>
      <c r="F98" s="109"/>
    </row>
    <row r="99" spans="5:6" x14ac:dyDescent="0.2">
      <c r="E99" s="125"/>
      <c r="F99" s="109"/>
    </row>
    <row r="100" spans="5:6" x14ac:dyDescent="0.2">
      <c r="E100" s="125"/>
      <c r="F100" s="109"/>
    </row>
    <row r="101" spans="5:6" x14ac:dyDescent="0.2">
      <c r="E101" s="125"/>
      <c r="F101" s="109"/>
    </row>
    <row r="102" spans="5:6" x14ac:dyDescent="0.2">
      <c r="E102" s="125"/>
      <c r="F102" s="109"/>
    </row>
    <row r="103" spans="5:6" x14ac:dyDescent="0.2">
      <c r="E103" s="125"/>
      <c r="F103" s="109"/>
    </row>
    <row r="104" spans="5:6" x14ac:dyDescent="0.2">
      <c r="E104" s="125"/>
      <c r="F104" s="109"/>
    </row>
    <row r="105" spans="5:6" x14ac:dyDescent="0.2">
      <c r="E105" s="125"/>
      <c r="F105" s="109"/>
    </row>
    <row r="106" spans="5:6" x14ac:dyDescent="0.2">
      <c r="E106" s="125"/>
      <c r="F106" s="109"/>
    </row>
    <row r="107" spans="5:6" x14ac:dyDescent="0.2">
      <c r="E107" s="125"/>
      <c r="F107" s="109"/>
    </row>
    <row r="108" spans="5:6" x14ac:dyDescent="0.2">
      <c r="E108" s="125"/>
      <c r="F108" s="109"/>
    </row>
    <row r="109" spans="5:6" x14ac:dyDescent="0.2">
      <c r="E109" s="125"/>
      <c r="F109" s="109"/>
    </row>
    <row r="110" spans="5:6" x14ac:dyDescent="0.2">
      <c r="E110" s="125"/>
      <c r="F110" s="109"/>
    </row>
    <row r="111" spans="5:6" x14ac:dyDescent="0.2">
      <c r="E111" s="125"/>
      <c r="F111" s="109"/>
    </row>
    <row r="112" spans="5:6" x14ac:dyDescent="0.2">
      <c r="E112" s="125"/>
      <c r="F112" s="109"/>
    </row>
    <row r="113" spans="5:6" x14ac:dyDescent="0.2">
      <c r="E113" s="125"/>
      <c r="F113" s="109"/>
    </row>
    <row r="114" spans="5:6" x14ac:dyDescent="0.2">
      <c r="E114" s="125"/>
      <c r="F114" s="109"/>
    </row>
    <row r="115" spans="5:6" x14ac:dyDescent="0.2">
      <c r="E115" s="125"/>
      <c r="F115" s="109"/>
    </row>
    <row r="116" spans="5:6" x14ac:dyDescent="0.2">
      <c r="E116" s="125"/>
      <c r="F116" s="109"/>
    </row>
    <row r="117" spans="5:6" x14ac:dyDescent="0.2">
      <c r="E117" s="125"/>
      <c r="F117" s="109"/>
    </row>
    <row r="118" spans="5:6" x14ac:dyDescent="0.2">
      <c r="E118" s="125"/>
      <c r="F118" s="109"/>
    </row>
    <row r="119" spans="5:6" x14ac:dyDescent="0.2">
      <c r="E119" s="125"/>
      <c r="F119" s="109"/>
    </row>
    <row r="120" spans="5:6" x14ac:dyDescent="0.2">
      <c r="E120" s="125"/>
      <c r="F120" s="109"/>
    </row>
    <row r="121" spans="5:6" x14ac:dyDescent="0.2">
      <c r="E121" s="125"/>
      <c r="F121" s="109"/>
    </row>
    <row r="122" spans="5:6" x14ac:dyDescent="0.2">
      <c r="E122" s="125"/>
      <c r="F122" s="109"/>
    </row>
    <row r="123" spans="5:6" x14ac:dyDescent="0.2">
      <c r="E123" s="125"/>
      <c r="F123" s="109"/>
    </row>
    <row r="124" spans="5:6" x14ac:dyDescent="0.2">
      <c r="E124" s="125"/>
      <c r="F124" s="109"/>
    </row>
    <row r="125" spans="5:6" x14ac:dyDescent="0.2">
      <c r="E125" s="125"/>
      <c r="F125" s="109"/>
    </row>
    <row r="126" spans="5:6" x14ac:dyDescent="0.2">
      <c r="E126" s="125"/>
      <c r="F126" s="109"/>
    </row>
    <row r="127" spans="5:6" x14ac:dyDescent="0.2">
      <c r="E127" s="125"/>
      <c r="F127" s="109"/>
    </row>
    <row r="128" spans="5:6" x14ac:dyDescent="0.2">
      <c r="E128" s="125"/>
      <c r="F128" s="109"/>
    </row>
    <row r="129" spans="5:6" x14ac:dyDescent="0.2">
      <c r="E129" s="125"/>
      <c r="F129" s="109"/>
    </row>
    <row r="130" spans="5:6" x14ac:dyDescent="0.2">
      <c r="E130" s="125"/>
      <c r="F130" s="109"/>
    </row>
    <row r="131" spans="5:6" x14ac:dyDescent="0.2">
      <c r="E131" s="125"/>
      <c r="F131" s="109"/>
    </row>
    <row r="132" spans="5:6" x14ac:dyDescent="0.2">
      <c r="E132" s="125"/>
      <c r="F132" s="109"/>
    </row>
    <row r="133" spans="5:6" x14ac:dyDescent="0.2">
      <c r="E133" s="125"/>
      <c r="F133" s="109"/>
    </row>
    <row r="134" spans="5:6" x14ac:dyDescent="0.2">
      <c r="E134" s="125"/>
      <c r="F134" s="109"/>
    </row>
    <row r="135" spans="5:6" x14ac:dyDescent="0.2">
      <c r="E135" s="125"/>
      <c r="F135" s="109"/>
    </row>
    <row r="136" spans="5:6" x14ac:dyDescent="0.2">
      <c r="E136" s="125"/>
      <c r="F136" s="109"/>
    </row>
    <row r="137" spans="5:6" x14ac:dyDescent="0.2">
      <c r="E137" s="125"/>
      <c r="F137" s="109"/>
    </row>
    <row r="138" spans="5:6" x14ac:dyDescent="0.2">
      <c r="E138" s="125"/>
      <c r="F138" s="109"/>
    </row>
    <row r="139" spans="5:6" x14ac:dyDescent="0.2">
      <c r="E139" s="125"/>
      <c r="F139" s="109"/>
    </row>
    <row r="140" spans="5:6" x14ac:dyDescent="0.2">
      <c r="E140" s="125"/>
      <c r="F140" s="109"/>
    </row>
    <row r="141" spans="5:6" x14ac:dyDescent="0.2">
      <c r="E141" s="125"/>
      <c r="F141" s="109"/>
    </row>
    <row r="142" spans="5:6" x14ac:dyDescent="0.2">
      <c r="E142" s="125"/>
      <c r="F142" s="109"/>
    </row>
    <row r="143" spans="5:6" x14ac:dyDescent="0.2">
      <c r="E143" s="125"/>
      <c r="F143" s="109"/>
    </row>
    <row r="144" spans="5:6" x14ac:dyDescent="0.2">
      <c r="E144" s="125"/>
      <c r="F144" s="109"/>
    </row>
    <row r="145" spans="5:6" x14ac:dyDescent="0.2">
      <c r="E145" s="125"/>
      <c r="F145" s="109"/>
    </row>
    <row r="146" spans="5:6" x14ac:dyDescent="0.2">
      <c r="E146" s="125"/>
      <c r="F146" s="109"/>
    </row>
    <row r="147" spans="5:6" x14ac:dyDescent="0.2">
      <c r="E147" s="125"/>
      <c r="F147" s="109"/>
    </row>
    <row r="148" spans="5:6" x14ac:dyDescent="0.2">
      <c r="E148" s="125"/>
      <c r="F148" s="109"/>
    </row>
    <row r="149" spans="5:6" x14ac:dyDescent="0.2">
      <c r="E149" s="125"/>
      <c r="F149" s="109"/>
    </row>
    <row r="150" spans="5:6" x14ac:dyDescent="0.2">
      <c r="E150" s="125"/>
      <c r="F150" s="109"/>
    </row>
    <row r="151" spans="5:6" x14ac:dyDescent="0.2">
      <c r="E151" s="125"/>
      <c r="F151" s="109"/>
    </row>
    <row r="152" spans="5:6" x14ac:dyDescent="0.2">
      <c r="E152" s="125"/>
      <c r="F152" s="109"/>
    </row>
    <row r="153" spans="5:6" x14ac:dyDescent="0.2">
      <c r="E153" s="125"/>
      <c r="F153" s="109"/>
    </row>
    <row r="154" spans="5:6" x14ac:dyDescent="0.2">
      <c r="E154" s="125"/>
      <c r="F154" s="109"/>
    </row>
    <row r="155" spans="5:6" x14ac:dyDescent="0.2">
      <c r="E155" s="125"/>
      <c r="F155" s="109"/>
    </row>
    <row r="156" spans="5:6" x14ac:dyDescent="0.2">
      <c r="E156" s="125"/>
      <c r="F156" s="109"/>
    </row>
    <row r="157" spans="5:6" x14ac:dyDescent="0.2">
      <c r="E157" s="125"/>
      <c r="F157" s="109"/>
    </row>
    <row r="158" spans="5:6" x14ac:dyDescent="0.2">
      <c r="E158" s="125"/>
      <c r="F158" s="109"/>
    </row>
    <row r="159" spans="5:6" x14ac:dyDescent="0.2">
      <c r="E159" s="125"/>
      <c r="F159" s="109"/>
    </row>
    <row r="160" spans="5:6" x14ac:dyDescent="0.2">
      <c r="E160" s="125"/>
      <c r="F160" s="109"/>
    </row>
    <row r="161" spans="5:6" x14ac:dyDescent="0.2">
      <c r="E161" s="125"/>
      <c r="F161" s="109"/>
    </row>
    <row r="162" spans="5:6" x14ac:dyDescent="0.2">
      <c r="E162" s="125"/>
      <c r="F162" s="109"/>
    </row>
    <row r="163" spans="5:6" x14ac:dyDescent="0.2">
      <c r="E163" s="125"/>
      <c r="F163" s="109"/>
    </row>
    <row r="164" spans="5:6" x14ac:dyDescent="0.2">
      <c r="E164" s="125"/>
      <c r="F164" s="109"/>
    </row>
    <row r="165" spans="5:6" x14ac:dyDescent="0.2">
      <c r="E165" s="125"/>
      <c r="F165" s="109"/>
    </row>
    <row r="166" spans="5:6" x14ac:dyDescent="0.2">
      <c r="E166" s="125"/>
      <c r="F166" s="109"/>
    </row>
    <row r="167" spans="5:6" x14ac:dyDescent="0.2">
      <c r="E167" s="125"/>
      <c r="F167" s="109"/>
    </row>
    <row r="168" spans="5:6" x14ac:dyDescent="0.2">
      <c r="E168" s="125"/>
      <c r="F168" s="109"/>
    </row>
    <row r="169" spans="5:6" x14ac:dyDescent="0.2">
      <c r="E169" s="125"/>
      <c r="F169" s="109"/>
    </row>
    <row r="170" spans="5:6" x14ac:dyDescent="0.2">
      <c r="E170" s="125"/>
      <c r="F170" s="109"/>
    </row>
    <row r="171" spans="5:6" x14ac:dyDescent="0.2">
      <c r="E171" s="125"/>
      <c r="F171" s="109"/>
    </row>
    <row r="172" spans="5:6" x14ac:dyDescent="0.2">
      <c r="E172" s="125"/>
      <c r="F172" s="109"/>
    </row>
    <row r="173" spans="5:6" x14ac:dyDescent="0.2">
      <c r="E173" s="125"/>
      <c r="F173" s="109"/>
    </row>
    <row r="174" spans="5:6" x14ac:dyDescent="0.2">
      <c r="E174" s="125"/>
      <c r="F174" s="109"/>
    </row>
    <row r="175" spans="5:6" x14ac:dyDescent="0.2">
      <c r="E175" s="125"/>
      <c r="F175" s="109"/>
    </row>
    <row r="176" spans="5:6" x14ac:dyDescent="0.2">
      <c r="E176" s="125"/>
      <c r="F176" s="109"/>
    </row>
    <row r="177" spans="5:6" x14ac:dyDescent="0.2">
      <c r="E177" s="125"/>
      <c r="F177" s="109"/>
    </row>
    <row r="178" spans="5:6" x14ac:dyDescent="0.2">
      <c r="E178" s="125"/>
      <c r="F178" s="109"/>
    </row>
    <row r="179" spans="5:6" x14ac:dyDescent="0.2">
      <c r="E179" s="125"/>
      <c r="F179" s="109"/>
    </row>
    <row r="180" spans="5:6" x14ac:dyDescent="0.2">
      <c r="E180" s="125"/>
      <c r="F180" s="109"/>
    </row>
    <row r="181" spans="5:6" x14ac:dyDescent="0.2">
      <c r="E181" s="125"/>
      <c r="F181" s="109"/>
    </row>
    <row r="182" spans="5:6" x14ac:dyDescent="0.2">
      <c r="E182" s="125"/>
      <c r="F182" s="109"/>
    </row>
    <row r="183" spans="5:6" x14ac:dyDescent="0.2">
      <c r="E183" s="125"/>
      <c r="F183" s="109"/>
    </row>
    <row r="184" spans="5:6" x14ac:dyDescent="0.2">
      <c r="E184" s="125"/>
      <c r="F184" s="109"/>
    </row>
    <row r="185" spans="5:6" x14ac:dyDescent="0.2">
      <c r="E185" s="125"/>
      <c r="F185" s="109"/>
    </row>
    <row r="186" spans="5:6" x14ac:dyDescent="0.2">
      <c r="E186" s="125"/>
      <c r="F186" s="109"/>
    </row>
    <row r="187" spans="5:6" x14ac:dyDescent="0.2">
      <c r="E187" s="125"/>
      <c r="F187" s="109"/>
    </row>
    <row r="188" spans="5:6" x14ac:dyDescent="0.2">
      <c r="E188" s="125"/>
      <c r="F188" s="109"/>
    </row>
    <row r="189" spans="5:6" x14ac:dyDescent="0.2">
      <c r="E189" s="125"/>
      <c r="F189" s="109"/>
    </row>
    <row r="190" spans="5:6" x14ac:dyDescent="0.2">
      <c r="E190" s="125"/>
      <c r="F190" s="109"/>
    </row>
    <row r="191" spans="5:6" x14ac:dyDescent="0.2">
      <c r="E191" s="125"/>
      <c r="F191" s="109"/>
    </row>
    <row r="192" spans="5:6" x14ac:dyDescent="0.2">
      <c r="E192" s="125"/>
      <c r="F192" s="109"/>
    </row>
    <row r="193" spans="5:6" x14ac:dyDescent="0.2">
      <c r="E193" s="125"/>
      <c r="F193" s="109"/>
    </row>
    <row r="194" spans="5:6" x14ac:dyDescent="0.2">
      <c r="E194" s="125"/>
      <c r="F194" s="109"/>
    </row>
    <row r="195" spans="5:6" x14ac:dyDescent="0.2">
      <c r="E195" s="125"/>
      <c r="F195" s="109"/>
    </row>
    <row r="196" spans="5:6" x14ac:dyDescent="0.2">
      <c r="E196" s="125"/>
      <c r="F196" s="109"/>
    </row>
    <row r="197" spans="5:6" x14ac:dyDescent="0.2">
      <c r="E197" s="125"/>
      <c r="F197" s="109"/>
    </row>
    <row r="198" spans="5:6" x14ac:dyDescent="0.2">
      <c r="E198" s="125"/>
      <c r="F198" s="109"/>
    </row>
    <row r="199" spans="5:6" x14ac:dyDescent="0.2">
      <c r="E199" s="125"/>
      <c r="F199" s="109"/>
    </row>
    <row r="200" spans="5:6" x14ac:dyDescent="0.2">
      <c r="E200" s="125"/>
      <c r="F200" s="109"/>
    </row>
    <row r="201" spans="5:6" x14ac:dyDescent="0.2">
      <c r="E201" s="125"/>
      <c r="F201" s="109"/>
    </row>
    <row r="202" spans="5:6" x14ac:dyDescent="0.2">
      <c r="E202" s="125"/>
      <c r="F202" s="109"/>
    </row>
    <row r="203" spans="5:6" x14ac:dyDescent="0.2">
      <c r="E203" s="125"/>
      <c r="F203" s="109"/>
    </row>
    <row r="204" spans="5:6" x14ac:dyDescent="0.2">
      <c r="E204" s="125"/>
      <c r="F204" s="109"/>
    </row>
    <row r="205" spans="5:6" x14ac:dyDescent="0.2">
      <c r="E205" s="125"/>
      <c r="F205" s="109"/>
    </row>
    <row r="206" spans="5:6" x14ac:dyDescent="0.2">
      <c r="E206" s="125"/>
      <c r="F206" s="109"/>
    </row>
    <row r="207" spans="5:6" x14ac:dyDescent="0.2">
      <c r="E207" s="125"/>
      <c r="F207" s="109"/>
    </row>
    <row r="208" spans="5:6" x14ac:dyDescent="0.2">
      <c r="E208" s="125"/>
      <c r="F208" s="109"/>
    </row>
    <row r="209" spans="5:6" x14ac:dyDescent="0.2">
      <c r="E209" s="125"/>
      <c r="F209" s="109"/>
    </row>
    <row r="210" spans="5:6" x14ac:dyDescent="0.2">
      <c r="E210" s="125"/>
      <c r="F210" s="109"/>
    </row>
    <row r="211" spans="5:6" x14ac:dyDescent="0.2">
      <c r="E211" s="125"/>
      <c r="F211" s="109"/>
    </row>
    <row r="212" spans="5:6" x14ac:dyDescent="0.2">
      <c r="E212" s="125"/>
      <c r="F212" s="109"/>
    </row>
    <row r="213" spans="5:6" x14ac:dyDescent="0.2">
      <c r="E213" s="125"/>
      <c r="F213" s="109"/>
    </row>
    <row r="214" spans="5:6" x14ac:dyDescent="0.2">
      <c r="E214" s="125"/>
      <c r="F214" s="109"/>
    </row>
    <row r="215" spans="5:6" x14ac:dyDescent="0.2">
      <c r="E215" s="125"/>
      <c r="F215" s="109"/>
    </row>
    <row r="216" spans="5:6" x14ac:dyDescent="0.2">
      <c r="E216" s="125"/>
      <c r="F216" s="109"/>
    </row>
    <row r="217" spans="5:6" x14ac:dyDescent="0.2">
      <c r="E217" s="125"/>
      <c r="F217" s="109"/>
    </row>
    <row r="218" spans="5:6" x14ac:dyDescent="0.2">
      <c r="E218" s="125"/>
      <c r="F218" s="109"/>
    </row>
    <row r="219" spans="5:6" x14ac:dyDescent="0.2">
      <c r="E219" s="125"/>
      <c r="F219" s="109"/>
    </row>
    <row r="220" spans="5:6" x14ac:dyDescent="0.2">
      <c r="E220" s="125"/>
      <c r="F220" s="109"/>
    </row>
    <row r="221" spans="5:6" x14ac:dyDescent="0.2">
      <c r="E221" s="125"/>
      <c r="F221" s="109"/>
    </row>
    <row r="222" spans="5:6" x14ac:dyDescent="0.2">
      <c r="E222" s="125"/>
      <c r="F222" s="109"/>
    </row>
    <row r="223" spans="5:6" x14ac:dyDescent="0.2">
      <c r="E223" s="125"/>
      <c r="F223" s="109"/>
    </row>
    <row r="224" spans="5:6" x14ac:dyDescent="0.2">
      <c r="E224" s="125"/>
      <c r="F224" s="109"/>
    </row>
    <row r="225" spans="5:6" x14ac:dyDescent="0.2">
      <c r="E225" s="125"/>
      <c r="F225" s="109"/>
    </row>
    <row r="226" spans="5:6" x14ac:dyDescent="0.2">
      <c r="E226" s="125"/>
      <c r="F226" s="109"/>
    </row>
    <row r="227" spans="5:6" x14ac:dyDescent="0.2">
      <c r="E227" s="125"/>
      <c r="F227" s="109"/>
    </row>
    <row r="228" spans="5:6" x14ac:dyDescent="0.2">
      <c r="E228" s="125"/>
      <c r="F228" s="109"/>
    </row>
    <row r="229" spans="5:6" x14ac:dyDescent="0.2">
      <c r="E229" s="125"/>
      <c r="F229" s="109"/>
    </row>
    <row r="230" spans="5:6" x14ac:dyDescent="0.2">
      <c r="E230" s="125"/>
      <c r="F230" s="109"/>
    </row>
    <row r="231" spans="5:6" x14ac:dyDescent="0.2">
      <c r="E231" s="125"/>
      <c r="F231" s="109"/>
    </row>
    <row r="232" spans="5:6" x14ac:dyDescent="0.2">
      <c r="E232" s="125"/>
      <c r="F232" s="109"/>
    </row>
    <row r="233" spans="5:6" x14ac:dyDescent="0.2">
      <c r="E233" s="125"/>
      <c r="F233" s="109"/>
    </row>
    <row r="234" spans="5:6" x14ac:dyDescent="0.2">
      <c r="E234" s="125"/>
      <c r="F234" s="109"/>
    </row>
    <row r="235" spans="5:6" x14ac:dyDescent="0.2">
      <c r="E235" s="125"/>
      <c r="F235" s="109"/>
    </row>
    <row r="236" spans="5:6" x14ac:dyDescent="0.2">
      <c r="E236" s="125"/>
      <c r="F236" s="109"/>
    </row>
    <row r="237" spans="5:6" x14ac:dyDescent="0.2">
      <c r="E237" s="125"/>
      <c r="F237" s="109"/>
    </row>
    <row r="238" spans="5:6" x14ac:dyDescent="0.2">
      <c r="E238" s="125"/>
      <c r="F238" s="109"/>
    </row>
    <row r="239" spans="5:6" x14ac:dyDescent="0.2">
      <c r="E239" s="125"/>
      <c r="F239" s="109"/>
    </row>
    <row r="240" spans="5:6" x14ac:dyDescent="0.2">
      <c r="E240" s="125"/>
      <c r="F240" s="109"/>
    </row>
    <row r="241" spans="5:6" x14ac:dyDescent="0.2">
      <c r="E241" s="125"/>
      <c r="F241" s="109"/>
    </row>
    <row r="242" spans="5:6" x14ac:dyDescent="0.2">
      <c r="E242" s="125"/>
      <c r="F242" s="109"/>
    </row>
    <row r="243" spans="5:6" x14ac:dyDescent="0.2">
      <c r="E243" s="125"/>
      <c r="F243" s="109"/>
    </row>
    <row r="244" spans="5:6" x14ac:dyDescent="0.2">
      <c r="E244" s="125"/>
      <c r="F244" s="109"/>
    </row>
    <row r="245" spans="5:6" x14ac:dyDescent="0.2">
      <c r="E245" s="125"/>
      <c r="F245" s="109"/>
    </row>
    <row r="246" spans="5:6" x14ac:dyDescent="0.2">
      <c r="E246" s="125"/>
      <c r="F246" s="109"/>
    </row>
    <row r="247" spans="5:6" x14ac:dyDescent="0.2">
      <c r="E247" s="125"/>
      <c r="F247" s="109"/>
    </row>
    <row r="248" spans="5:6" x14ac:dyDescent="0.2">
      <c r="E248" s="125"/>
      <c r="F248" s="109"/>
    </row>
    <row r="249" spans="5:6" x14ac:dyDescent="0.2">
      <c r="E249" s="125"/>
      <c r="F249" s="109"/>
    </row>
    <row r="250" spans="5:6" x14ac:dyDescent="0.2">
      <c r="E250" s="125"/>
      <c r="F250" s="109"/>
    </row>
    <row r="251" spans="5:6" x14ac:dyDescent="0.2">
      <c r="E251" s="125"/>
      <c r="F251" s="109"/>
    </row>
    <row r="252" spans="5:6" x14ac:dyDescent="0.2">
      <c r="E252" s="125"/>
      <c r="F252" s="109"/>
    </row>
    <row r="253" spans="5:6" x14ac:dyDescent="0.2">
      <c r="E253" s="125"/>
      <c r="F253" s="109"/>
    </row>
    <row r="254" spans="5:6" x14ac:dyDescent="0.2">
      <c r="E254" s="125"/>
      <c r="F254" s="109"/>
    </row>
    <row r="255" spans="5:6" x14ac:dyDescent="0.2">
      <c r="E255" s="125"/>
      <c r="F255" s="109"/>
    </row>
    <row r="256" spans="5:6" x14ac:dyDescent="0.2">
      <c r="E256" s="125"/>
      <c r="F256" s="109"/>
    </row>
    <row r="257" spans="5:6" x14ac:dyDescent="0.2">
      <c r="E257" s="125"/>
      <c r="F257" s="109"/>
    </row>
    <row r="258" spans="5:6" x14ac:dyDescent="0.2">
      <c r="E258" s="125"/>
      <c r="F258" s="109"/>
    </row>
    <row r="259" spans="5:6" x14ac:dyDescent="0.2">
      <c r="E259" s="125"/>
      <c r="F259" s="109"/>
    </row>
    <row r="260" spans="5:6" x14ac:dyDescent="0.2">
      <c r="E260" s="125"/>
      <c r="F260" s="109"/>
    </row>
    <row r="261" spans="5:6" x14ac:dyDescent="0.2">
      <c r="E261" s="125"/>
      <c r="F261" s="109"/>
    </row>
    <row r="262" spans="5:6" x14ac:dyDescent="0.2">
      <c r="E262" s="125"/>
      <c r="F262" s="109"/>
    </row>
    <row r="263" spans="5:6" x14ac:dyDescent="0.2">
      <c r="E263" s="125"/>
      <c r="F263" s="109"/>
    </row>
    <row r="264" spans="5:6" x14ac:dyDescent="0.2">
      <c r="E264" s="125"/>
      <c r="F264" s="109"/>
    </row>
    <row r="265" spans="5:6" x14ac:dyDescent="0.2">
      <c r="E265" s="125"/>
      <c r="F265" s="109"/>
    </row>
    <row r="266" spans="5:6" x14ac:dyDescent="0.2">
      <c r="E266" s="125"/>
      <c r="F266" s="109"/>
    </row>
    <row r="267" spans="5:6" x14ac:dyDescent="0.2">
      <c r="E267" s="125"/>
      <c r="F267" s="109"/>
    </row>
    <row r="268" spans="5:6" x14ac:dyDescent="0.2">
      <c r="E268" s="125"/>
      <c r="F268" s="109"/>
    </row>
    <row r="269" spans="5:6" x14ac:dyDescent="0.2">
      <c r="E269" s="125"/>
      <c r="F269" s="109"/>
    </row>
    <row r="270" spans="5:6" x14ac:dyDescent="0.2">
      <c r="E270" s="125"/>
      <c r="F270" s="109"/>
    </row>
    <row r="271" spans="5:6" x14ac:dyDescent="0.2">
      <c r="E271" s="125"/>
      <c r="F271" s="109"/>
    </row>
    <row r="272" spans="5:6" x14ac:dyDescent="0.2">
      <c r="E272" s="125"/>
      <c r="F272" s="109"/>
    </row>
    <row r="273" spans="5:6" x14ac:dyDescent="0.2">
      <c r="E273" s="125"/>
      <c r="F273" s="109"/>
    </row>
    <row r="274" spans="5:6" x14ac:dyDescent="0.2">
      <c r="E274" s="125"/>
      <c r="F274" s="109"/>
    </row>
    <row r="275" spans="5:6" x14ac:dyDescent="0.2">
      <c r="E275" s="125"/>
      <c r="F275" s="109"/>
    </row>
    <row r="276" spans="5:6" x14ac:dyDescent="0.2">
      <c r="E276" s="125"/>
      <c r="F276" s="109"/>
    </row>
    <row r="277" spans="5:6" x14ac:dyDescent="0.2">
      <c r="E277" s="125"/>
      <c r="F277" s="109"/>
    </row>
    <row r="278" spans="5:6" x14ac:dyDescent="0.2">
      <c r="E278" s="125"/>
      <c r="F278" s="109"/>
    </row>
    <row r="279" spans="5:6" x14ac:dyDescent="0.2">
      <c r="E279" s="125"/>
      <c r="F279" s="109"/>
    </row>
    <row r="280" spans="5:6" x14ac:dyDescent="0.2">
      <c r="E280" s="125"/>
      <c r="F280" s="109"/>
    </row>
    <row r="281" spans="5:6" x14ac:dyDescent="0.2">
      <c r="E281" s="125"/>
      <c r="F281" s="109"/>
    </row>
    <row r="282" spans="5:6" x14ac:dyDescent="0.2">
      <c r="E282" s="125"/>
      <c r="F282" s="109"/>
    </row>
    <row r="283" spans="5:6" x14ac:dyDescent="0.2">
      <c r="E283" s="125"/>
      <c r="F283" s="109"/>
    </row>
    <row r="284" spans="5:6" x14ac:dyDescent="0.2">
      <c r="E284" s="125"/>
      <c r="F284" s="109"/>
    </row>
    <row r="285" spans="5:6" x14ac:dyDescent="0.2">
      <c r="E285" s="125"/>
      <c r="F285" s="109"/>
    </row>
    <row r="286" spans="5:6" x14ac:dyDescent="0.2">
      <c r="E286" s="125"/>
      <c r="F286" s="109"/>
    </row>
    <row r="287" spans="5:6" x14ac:dyDescent="0.2">
      <c r="E287" s="125"/>
      <c r="F287" s="109"/>
    </row>
    <row r="288" spans="5:6" x14ac:dyDescent="0.2">
      <c r="E288" s="125"/>
      <c r="F288" s="109"/>
    </row>
    <row r="289" spans="5:6" x14ac:dyDescent="0.2">
      <c r="E289" s="125"/>
      <c r="F289" s="109"/>
    </row>
    <row r="290" spans="5:6" x14ac:dyDescent="0.2">
      <c r="E290" s="125"/>
      <c r="F290" s="109"/>
    </row>
    <row r="291" spans="5:6" x14ac:dyDescent="0.2">
      <c r="E291" s="125"/>
      <c r="F291" s="109"/>
    </row>
    <row r="292" spans="5:6" x14ac:dyDescent="0.2">
      <c r="E292" s="125"/>
      <c r="F292" s="109"/>
    </row>
    <row r="293" spans="5:6" x14ac:dyDescent="0.2">
      <c r="E293" s="125"/>
      <c r="F293" s="109"/>
    </row>
    <row r="294" spans="5:6" x14ac:dyDescent="0.2">
      <c r="E294" s="125"/>
      <c r="F294" s="109"/>
    </row>
    <row r="295" spans="5:6" x14ac:dyDescent="0.2">
      <c r="E295" s="125"/>
      <c r="F295" s="109"/>
    </row>
    <row r="296" spans="5:6" x14ac:dyDescent="0.2">
      <c r="E296" s="125"/>
      <c r="F296" s="109"/>
    </row>
    <row r="297" spans="5:6" x14ac:dyDescent="0.2">
      <c r="E297" s="125"/>
      <c r="F297" s="109"/>
    </row>
    <row r="298" spans="5:6" x14ac:dyDescent="0.2">
      <c r="E298" s="125"/>
      <c r="F298" s="109"/>
    </row>
    <row r="299" spans="5:6" x14ac:dyDescent="0.2">
      <c r="E299" s="125"/>
      <c r="F299" s="109"/>
    </row>
    <row r="300" spans="5:6" x14ac:dyDescent="0.2">
      <c r="E300" s="125"/>
      <c r="F300" s="109"/>
    </row>
    <row r="301" spans="5:6" x14ac:dyDescent="0.2">
      <c r="E301" s="125"/>
      <c r="F301" s="109"/>
    </row>
    <row r="302" spans="5:6" x14ac:dyDescent="0.2">
      <c r="E302" s="125"/>
      <c r="F302" s="109"/>
    </row>
    <row r="303" spans="5:6" x14ac:dyDescent="0.2">
      <c r="E303" s="125"/>
      <c r="F303" s="109"/>
    </row>
    <row r="304" spans="5:6" x14ac:dyDescent="0.2">
      <c r="E304" s="125"/>
      <c r="F304" s="109"/>
    </row>
    <row r="305" spans="5:6" x14ac:dyDescent="0.2">
      <c r="E305" s="125"/>
      <c r="F305" s="109"/>
    </row>
    <row r="306" spans="5:6" x14ac:dyDescent="0.2">
      <c r="E306" s="125"/>
      <c r="F306" s="109"/>
    </row>
    <row r="307" spans="5:6" x14ac:dyDescent="0.2">
      <c r="E307" s="125"/>
      <c r="F307" s="109"/>
    </row>
    <row r="308" spans="5:6" x14ac:dyDescent="0.2">
      <c r="E308" s="125"/>
      <c r="F308" s="109"/>
    </row>
    <row r="309" spans="5:6" x14ac:dyDescent="0.2">
      <c r="E309" s="125"/>
      <c r="F309" s="109"/>
    </row>
    <row r="310" spans="5:6" x14ac:dyDescent="0.2">
      <c r="E310" s="125"/>
      <c r="F310" s="109"/>
    </row>
    <row r="311" spans="5:6" x14ac:dyDescent="0.2">
      <c r="E311" s="125"/>
      <c r="F311" s="109"/>
    </row>
    <row r="312" spans="5:6" x14ac:dyDescent="0.2">
      <c r="E312" s="125"/>
      <c r="F312" s="109"/>
    </row>
    <row r="313" spans="5:6" x14ac:dyDescent="0.2">
      <c r="E313" s="125"/>
      <c r="F313" s="109"/>
    </row>
    <row r="314" spans="5:6" x14ac:dyDescent="0.2">
      <c r="E314" s="125"/>
      <c r="F314" s="109"/>
    </row>
    <row r="315" spans="5:6" x14ac:dyDescent="0.2">
      <c r="E315" s="125"/>
      <c r="F315" s="109"/>
    </row>
    <row r="316" spans="5:6" x14ac:dyDescent="0.2">
      <c r="E316" s="125"/>
      <c r="F316" s="109"/>
    </row>
    <row r="317" spans="5:6" x14ac:dyDescent="0.2">
      <c r="E317" s="125"/>
      <c r="F317" s="109"/>
    </row>
    <row r="318" spans="5:6" x14ac:dyDescent="0.2">
      <c r="E318" s="125"/>
      <c r="F318" s="109"/>
    </row>
    <row r="319" spans="5:6" x14ac:dyDescent="0.2">
      <c r="E319" s="125"/>
      <c r="F319" s="109"/>
    </row>
    <row r="320" spans="5:6" x14ac:dyDescent="0.2">
      <c r="E320" s="125"/>
      <c r="F320" s="109"/>
    </row>
    <row r="321" spans="5:6" x14ac:dyDescent="0.2">
      <c r="E321" s="125"/>
      <c r="F321" s="109"/>
    </row>
    <row r="322" spans="5:6" x14ac:dyDescent="0.2">
      <c r="E322" s="125"/>
      <c r="F322" s="109"/>
    </row>
    <row r="323" spans="5:6" x14ac:dyDescent="0.2">
      <c r="E323" s="125"/>
      <c r="F323" s="109"/>
    </row>
    <row r="324" spans="5:6" x14ac:dyDescent="0.2">
      <c r="E324" s="125"/>
      <c r="F324" s="109"/>
    </row>
    <row r="325" spans="5:6" x14ac:dyDescent="0.2">
      <c r="E325" s="125"/>
      <c r="F325" s="109"/>
    </row>
    <row r="326" spans="5:6" x14ac:dyDescent="0.2">
      <c r="E326" s="125"/>
      <c r="F326" s="109"/>
    </row>
    <row r="327" spans="5:6" x14ac:dyDescent="0.2">
      <c r="E327" s="125"/>
      <c r="F327" s="109"/>
    </row>
    <row r="328" spans="5:6" x14ac:dyDescent="0.2">
      <c r="E328" s="125"/>
      <c r="F328" s="109"/>
    </row>
    <row r="329" spans="5:6" x14ac:dyDescent="0.2">
      <c r="E329" s="125"/>
      <c r="F329" s="109"/>
    </row>
    <row r="330" spans="5:6" x14ac:dyDescent="0.2">
      <c r="E330" s="125"/>
      <c r="F330" s="109"/>
    </row>
    <row r="331" spans="5:6" x14ac:dyDescent="0.2">
      <c r="E331" s="125"/>
      <c r="F331" s="109"/>
    </row>
    <row r="332" spans="5:6" x14ac:dyDescent="0.2">
      <c r="E332" s="125"/>
      <c r="F332" s="109"/>
    </row>
    <row r="333" spans="5:6" x14ac:dyDescent="0.2">
      <c r="E333" s="125"/>
      <c r="F333" s="109"/>
    </row>
    <row r="334" spans="5:6" x14ac:dyDescent="0.2">
      <c r="E334" s="125"/>
      <c r="F334" s="109"/>
    </row>
    <row r="335" spans="5:6" x14ac:dyDescent="0.2">
      <c r="E335" s="125"/>
      <c r="F335" s="109"/>
    </row>
    <row r="336" spans="5:6" x14ac:dyDescent="0.2">
      <c r="E336" s="125"/>
      <c r="F336" s="109"/>
    </row>
    <row r="337" spans="5:6" x14ac:dyDescent="0.2">
      <c r="E337" s="125"/>
      <c r="F337" s="109"/>
    </row>
    <row r="338" spans="5:6" x14ac:dyDescent="0.2">
      <c r="E338" s="125"/>
      <c r="F338" s="109"/>
    </row>
    <row r="339" spans="5:6" x14ac:dyDescent="0.2">
      <c r="E339" s="125"/>
      <c r="F339" s="109"/>
    </row>
    <row r="340" spans="5:6" x14ac:dyDescent="0.2">
      <c r="E340" s="125"/>
      <c r="F340" s="109"/>
    </row>
    <row r="341" spans="5:6" x14ac:dyDescent="0.2">
      <c r="E341" s="125"/>
      <c r="F341" s="109"/>
    </row>
    <row r="342" spans="5:6" x14ac:dyDescent="0.2">
      <c r="E342" s="125"/>
      <c r="F342" s="109"/>
    </row>
    <row r="343" spans="5:6" x14ac:dyDescent="0.2">
      <c r="E343" s="125"/>
      <c r="F343" s="109"/>
    </row>
    <row r="344" spans="5:6" x14ac:dyDescent="0.2">
      <c r="E344" s="125"/>
      <c r="F344" s="109"/>
    </row>
    <row r="345" spans="5:6" x14ac:dyDescent="0.2">
      <c r="E345" s="125"/>
      <c r="F345" s="109"/>
    </row>
    <row r="346" spans="5:6" x14ac:dyDescent="0.2">
      <c r="E346" s="125"/>
      <c r="F346" s="109"/>
    </row>
    <row r="347" spans="5:6" x14ac:dyDescent="0.2">
      <c r="E347" s="125"/>
      <c r="F347" s="109"/>
    </row>
    <row r="348" spans="5:6" x14ac:dyDescent="0.2">
      <c r="E348" s="125"/>
      <c r="F348" s="109"/>
    </row>
    <row r="349" spans="5:6" x14ac:dyDescent="0.2">
      <c r="E349" s="125"/>
      <c r="F349" s="109"/>
    </row>
    <row r="350" spans="5:6" x14ac:dyDescent="0.2">
      <c r="E350" s="125"/>
      <c r="F350" s="109"/>
    </row>
    <row r="351" spans="5:6" x14ac:dyDescent="0.2">
      <c r="E351" s="125"/>
      <c r="F351" s="109"/>
    </row>
    <row r="352" spans="5:6" x14ac:dyDescent="0.2">
      <c r="E352" s="125"/>
      <c r="F352" s="109"/>
    </row>
    <row r="353" spans="5:6" x14ac:dyDescent="0.2">
      <c r="E353" s="125"/>
      <c r="F353" s="109"/>
    </row>
    <row r="354" spans="5:6" x14ac:dyDescent="0.2">
      <c r="E354" s="125"/>
      <c r="F354" s="109"/>
    </row>
    <row r="355" spans="5:6" x14ac:dyDescent="0.2">
      <c r="E355" s="125"/>
      <c r="F355" s="109"/>
    </row>
    <row r="356" spans="5:6" x14ac:dyDescent="0.2">
      <c r="E356" s="125"/>
      <c r="F356" s="109"/>
    </row>
    <row r="357" spans="5:6" x14ac:dyDescent="0.2">
      <c r="E357" s="125"/>
      <c r="F357" s="109"/>
    </row>
    <row r="358" spans="5:6" x14ac:dyDescent="0.2">
      <c r="E358" s="125"/>
      <c r="F358" s="109"/>
    </row>
    <row r="359" spans="5:6" x14ac:dyDescent="0.2">
      <c r="E359" s="125"/>
      <c r="F359" s="109"/>
    </row>
    <row r="360" spans="5:6" x14ac:dyDescent="0.2">
      <c r="E360" s="125"/>
      <c r="F360" s="109"/>
    </row>
    <row r="361" spans="5:6" x14ac:dyDescent="0.2">
      <c r="E361" s="125"/>
      <c r="F361" s="109"/>
    </row>
    <row r="362" spans="5:6" x14ac:dyDescent="0.2">
      <c r="E362" s="125"/>
      <c r="F362" s="109"/>
    </row>
    <row r="363" spans="5:6" x14ac:dyDescent="0.2">
      <c r="E363" s="125"/>
      <c r="F363" s="109"/>
    </row>
    <row r="364" spans="5:6" x14ac:dyDescent="0.2">
      <c r="E364" s="125"/>
      <c r="F364" s="109"/>
    </row>
    <row r="365" spans="5:6" x14ac:dyDescent="0.2">
      <c r="E365" s="125"/>
      <c r="F365" s="109"/>
    </row>
    <row r="366" spans="5:6" x14ac:dyDescent="0.2">
      <c r="E366" s="125"/>
      <c r="F366" s="109"/>
    </row>
    <row r="367" spans="5:6" x14ac:dyDescent="0.2">
      <c r="E367" s="125"/>
      <c r="F367" s="109"/>
    </row>
    <row r="368" spans="5:6" x14ac:dyDescent="0.2">
      <c r="E368" s="125"/>
      <c r="F368" s="109"/>
    </row>
    <row r="369" spans="5:6" x14ac:dyDescent="0.2">
      <c r="E369" s="125"/>
      <c r="F369" s="109"/>
    </row>
    <row r="370" spans="5:6" x14ac:dyDescent="0.2">
      <c r="E370" s="125"/>
      <c r="F370" s="109"/>
    </row>
    <row r="371" spans="5:6" x14ac:dyDescent="0.2">
      <c r="E371" s="125"/>
      <c r="F371" s="109"/>
    </row>
    <row r="372" spans="5:6" x14ac:dyDescent="0.2">
      <c r="E372" s="125"/>
      <c r="F372" s="109"/>
    </row>
    <row r="373" spans="5:6" x14ac:dyDescent="0.2">
      <c r="E373" s="125"/>
      <c r="F373" s="109"/>
    </row>
    <row r="374" spans="5:6" x14ac:dyDescent="0.2">
      <c r="E374" s="125"/>
      <c r="F374" s="109"/>
    </row>
    <row r="375" spans="5:6" x14ac:dyDescent="0.2">
      <c r="E375" s="125"/>
      <c r="F375" s="109"/>
    </row>
    <row r="376" spans="5:6" x14ac:dyDescent="0.2">
      <c r="E376" s="125"/>
      <c r="F376" s="109"/>
    </row>
    <row r="377" spans="5:6" x14ac:dyDescent="0.2">
      <c r="E377" s="125"/>
      <c r="F377" s="109"/>
    </row>
    <row r="378" spans="5:6" x14ac:dyDescent="0.2">
      <c r="E378" s="125"/>
      <c r="F378" s="109"/>
    </row>
    <row r="379" spans="5:6" x14ac:dyDescent="0.2">
      <c r="E379" s="125"/>
      <c r="F379" s="109"/>
    </row>
    <row r="380" spans="5:6" x14ac:dyDescent="0.2">
      <c r="E380" s="125"/>
      <c r="F380" s="109"/>
    </row>
    <row r="381" spans="5:6" x14ac:dyDescent="0.2">
      <c r="E381" s="125"/>
      <c r="F381" s="109"/>
    </row>
    <row r="382" spans="5:6" x14ac:dyDescent="0.2">
      <c r="E382" s="125"/>
      <c r="F382" s="109"/>
    </row>
    <row r="383" spans="5:6" x14ac:dyDescent="0.2">
      <c r="E383" s="125"/>
      <c r="F383" s="109"/>
    </row>
    <row r="384" spans="5:6" x14ac:dyDescent="0.2">
      <c r="E384" s="125"/>
      <c r="F384" s="109"/>
    </row>
    <row r="385" spans="5:6" x14ac:dyDescent="0.2">
      <c r="E385" s="125"/>
      <c r="F385" s="109"/>
    </row>
    <row r="386" spans="5:6" x14ac:dyDescent="0.2">
      <c r="E386" s="125"/>
      <c r="F386" s="109"/>
    </row>
    <row r="387" spans="5:6" x14ac:dyDescent="0.2">
      <c r="E387" s="125"/>
      <c r="F387" s="109"/>
    </row>
    <row r="388" spans="5:6" x14ac:dyDescent="0.2">
      <c r="E388" s="125"/>
      <c r="F388" s="109"/>
    </row>
    <row r="389" spans="5:6" x14ac:dyDescent="0.2">
      <c r="E389" s="125"/>
      <c r="F389" s="109"/>
    </row>
    <row r="390" spans="5:6" x14ac:dyDescent="0.2">
      <c r="E390" s="125"/>
      <c r="F390" s="109"/>
    </row>
    <row r="391" spans="5:6" x14ac:dyDescent="0.2">
      <c r="E391" s="125"/>
      <c r="F391" s="109"/>
    </row>
    <row r="392" spans="5:6" x14ac:dyDescent="0.2">
      <c r="E392" s="125"/>
      <c r="F392" s="109"/>
    </row>
    <row r="393" spans="5:6" x14ac:dyDescent="0.2">
      <c r="E393" s="125"/>
      <c r="F393" s="109"/>
    </row>
    <row r="394" spans="5:6" x14ac:dyDescent="0.2">
      <c r="E394" s="125"/>
      <c r="F394" s="109"/>
    </row>
    <row r="395" spans="5:6" x14ac:dyDescent="0.2">
      <c r="E395" s="125"/>
      <c r="F395" s="109"/>
    </row>
    <row r="396" spans="5:6" x14ac:dyDescent="0.2">
      <c r="E396" s="125"/>
      <c r="F396" s="109"/>
    </row>
    <row r="397" spans="5:6" x14ac:dyDescent="0.2">
      <c r="E397" s="125"/>
      <c r="F397" s="109"/>
    </row>
    <row r="398" spans="5:6" x14ac:dyDescent="0.2">
      <c r="E398" s="125"/>
      <c r="F398" s="109"/>
    </row>
    <row r="399" spans="5:6" x14ac:dyDescent="0.2">
      <c r="E399" s="125"/>
      <c r="F399" s="109"/>
    </row>
    <row r="400" spans="5:6" x14ac:dyDescent="0.2">
      <c r="E400" s="125"/>
      <c r="F400" s="109"/>
    </row>
    <row r="401" spans="5:6" x14ac:dyDescent="0.2">
      <c r="E401" s="125"/>
      <c r="F401" s="109"/>
    </row>
    <row r="402" spans="5:6" x14ac:dyDescent="0.2">
      <c r="E402" s="125"/>
      <c r="F402" s="109"/>
    </row>
    <row r="403" spans="5:6" x14ac:dyDescent="0.2">
      <c r="E403" s="125"/>
      <c r="F403" s="109"/>
    </row>
    <row r="404" spans="5:6" x14ac:dyDescent="0.2">
      <c r="E404" s="125"/>
      <c r="F404" s="109"/>
    </row>
    <row r="405" spans="5:6" x14ac:dyDescent="0.2">
      <c r="E405" s="125"/>
      <c r="F405" s="109"/>
    </row>
    <row r="406" spans="5:6" x14ac:dyDescent="0.2">
      <c r="E406" s="125"/>
      <c r="F406" s="109"/>
    </row>
    <row r="407" spans="5:6" x14ac:dyDescent="0.2">
      <c r="E407" s="125"/>
      <c r="F407" s="109"/>
    </row>
    <row r="408" spans="5:6" x14ac:dyDescent="0.2">
      <c r="E408" s="125"/>
      <c r="F408" s="109"/>
    </row>
    <row r="409" spans="5:6" x14ac:dyDescent="0.2">
      <c r="E409" s="125"/>
      <c r="F409" s="109"/>
    </row>
    <row r="410" spans="5:6" x14ac:dyDescent="0.2">
      <c r="E410" s="125"/>
      <c r="F410" s="109"/>
    </row>
    <row r="411" spans="5:6" x14ac:dyDescent="0.2">
      <c r="E411" s="125"/>
      <c r="F411" s="109"/>
    </row>
    <row r="412" spans="5:6" x14ac:dyDescent="0.2">
      <c r="E412" s="125"/>
      <c r="F412" s="109"/>
    </row>
    <row r="413" spans="5:6" x14ac:dyDescent="0.2">
      <c r="E413" s="125"/>
      <c r="F413" s="109"/>
    </row>
    <row r="414" spans="5:6" x14ac:dyDescent="0.2">
      <c r="E414" s="125"/>
      <c r="F414" s="109"/>
    </row>
    <row r="415" spans="5:6" x14ac:dyDescent="0.2">
      <c r="E415" s="125"/>
      <c r="F415" s="109"/>
    </row>
    <row r="416" spans="5:6" x14ac:dyDescent="0.2">
      <c r="E416" s="125"/>
      <c r="F416" s="109"/>
    </row>
    <row r="417" spans="5:6" x14ac:dyDescent="0.2">
      <c r="E417" s="125"/>
      <c r="F417" s="109"/>
    </row>
    <row r="418" spans="5:6" x14ac:dyDescent="0.2">
      <c r="E418" s="125"/>
      <c r="F418" s="109"/>
    </row>
    <row r="419" spans="5:6" x14ac:dyDescent="0.2">
      <c r="E419" s="125"/>
      <c r="F419" s="109"/>
    </row>
    <row r="420" spans="5:6" x14ac:dyDescent="0.2">
      <c r="E420" s="125"/>
      <c r="F420" s="109"/>
    </row>
    <row r="421" spans="5:6" x14ac:dyDescent="0.2">
      <c r="E421" s="125"/>
      <c r="F421" s="109"/>
    </row>
    <row r="422" spans="5:6" x14ac:dyDescent="0.2">
      <c r="E422" s="125"/>
      <c r="F422" s="109"/>
    </row>
    <row r="423" spans="5:6" x14ac:dyDescent="0.2">
      <c r="E423" s="125"/>
      <c r="F423" s="109"/>
    </row>
    <row r="424" spans="5:6" x14ac:dyDescent="0.2">
      <c r="E424" s="125"/>
      <c r="F424" s="109"/>
    </row>
    <row r="425" spans="5:6" x14ac:dyDescent="0.2">
      <c r="E425" s="125"/>
      <c r="F425" s="109"/>
    </row>
    <row r="426" spans="5:6" x14ac:dyDescent="0.2">
      <c r="E426" s="125"/>
      <c r="F426" s="109"/>
    </row>
    <row r="427" spans="5:6" x14ac:dyDescent="0.2">
      <c r="E427" s="125"/>
      <c r="F427" s="109"/>
    </row>
    <row r="428" spans="5:6" x14ac:dyDescent="0.2">
      <c r="E428" s="125"/>
      <c r="F428" s="109"/>
    </row>
    <row r="429" spans="5:6" x14ac:dyDescent="0.2">
      <c r="E429" s="125"/>
      <c r="F429" s="109"/>
    </row>
    <row r="430" spans="5:6" x14ac:dyDescent="0.2">
      <c r="E430" s="125"/>
      <c r="F430" s="109"/>
    </row>
    <row r="431" spans="5:6" x14ac:dyDescent="0.2">
      <c r="E431" s="125"/>
      <c r="F431" s="109"/>
    </row>
    <row r="432" spans="5:6" x14ac:dyDescent="0.2">
      <c r="E432" s="125"/>
      <c r="F432" s="109"/>
    </row>
    <row r="433" spans="5:6" x14ac:dyDescent="0.2">
      <c r="E433" s="125"/>
      <c r="F433" s="109"/>
    </row>
    <row r="434" spans="5:6" x14ac:dyDescent="0.2">
      <c r="E434" s="125"/>
      <c r="F434" s="109"/>
    </row>
    <row r="435" spans="5:6" x14ac:dyDescent="0.2">
      <c r="E435" s="125"/>
      <c r="F435" s="109"/>
    </row>
    <row r="436" spans="5:6" x14ac:dyDescent="0.2">
      <c r="E436" s="125"/>
      <c r="F436" s="109"/>
    </row>
    <row r="437" spans="5:6" x14ac:dyDescent="0.2">
      <c r="E437" s="125"/>
      <c r="F437" s="109"/>
    </row>
    <row r="438" spans="5:6" x14ac:dyDescent="0.2">
      <c r="E438" s="125"/>
      <c r="F438" s="109"/>
    </row>
    <row r="439" spans="5:6" x14ac:dyDescent="0.2">
      <c r="E439" s="125"/>
      <c r="F439" s="109"/>
    </row>
    <row r="440" spans="5:6" x14ac:dyDescent="0.2">
      <c r="E440" s="125"/>
      <c r="F440" s="109"/>
    </row>
    <row r="441" spans="5:6" x14ac:dyDescent="0.2">
      <c r="E441" s="125"/>
      <c r="F441" s="109"/>
    </row>
    <row r="442" spans="5:6" x14ac:dyDescent="0.2">
      <c r="E442" s="125"/>
      <c r="F442" s="109"/>
    </row>
    <row r="443" spans="5:6" x14ac:dyDescent="0.2">
      <c r="E443" s="125"/>
      <c r="F443" s="109"/>
    </row>
    <row r="444" spans="5:6" x14ac:dyDescent="0.2">
      <c r="E444" s="125"/>
      <c r="F444" s="109"/>
    </row>
    <row r="445" spans="5:6" x14ac:dyDescent="0.2">
      <c r="E445" s="125"/>
      <c r="F445" s="109"/>
    </row>
    <row r="446" spans="5:6" x14ac:dyDescent="0.2">
      <c r="E446" s="125"/>
      <c r="F446" s="109"/>
    </row>
    <row r="447" spans="5:6" x14ac:dyDescent="0.2">
      <c r="E447" s="125"/>
      <c r="F447" s="109"/>
    </row>
    <row r="448" spans="5:6" x14ac:dyDescent="0.2">
      <c r="E448" s="125"/>
      <c r="F448" s="109"/>
    </row>
    <row r="449" spans="5:6" x14ac:dyDescent="0.2">
      <c r="E449" s="125"/>
      <c r="F449" s="109"/>
    </row>
    <row r="450" spans="5:6" x14ac:dyDescent="0.2">
      <c r="E450" s="125"/>
      <c r="F450" s="109"/>
    </row>
    <row r="451" spans="5:6" x14ac:dyDescent="0.2">
      <c r="E451" s="125"/>
      <c r="F451" s="109"/>
    </row>
    <row r="452" spans="5:6" x14ac:dyDescent="0.2">
      <c r="E452" s="125"/>
      <c r="F452" s="109"/>
    </row>
    <row r="453" spans="5:6" x14ac:dyDescent="0.2">
      <c r="E453" s="125"/>
      <c r="F453" s="109"/>
    </row>
    <row r="454" spans="5:6" x14ac:dyDescent="0.2">
      <c r="E454" s="125"/>
      <c r="F454" s="109"/>
    </row>
    <row r="455" spans="5:6" x14ac:dyDescent="0.2">
      <c r="E455" s="125"/>
      <c r="F455" s="109"/>
    </row>
    <row r="456" spans="5:6" x14ac:dyDescent="0.2">
      <c r="E456" s="125"/>
      <c r="F456" s="109"/>
    </row>
    <row r="457" spans="5:6" x14ac:dyDescent="0.2">
      <c r="E457" s="125"/>
      <c r="F457" s="109"/>
    </row>
    <row r="458" spans="5:6" x14ac:dyDescent="0.2">
      <c r="E458" s="125"/>
      <c r="F458" s="109"/>
    </row>
    <row r="459" spans="5:6" x14ac:dyDescent="0.2">
      <c r="E459" s="125"/>
      <c r="F459" s="109"/>
    </row>
    <row r="460" spans="5:6" x14ac:dyDescent="0.2">
      <c r="E460" s="125"/>
      <c r="F460" s="109"/>
    </row>
    <row r="461" spans="5:6" x14ac:dyDescent="0.2">
      <c r="E461" s="125"/>
      <c r="F461" s="109"/>
    </row>
    <row r="462" spans="5:6" x14ac:dyDescent="0.2">
      <c r="E462" s="125"/>
      <c r="F462" s="109"/>
    </row>
    <row r="463" spans="5:6" x14ac:dyDescent="0.2">
      <c r="E463" s="125"/>
      <c r="F463" s="109"/>
    </row>
    <row r="464" spans="5:6" x14ac:dyDescent="0.2">
      <c r="E464" s="125"/>
      <c r="F464" s="109"/>
    </row>
    <row r="465" spans="5:6" x14ac:dyDescent="0.2">
      <c r="E465" s="125"/>
      <c r="F465" s="109"/>
    </row>
    <row r="466" spans="5:6" x14ac:dyDescent="0.2">
      <c r="E466" s="125"/>
      <c r="F466" s="109"/>
    </row>
    <row r="467" spans="5:6" x14ac:dyDescent="0.2">
      <c r="E467" s="125"/>
      <c r="F467" s="109"/>
    </row>
    <row r="468" spans="5:6" x14ac:dyDescent="0.2">
      <c r="E468" s="125"/>
      <c r="F468" s="109"/>
    </row>
    <row r="469" spans="5:6" x14ac:dyDescent="0.2">
      <c r="E469" s="125"/>
      <c r="F469" s="109"/>
    </row>
    <row r="470" spans="5:6" x14ac:dyDescent="0.2">
      <c r="E470" s="125"/>
      <c r="F470" s="109"/>
    </row>
    <row r="471" spans="5:6" x14ac:dyDescent="0.2">
      <c r="E471" s="125"/>
      <c r="F471" s="109"/>
    </row>
    <row r="472" spans="5:6" x14ac:dyDescent="0.2">
      <c r="E472" s="125"/>
      <c r="F472" s="109"/>
    </row>
    <row r="473" spans="5:6" x14ac:dyDescent="0.2">
      <c r="E473" s="125"/>
      <c r="F473" s="109"/>
    </row>
    <row r="474" spans="5:6" x14ac:dyDescent="0.2">
      <c r="E474" s="125"/>
      <c r="F474" s="109"/>
    </row>
    <row r="475" spans="5:6" x14ac:dyDescent="0.2">
      <c r="E475" s="125"/>
      <c r="F475" s="109"/>
    </row>
    <row r="476" spans="5:6" x14ac:dyDescent="0.2">
      <c r="E476" s="125"/>
      <c r="F476" s="109"/>
    </row>
    <row r="477" spans="5:6" x14ac:dyDescent="0.2">
      <c r="E477" s="125"/>
      <c r="F477" s="109"/>
    </row>
    <row r="478" spans="5:6" x14ac:dyDescent="0.2">
      <c r="E478" s="125"/>
      <c r="F478" s="109"/>
    </row>
    <row r="479" spans="5:6" x14ac:dyDescent="0.2">
      <c r="E479" s="125"/>
      <c r="F479" s="109"/>
    </row>
    <row r="480" spans="5:6" x14ac:dyDescent="0.2">
      <c r="E480" s="125"/>
      <c r="F480" s="109"/>
    </row>
    <row r="481" spans="5:6" x14ac:dyDescent="0.2">
      <c r="E481" s="125"/>
      <c r="F481" s="109"/>
    </row>
    <row r="482" spans="5:6" x14ac:dyDescent="0.2">
      <c r="E482" s="125"/>
      <c r="F482" s="109"/>
    </row>
    <row r="483" spans="5:6" x14ac:dyDescent="0.2">
      <c r="E483" s="125"/>
      <c r="F483" s="109"/>
    </row>
    <row r="484" spans="5:6" x14ac:dyDescent="0.2">
      <c r="E484" s="125"/>
      <c r="F484" s="109"/>
    </row>
    <row r="485" spans="5:6" x14ac:dyDescent="0.2">
      <c r="E485" s="125"/>
      <c r="F485" s="109"/>
    </row>
    <row r="486" spans="5:6" x14ac:dyDescent="0.2">
      <c r="E486" s="125"/>
      <c r="F486" s="109"/>
    </row>
    <row r="487" spans="5:6" x14ac:dyDescent="0.2">
      <c r="E487" s="125"/>
      <c r="F487" s="109"/>
    </row>
    <row r="488" spans="5:6" x14ac:dyDescent="0.2">
      <c r="E488" s="125"/>
      <c r="F488" s="109"/>
    </row>
    <row r="489" spans="5:6" x14ac:dyDescent="0.2">
      <c r="E489" s="125"/>
      <c r="F489" s="109"/>
    </row>
    <row r="490" spans="5:6" x14ac:dyDescent="0.2">
      <c r="E490" s="125"/>
      <c r="F490" s="109"/>
    </row>
    <row r="491" spans="5:6" x14ac:dyDescent="0.2">
      <c r="E491" s="125"/>
      <c r="F491" s="109"/>
    </row>
    <row r="492" spans="5:6" x14ac:dyDescent="0.2">
      <c r="E492" s="125"/>
      <c r="F492" s="109"/>
    </row>
    <row r="493" spans="5:6" x14ac:dyDescent="0.2">
      <c r="E493" s="125"/>
      <c r="F493" s="109"/>
    </row>
    <row r="494" spans="5:6" x14ac:dyDescent="0.2">
      <c r="E494" s="125"/>
      <c r="F494" s="109"/>
    </row>
    <row r="495" spans="5:6" x14ac:dyDescent="0.2">
      <c r="E495" s="125"/>
      <c r="F495" s="109"/>
    </row>
    <row r="496" spans="5:6" x14ac:dyDescent="0.2">
      <c r="E496" s="125"/>
      <c r="F496" s="109"/>
    </row>
    <row r="497" spans="5:6" x14ac:dyDescent="0.2">
      <c r="E497" s="125"/>
      <c r="F497" s="109"/>
    </row>
    <row r="498" spans="5:6" x14ac:dyDescent="0.2">
      <c r="E498" s="125"/>
      <c r="F498" s="109"/>
    </row>
    <row r="499" spans="5:6" x14ac:dyDescent="0.2">
      <c r="E499" s="125"/>
      <c r="F499" s="109"/>
    </row>
    <row r="500" spans="5:6" x14ac:dyDescent="0.2">
      <c r="E500" s="125"/>
      <c r="F500" s="109"/>
    </row>
    <row r="501" spans="5:6" x14ac:dyDescent="0.2">
      <c r="E501" s="125"/>
      <c r="F501" s="109"/>
    </row>
    <row r="502" spans="5:6" x14ac:dyDescent="0.2">
      <c r="E502" s="125"/>
      <c r="F502" s="109"/>
    </row>
    <row r="503" spans="5:6" x14ac:dyDescent="0.2">
      <c r="E503" s="125"/>
      <c r="F503" s="109"/>
    </row>
    <row r="504" spans="5:6" x14ac:dyDescent="0.2">
      <c r="E504" s="125"/>
      <c r="F504" s="109"/>
    </row>
    <row r="505" spans="5:6" x14ac:dyDescent="0.2">
      <c r="E505" s="125"/>
      <c r="F505" s="109"/>
    </row>
    <row r="506" spans="5:6" x14ac:dyDescent="0.2">
      <c r="E506" s="125"/>
      <c r="F506" s="109"/>
    </row>
    <row r="507" spans="5:6" x14ac:dyDescent="0.2">
      <c r="E507" s="125"/>
      <c r="F507" s="109"/>
    </row>
    <row r="508" spans="5:6" x14ac:dyDescent="0.2">
      <c r="E508" s="125"/>
      <c r="F508" s="109"/>
    </row>
    <row r="509" spans="5:6" x14ac:dyDescent="0.2">
      <c r="E509" s="125"/>
      <c r="F509" s="109"/>
    </row>
    <row r="510" spans="5:6" x14ac:dyDescent="0.2">
      <c r="E510" s="125"/>
      <c r="F510" s="109"/>
    </row>
    <row r="511" spans="5:6" x14ac:dyDescent="0.2">
      <c r="E511" s="125"/>
      <c r="F511" s="109"/>
    </row>
    <row r="512" spans="5:6" x14ac:dyDescent="0.2">
      <c r="E512" s="125"/>
      <c r="F512" s="109"/>
    </row>
    <row r="513" spans="5:6" x14ac:dyDescent="0.2">
      <c r="E513" s="125"/>
      <c r="F513" s="109"/>
    </row>
    <row r="514" spans="5:6" x14ac:dyDescent="0.2">
      <c r="E514" s="125"/>
      <c r="F514" s="109"/>
    </row>
    <row r="515" spans="5:6" x14ac:dyDescent="0.2">
      <c r="E515" s="125"/>
      <c r="F515" s="109"/>
    </row>
    <row r="516" spans="5:6" x14ac:dyDescent="0.2">
      <c r="E516" s="125"/>
      <c r="F516" s="109"/>
    </row>
    <row r="517" spans="5:6" x14ac:dyDescent="0.2">
      <c r="E517" s="125"/>
      <c r="F517" s="109"/>
    </row>
    <row r="518" spans="5:6" x14ac:dyDescent="0.2">
      <c r="E518" s="125"/>
      <c r="F518" s="109"/>
    </row>
    <row r="519" spans="5:6" x14ac:dyDescent="0.2">
      <c r="E519" s="125"/>
      <c r="F519" s="109"/>
    </row>
    <row r="520" spans="5:6" x14ac:dyDescent="0.2">
      <c r="E520" s="125"/>
      <c r="F520" s="109"/>
    </row>
    <row r="521" spans="5:6" x14ac:dyDescent="0.2">
      <c r="E521" s="125"/>
      <c r="F521" s="109"/>
    </row>
    <row r="522" spans="5:6" x14ac:dyDescent="0.2">
      <c r="E522" s="125"/>
      <c r="F522" s="109"/>
    </row>
    <row r="523" spans="5:6" x14ac:dyDescent="0.2">
      <c r="E523" s="125"/>
      <c r="F523" s="109"/>
    </row>
    <row r="524" spans="5:6" x14ac:dyDescent="0.2">
      <c r="E524" s="125"/>
      <c r="F524" s="109"/>
    </row>
    <row r="525" spans="5:6" x14ac:dyDescent="0.2">
      <c r="E525" s="125"/>
      <c r="F525" s="109"/>
    </row>
    <row r="526" spans="5:6" x14ac:dyDescent="0.2">
      <c r="E526" s="125"/>
      <c r="F526" s="109"/>
    </row>
    <row r="527" spans="5:6" x14ac:dyDescent="0.2">
      <c r="E527" s="125"/>
      <c r="F527" s="109"/>
    </row>
    <row r="528" spans="5:6" x14ac:dyDescent="0.2">
      <c r="E528" s="125"/>
      <c r="F528" s="109"/>
    </row>
    <row r="529" spans="5:6" x14ac:dyDescent="0.2">
      <c r="E529" s="125"/>
      <c r="F529" s="109"/>
    </row>
    <row r="530" spans="5:6" x14ac:dyDescent="0.2">
      <c r="E530" s="125"/>
      <c r="F530" s="109"/>
    </row>
    <row r="531" spans="5:6" x14ac:dyDescent="0.2">
      <c r="E531" s="125"/>
      <c r="F531" s="109"/>
    </row>
    <row r="532" spans="5:6" x14ac:dyDescent="0.2">
      <c r="E532" s="125"/>
      <c r="F532" s="109"/>
    </row>
    <row r="533" spans="5:6" x14ac:dyDescent="0.2">
      <c r="E533" s="125"/>
      <c r="F533" s="109"/>
    </row>
    <row r="534" spans="5:6" x14ac:dyDescent="0.2">
      <c r="E534" s="125"/>
      <c r="F534" s="109"/>
    </row>
    <row r="535" spans="5:6" x14ac:dyDescent="0.2">
      <c r="E535" s="125"/>
      <c r="F535" s="109"/>
    </row>
    <row r="536" spans="5:6" x14ac:dyDescent="0.2">
      <c r="E536" s="125"/>
      <c r="F536" s="109"/>
    </row>
    <row r="537" spans="5:6" x14ac:dyDescent="0.2">
      <c r="E537" s="125"/>
      <c r="F537" s="109"/>
    </row>
    <row r="538" spans="5:6" x14ac:dyDescent="0.2">
      <c r="E538" s="125"/>
      <c r="F538" s="109"/>
    </row>
    <row r="539" spans="5:6" x14ac:dyDescent="0.2">
      <c r="E539" s="125"/>
      <c r="F539" s="109"/>
    </row>
    <row r="540" spans="5:6" x14ac:dyDescent="0.2">
      <c r="E540" s="125"/>
      <c r="F540" s="109"/>
    </row>
    <row r="541" spans="5:6" x14ac:dyDescent="0.2">
      <c r="E541" s="125"/>
      <c r="F541" s="109"/>
    </row>
    <row r="542" spans="5:6" x14ac:dyDescent="0.2">
      <c r="E542" s="125"/>
      <c r="F542" s="109"/>
    </row>
    <row r="543" spans="5:6" x14ac:dyDescent="0.2">
      <c r="E543" s="125"/>
      <c r="F543" s="109"/>
    </row>
    <row r="544" spans="5:6" x14ac:dyDescent="0.2">
      <c r="E544" s="125"/>
      <c r="F544" s="109"/>
    </row>
    <row r="545" spans="5:6" x14ac:dyDescent="0.2">
      <c r="E545" s="125"/>
      <c r="F545" s="109"/>
    </row>
    <row r="546" spans="5:6" x14ac:dyDescent="0.2">
      <c r="E546" s="125"/>
      <c r="F546" s="109"/>
    </row>
    <row r="547" spans="5:6" x14ac:dyDescent="0.2">
      <c r="E547" s="125"/>
      <c r="F547" s="109"/>
    </row>
    <row r="548" spans="5:6" x14ac:dyDescent="0.2">
      <c r="E548" s="125"/>
      <c r="F548" s="109"/>
    </row>
    <row r="549" spans="5:6" x14ac:dyDescent="0.2">
      <c r="E549" s="125"/>
      <c r="F549" s="109"/>
    </row>
    <row r="550" spans="5:6" x14ac:dyDescent="0.2">
      <c r="E550" s="125"/>
      <c r="F550" s="109"/>
    </row>
    <row r="551" spans="5:6" x14ac:dyDescent="0.2">
      <c r="E551" s="125"/>
      <c r="F551" s="109"/>
    </row>
    <row r="552" spans="5:6" x14ac:dyDescent="0.2">
      <c r="E552" s="125"/>
      <c r="F552" s="109"/>
    </row>
    <row r="553" spans="5:6" x14ac:dyDescent="0.2">
      <c r="E553" s="125"/>
      <c r="F553" s="109"/>
    </row>
    <row r="554" spans="5:6" x14ac:dyDescent="0.2">
      <c r="E554" s="125"/>
      <c r="F554" s="109"/>
    </row>
    <row r="555" spans="5:6" x14ac:dyDescent="0.2">
      <c r="E555" s="125"/>
      <c r="F555" s="109"/>
    </row>
    <row r="556" spans="5:6" x14ac:dyDescent="0.2">
      <c r="E556" s="125"/>
      <c r="F556" s="109"/>
    </row>
    <row r="557" spans="5:6" x14ac:dyDescent="0.2">
      <c r="E557" s="125"/>
      <c r="F557" s="109"/>
    </row>
    <row r="558" spans="5:6" x14ac:dyDescent="0.2">
      <c r="E558" s="125"/>
      <c r="F558" s="109"/>
    </row>
    <row r="559" spans="5:6" x14ac:dyDescent="0.2">
      <c r="E559" s="125"/>
      <c r="F559" s="109"/>
    </row>
    <row r="560" spans="5:6" x14ac:dyDescent="0.2">
      <c r="E560" s="125"/>
      <c r="F560" s="109"/>
    </row>
    <row r="561" spans="5:6" x14ac:dyDescent="0.2">
      <c r="E561" s="125"/>
      <c r="F561" s="109"/>
    </row>
    <row r="562" spans="5:6" x14ac:dyDescent="0.2">
      <c r="E562" s="125"/>
      <c r="F562" s="109"/>
    </row>
    <row r="563" spans="5:6" x14ac:dyDescent="0.2">
      <c r="E563" s="125"/>
      <c r="F563" s="109"/>
    </row>
    <row r="564" spans="5:6" x14ac:dyDescent="0.2">
      <c r="E564" s="125"/>
      <c r="F564" s="109"/>
    </row>
    <row r="565" spans="5:6" x14ac:dyDescent="0.2">
      <c r="E565" s="125"/>
      <c r="F565" s="109"/>
    </row>
    <row r="566" spans="5:6" x14ac:dyDescent="0.2">
      <c r="E566" s="125"/>
      <c r="F566" s="109"/>
    </row>
    <row r="567" spans="5:6" x14ac:dyDescent="0.2">
      <c r="E567" s="125"/>
      <c r="F567" s="109"/>
    </row>
    <row r="568" spans="5:6" x14ac:dyDescent="0.2">
      <c r="E568" s="125"/>
      <c r="F568" s="109"/>
    </row>
    <row r="569" spans="5:6" x14ac:dyDescent="0.2">
      <c r="E569" s="125"/>
      <c r="F569" s="109"/>
    </row>
    <row r="570" spans="5:6" x14ac:dyDescent="0.2">
      <c r="E570" s="125"/>
      <c r="F570" s="109"/>
    </row>
    <row r="571" spans="5:6" x14ac:dyDescent="0.2">
      <c r="E571" s="125"/>
      <c r="F571" s="109"/>
    </row>
    <row r="572" spans="5:6" x14ac:dyDescent="0.2">
      <c r="E572" s="125"/>
      <c r="F572" s="109"/>
    </row>
    <row r="573" spans="5:6" x14ac:dyDescent="0.2">
      <c r="E573" s="125"/>
      <c r="F573" s="109"/>
    </row>
    <row r="574" spans="5:6" x14ac:dyDescent="0.2">
      <c r="E574" s="125"/>
      <c r="F574" s="109"/>
    </row>
    <row r="575" spans="5:6" x14ac:dyDescent="0.2">
      <c r="E575" s="125"/>
      <c r="F575" s="109"/>
    </row>
    <row r="576" spans="5:6" x14ac:dyDescent="0.2">
      <c r="E576" s="125"/>
      <c r="F576" s="109"/>
    </row>
    <row r="577" spans="5:6" x14ac:dyDescent="0.2">
      <c r="E577" s="125"/>
      <c r="F577" s="109"/>
    </row>
    <row r="578" spans="5:6" x14ac:dyDescent="0.2">
      <c r="E578" s="125"/>
      <c r="F578" s="109"/>
    </row>
    <row r="579" spans="5:6" x14ac:dyDescent="0.2">
      <c r="E579" s="125"/>
      <c r="F579" s="109"/>
    </row>
    <row r="580" spans="5:6" x14ac:dyDescent="0.2">
      <c r="E580" s="125"/>
      <c r="F580" s="109"/>
    </row>
    <row r="581" spans="5:6" x14ac:dyDescent="0.2">
      <c r="E581" s="125"/>
      <c r="F581" s="109"/>
    </row>
    <row r="582" spans="5:6" x14ac:dyDescent="0.2">
      <c r="E582" s="125"/>
      <c r="F582" s="109"/>
    </row>
    <row r="583" spans="5:6" x14ac:dyDescent="0.2">
      <c r="E583" s="125"/>
      <c r="F583" s="109"/>
    </row>
    <row r="584" spans="5:6" x14ac:dyDescent="0.2">
      <c r="E584" s="125"/>
      <c r="F584" s="109"/>
    </row>
    <row r="585" spans="5:6" x14ac:dyDescent="0.2">
      <c r="E585" s="125"/>
      <c r="F585" s="109"/>
    </row>
    <row r="586" spans="5:6" x14ac:dyDescent="0.2">
      <c r="E586" s="125"/>
      <c r="F586" s="109"/>
    </row>
    <row r="587" spans="5:6" x14ac:dyDescent="0.2">
      <c r="E587" s="125"/>
      <c r="F587" s="109"/>
    </row>
    <row r="588" spans="5:6" x14ac:dyDescent="0.2">
      <c r="E588" s="125"/>
      <c r="F588" s="109"/>
    </row>
    <row r="589" spans="5:6" x14ac:dyDescent="0.2">
      <c r="E589" s="125"/>
      <c r="F589" s="109"/>
    </row>
    <row r="590" spans="5:6" x14ac:dyDescent="0.2">
      <c r="E590" s="125"/>
      <c r="F590" s="109"/>
    </row>
    <row r="591" spans="5:6" x14ac:dyDescent="0.2">
      <c r="E591" s="125"/>
      <c r="F591" s="109"/>
    </row>
    <row r="592" spans="5:6" x14ac:dyDescent="0.2">
      <c r="E592" s="125"/>
      <c r="F592" s="109"/>
    </row>
    <row r="593" spans="5:6" x14ac:dyDescent="0.2">
      <c r="E593" s="125"/>
      <c r="F593" s="109"/>
    </row>
    <row r="594" spans="5:6" x14ac:dyDescent="0.2">
      <c r="E594" s="125"/>
      <c r="F594" s="109"/>
    </row>
    <row r="595" spans="5:6" x14ac:dyDescent="0.2">
      <c r="E595" s="125"/>
      <c r="F595" s="109"/>
    </row>
    <row r="596" spans="5:6" x14ac:dyDescent="0.2">
      <c r="E596" s="125"/>
      <c r="F596" s="109"/>
    </row>
    <row r="597" spans="5:6" x14ac:dyDescent="0.2">
      <c r="E597" s="125"/>
      <c r="F597" s="109"/>
    </row>
    <row r="598" spans="5:6" x14ac:dyDescent="0.2">
      <c r="E598" s="125"/>
      <c r="F598" s="109"/>
    </row>
    <row r="599" spans="5:6" x14ac:dyDescent="0.2">
      <c r="E599" s="125"/>
      <c r="F599" s="109"/>
    </row>
    <row r="600" spans="5:6" x14ac:dyDescent="0.2">
      <c r="E600" s="125"/>
      <c r="F600" s="109"/>
    </row>
    <row r="601" spans="5:6" x14ac:dyDescent="0.2">
      <c r="E601" s="125"/>
      <c r="F601" s="109"/>
    </row>
    <row r="602" spans="5:6" x14ac:dyDescent="0.2">
      <c r="E602" s="125"/>
      <c r="F602" s="109"/>
    </row>
    <row r="603" spans="5:6" x14ac:dyDescent="0.2">
      <c r="E603" s="125"/>
      <c r="F603" s="109"/>
    </row>
    <row r="604" spans="5:6" x14ac:dyDescent="0.2">
      <c r="E604" s="125"/>
      <c r="F604" s="109"/>
    </row>
    <row r="605" spans="5:6" x14ac:dyDescent="0.2">
      <c r="E605" s="125"/>
      <c r="F605" s="109"/>
    </row>
    <row r="606" spans="5:6" x14ac:dyDescent="0.2">
      <c r="E606" s="125"/>
      <c r="F606" s="109"/>
    </row>
    <row r="607" spans="5:6" x14ac:dyDescent="0.2">
      <c r="E607" s="125"/>
      <c r="F607" s="109"/>
    </row>
    <row r="608" spans="5:6" x14ac:dyDescent="0.2">
      <c r="E608" s="125"/>
      <c r="F608" s="109"/>
    </row>
    <row r="609" spans="5:6" x14ac:dyDescent="0.2">
      <c r="E609" s="125"/>
      <c r="F609" s="109"/>
    </row>
    <row r="610" spans="5:6" x14ac:dyDescent="0.2">
      <c r="E610" s="125"/>
      <c r="F610" s="109"/>
    </row>
    <row r="611" spans="5:6" x14ac:dyDescent="0.2">
      <c r="E611" s="125"/>
      <c r="F611" s="109"/>
    </row>
    <row r="612" spans="5:6" x14ac:dyDescent="0.2">
      <c r="E612" s="125"/>
      <c r="F612" s="109"/>
    </row>
    <row r="613" spans="5:6" x14ac:dyDescent="0.2">
      <c r="E613" s="125"/>
      <c r="F613" s="109"/>
    </row>
    <row r="614" spans="5:6" x14ac:dyDescent="0.2">
      <c r="E614" s="125"/>
      <c r="F614" s="109"/>
    </row>
    <row r="615" spans="5:6" x14ac:dyDescent="0.2">
      <c r="E615" s="125"/>
      <c r="F615" s="109"/>
    </row>
    <row r="616" spans="5:6" x14ac:dyDescent="0.2">
      <c r="E616" s="125"/>
      <c r="F616" s="109"/>
    </row>
    <row r="617" spans="5:6" x14ac:dyDescent="0.2">
      <c r="E617" s="125"/>
      <c r="F617" s="109"/>
    </row>
    <row r="618" spans="5:6" x14ac:dyDescent="0.2">
      <c r="E618" s="125"/>
      <c r="F618" s="109"/>
    </row>
    <row r="619" spans="5:6" x14ac:dyDescent="0.2">
      <c r="E619" s="125"/>
      <c r="F619" s="109"/>
    </row>
    <row r="620" spans="5:6" x14ac:dyDescent="0.2">
      <c r="E620" s="125"/>
      <c r="F620" s="109"/>
    </row>
    <row r="621" spans="5:6" x14ac:dyDescent="0.2">
      <c r="E621" s="125"/>
      <c r="F621" s="109"/>
    </row>
    <row r="622" spans="5:6" x14ac:dyDescent="0.2">
      <c r="E622" s="125"/>
      <c r="F622" s="109"/>
    </row>
    <row r="623" spans="5:6" x14ac:dyDescent="0.2">
      <c r="E623" s="125"/>
      <c r="F623" s="109"/>
    </row>
    <row r="624" spans="5:6" x14ac:dyDescent="0.2">
      <c r="E624" s="125"/>
      <c r="F624" s="109"/>
    </row>
    <row r="625" spans="5:6" x14ac:dyDescent="0.2">
      <c r="E625" s="125"/>
      <c r="F625" s="109"/>
    </row>
    <row r="626" spans="5:6" x14ac:dyDescent="0.2">
      <c r="E626" s="125"/>
      <c r="F626" s="109"/>
    </row>
    <row r="627" spans="5:6" x14ac:dyDescent="0.2">
      <c r="E627" s="125"/>
      <c r="F627" s="109"/>
    </row>
    <row r="628" spans="5:6" x14ac:dyDescent="0.2">
      <c r="E628" s="125"/>
      <c r="F628" s="109"/>
    </row>
    <row r="629" spans="5:6" x14ac:dyDescent="0.2">
      <c r="E629" s="125"/>
      <c r="F629" s="109"/>
    </row>
    <row r="630" spans="5:6" x14ac:dyDescent="0.2">
      <c r="E630" s="125"/>
      <c r="F630" s="109"/>
    </row>
    <row r="631" spans="5:6" x14ac:dyDescent="0.2">
      <c r="E631" s="125"/>
      <c r="F631" s="109"/>
    </row>
    <row r="632" spans="5:6" x14ac:dyDescent="0.2">
      <c r="E632" s="125"/>
      <c r="F632" s="109"/>
    </row>
    <row r="633" spans="5:6" x14ac:dyDescent="0.2">
      <c r="E633" s="125"/>
      <c r="F633" s="109"/>
    </row>
    <row r="634" spans="5:6" x14ac:dyDescent="0.2">
      <c r="E634" s="125"/>
      <c r="F634" s="109"/>
    </row>
    <row r="635" spans="5:6" x14ac:dyDescent="0.2">
      <c r="E635" s="125"/>
      <c r="F635" s="109"/>
    </row>
    <row r="636" spans="5:6" x14ac:dyDescent="0.2">
      <c r="E636" s="125"/>
      <c r="F636" s="109"/>
    </row>
    <row r="637" spans="5:6" x14ac:dyDescent="0.2">
      <c r="E637" s="125"/>
      <c r="F637" s="109"/>
    </row>
    <row r="638" spans="5:6" x14ac:dyDescent="0.2">
      <c r="E638" s="125"/>
      <c r="F638" s="109"/>
    </row>
    <row r="639" spans="5:6" x14ac:dyDescent="0.2">
      <c r="E639" s="125"/>
      <c r="F639" s="109"/>
    </row>
    <row r="640" spans="5:6" x14ac:dyDescent="0.2">
      <c r="E640" s="125"/>
      <c r="F640" s="109"/>
    </row>
    <row r="641" spans="5:6" x14ac:dyDescent="0.2">
      <c r="E641" s="125"/>
      <c r="F641" s="109"/>
    </row>
    <row r="642" spans="5:6" x14ac:dyDescent="0.2">
      <c r="E642" s="125"/>
      <c r="F642" s="109"/>
    </row>
    <row r="643" spans="5:6" x14ac:dyDescent="0.2">
      <c r="E643" s="125"/>
      <c r="F643" s="109"/>
    </row>
    <row r="644" spans="5:6" x14ac:dyDescent="0.2">
      <c r="E644" s="125"/>
      <c r="F644" s="109"/>
    </row>
    <row r="645" spans="5:6" x14ac:dyDescent="0.2">
      <c r="E645" s="125"/>
      <c r="F645" s="109"/>
    </row>
    <row r="646" spans="5:6" x14ac:dyDescent="0.2">
      <c r="E646" s="125"/>
      <c r="F646" s="109"/>
    </row>
    <row r="647" spans="5:6" x14ac:dyDescent="0.2">
      <c r="E647" s="125"/>
      <c r="F647" s="109"/>
    </row>
    <row r="648" spans="5:6" x14ac:dyDescent="0.2">
      <c r="E648" s="125"/>
      <c r="F648" s="109"/>
    </row>
    <row r="649" spans="5:6" x14ac:dyDescent="0.2">
      <c r="E649" s="125"/>
      <c r="F649" s="109"/>
    </row>
    <row r="650" spans="5:6" x14ac:dyDescent="0.2">
      <c r="E650" s="125"/>
      <c r="F650" s="109"/>
    </row>
    <row r="651" spans="5:6" x14ac:dyDescent="0.2">
      <c r="E651" s="125"/>
      <c r="F651" s="109"/>
    </row>
    <row r="652" spans="5:6" x14ac:dyDescent="0.2">
      <c r="E652" s="125"/>
      <c r="F652" s="109"/>
    </row>
    <row r="653" spans="5:6" x14ac:dyDescent="0.2">
      <c r="E653" s="125"/>
      <c r="F653" s="109"/>
    </row>
    <row r="654" spans="5:6" x14ac:dyDescent="0.2">
      <c r="E654" s="125"/>
      <c r="F654" s="109"/>
    </row>
    <row r="655" spans="5:6" x14ac:dyDescent="0.2">
      <c r="E655" s="125"/>
      <c r="F655" s="109"/>
    </row>
    <row r="656" spans="5:6" x14ac:dyDescent="0.2">
      <c r="E656" s="125"/>
      <c r="F656" s="109"/>
    </row>
    <row r="657" spans="5:6" x14ac:dyDescent="0.2">
      <c r="E657" s="125"/>
      <c r="F657" s="109"/>
    </row>
    <row r="658" spans="5:6" x14ac:dyDescent="0.2">
      <c r="E658" s="125"/>
      <c r="F658" s="109"/>
    </row>
    <row r="659" spans="5:6" x14ac:dyDescent="0.2">
      <c r="E659" s="125"/>
      <c r="F659" s="109"/>
    </row>
    <row r="660" spans="5:6" x14ac:dyDescent="0.2">
      <c r="E660" s="125"/>
      <c r="F660" s="109"/>
    </row>
    <row r="661" spans="5:6" x14ac:dyDescent="0.2">
      <c r="E661" s="125"/>
      <c r="F661" s="109"/>
    </row>
    <row r="662" spans="5:6" x14ac:dyDescent="0.2">
      <c r="E662" s="125"/>
      <c r="F662" s="109"/>
    </row>
    <row r="663" spans="5:6" x14ac:dyDescent="0.2">
      <c r="E663" s="125"/>
      <c r="F663" s="109"/>
    </row>
    <row r="664" spans="5:6" x14ac:dyDescent="0.2">
      <c r="E664" s="125"/>
      <c r="F664" s="109"/>
    </row>
    <row r="665" spans="5:6" x14ac:dyDescent="0.2">
      <c r="E665" s="125"/>
      <c r="F665" s="109"/>
    </row>
    <row r="666" spans="5:6" x14ac:dyDescent="0.2">
      <c r="E666" s="125"/>
      <c r="F666" s="109"/>
    </row>
    <row r="667" spans="5:6" x14ac:dyDescent="0.2">
      <c r="E667" s="125"/>
      <c r="F667" s="109"/>
    </row>
    <row r="668" spans="5:6" x14ac:dyDescent="0.2">
      <c r="E668" s="125"/>
      <c r="F668" s="109"/>
    </row>
    <row r="669" spans="5:6" x14ac:dyDescent="0.2">
      <c r="E669" s="125"/>
      <c r="F669" s="109"/>
    </row>
    <row r="670" spans="5:6" x14ac:dyDescent="0.2">
      <c r="E670" s="125"/>
      <c r="F670" s="109"/>
    </row>
    <row r="671" spans="5:6" x14ac:dyDescent="0.2">
      <c r="E671" s="125"/>
      <c r="F671" s="109"/>
    </row>
    <row r="672" spans="5:6" x14ac:dyDescent="0.2">
      <c r="E672" s="125"/>
      <c r="F672" s="109"/>
    </row>
    <row r="673" spans="5:6" x14ac:dyDescent="0.2">
      <c r="E673" s="125"/>
      <c r="F673" s="109"/>
    </row>
    <row r="674" spans="5:6" x14ac:dyDescent="0.2">
      <c r="E674" s="125"/>
      <c r="F674" s="109"/>
    </row>
    <row r="675" spans="5:6" x14ac:dyDescent="0.2">
      <c r="E675" s="125"/>
      <c r="F675" s="109"/>
    </row>
    <row r="676" spans="5:6" x14ac:dyDescent="0.2">
      <c r="E676" s="125"/>
      <c r="F676" s="109"/>
    </row>
    <row r="677" spans="5:6" x14ac:dyDescent="0.2">
      <c r="E677" s="125"/>
      <c r="F677" s="109"/>
    </row>
    <row r="678" spans="5:6" x14ac:dyDescent="0.2">
      <c r="E678" s="125"/>
      <c r="F678" s="109"/>
    </row>
  </sheetData>
  <sheetProtection formatCells="0" formatColumns="0" formatRows="0" insertColumns="0" insertRows="0" insertHyperlinks="0" deleteColumns="0" deleteRows="0" sort="0" autoFilter="0" pivotTables="0"/>
  <autoFilter ref="A6:F55" xr:uid="{566D3F4A-D6F3-42C3-BF19-B748707A65E7}"/>
  <pageMargins left="0.47244094488188981" right="0.47244094488188981" top="0.74803149606299213" bottom="0.74803149606299213" header="0.31496062992125984" footer="0.31496062992125984"/>
  <pageSetup paperSize="9" scale="89" orientation="landscape" r:id="rId1"/>
  <headerFooter>
    <oddFooter>&amp;C&amp;"Arial,Bold"&amp;16&amp;P/&amp;N</oddFooter>
  </headerFooter>
  <rowBreaks count="4" manualBreakCount="4">
    <brk id="15" max="5" man="1"/>
    <brk id="23" max="5" man="1"/>
    <brk id="39" max="5" man="1"/>
    <brk id="46" max="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1675-4E96-4B8F-B948-B5F4FBB19E85}">
  <dimension ref="A1:F45"/>
  <sheetViews>
    <sheetView view="pageBreakPreview" topLeftCell="J1" zoomScale="40" zoomScaleNormal="100" zoomScaleSheetLayoutView="40" workbookViewId="0">
      <selection activeCell="C3" sqref="C3"/>
    </sheetView>
  </sheetViews>
  <sheetFormatPr defaultColWidth="9.140625" defaultRowHeight="15" x14ac:dyDescent="0.2"/>
  <cols>
    <col min="1" max="1" width="9.140625" style="146"/>
    <col min="2" max="2" width="75.28515625" style="86" customWidth="1"/>
    <col min="3" max="3" width="11.28515625" style="88" bestFit="1" customWidth="1"/>
    <col min="4" max="4" width="14.28515625" style="88" customWidth="1"/>
    <col min="5" max="5" width="17.85546875" style="109" customWidth="1"/>
    <col min="6" max="6" width="19.5703125" style="109" customWidth="1"/>
    <col min="7" max="16384" width="9.140625" style="90"/>
  </cols>
  <sheetData>
    <row r="1" spans="1:6" x14ac:dyDescent="0.2">
      <c r="A1" s="143"/>
      <c r="B1" s="87"/>
      <c r="E1" s="89"/>
      <c r="F1" s="89"/>
    </row>
    <row r="2" spans="1:6" x14ac:dyDescent="0.2">
      <c r="A2" s="143"/>
      <c r="B2" s="87"/>
      <c r="E2" s="89"/>
      <c r="F2" s="89"/>
    </row>
    <row r="3" spans="1:6" ht="12" customHeight="1" thickBot="1" x14ac:dyDescent="0.25">
      <c r="A3" s="143"/>
      <c r="B3" s="273"/>
      <c r="C3" s="274"/>
      <c r="E3" s="89"/>
      <c r="F3" s="89"/>
    </row>
    <row r="4" spans="1:6" ht="33.950000000000003" customHeight="1" x14ac:dyDescent="0.2">
      <c r="A4" s="143"/>
      <c r="B4" s="87"/>
      <c r="E4" s="89"/>
      <c r="F4" s="89"/>
    </row>
    <row r="5" spans="1:6" s="95" customFormat="1" ht="15.75" x14ac:dyDescent="0.2">
      <c r="A5" s="144"/>
      <c r="B5" s="92" t="s">
        <v>285</v>
      </c>
      <c r="C5" s="93"/>
      <c r="D5" s="93"/>
      <c r="E5" s="94"/>
      <c r="F5" s="94"/>
    </row>
    <row r="6" spans="1:6" s="100" customFormat="1" ht="63" x14ac:dyDescent="0.2">
      <c r="A6" s="138" t="s">
        <v>14</v>
      </c>
      <c r="B6" s="97" t="s">
        <v>0</v>
      </c>
      <c r="C6" s="96" t="s">
        <v>15</v>
      </c>
      <c r="D6" s="98" t="s">
        <v>16</v>
      </c>
      <c r="E6" s="99" t="s">
        <v>17</v>
      </c>
      <c r="F6" s="99" t="s">
        <v>320</v>
      </c>
    </row>
    <row r="7" spans="1:6" s="104" customFormat="1" ht="15.75" x14ac:dyDescent="0.25">
      <c r="A7" s="107"/>
      <c r="B7" s="101" t="s">
        <v>446</v>
      </c>
      <c r="C7" s="93"/>
      <c r="D7" s="93"/>
      <c r="E7" s="103"/>
      <c r="F7" s="103"/>
    </row>
    <row r="8" spans="1:6" s="104" customFormat="1" ht="15.75" x14ac:dyDescent="0.25">
      <c r="A8" s="147"/>
      <c r="B8" s="148" t="s">
        <v>287</v>
      </c>
      <c r="C8" s="93"/>
      <c r="D8" s="149"/>
      <c r="E8" s="150"/>
      <c r="F8" s="103"/>
    </row>
    <row r="9" spans="1:6" s="104" customFormat="1" ht="30" x14ac:dyDescent="0.25">
      <c r="A9" s="107">
        <v>5.0010000000000003</v>
      </c>
      <c r="B9" s="151" t="s">
        <v>288</v>
      </c>
      <c r="C9" s="93" t="s">
        <v>289</v>
      </c>
      <c r="D9" s="149">
        <v>1</v>
      </c>
      <c r="E9" s="224">
        <v>124949.70492194405</v>
      </c>
      <c r="F9" s="223">
        <f t="shared" ref="F9:F18" si="0">$D9*E9</f>
        <v>124949.70492194405</v>
      </c>
    </row>
    <row r="10" spans="1:6" s="104" customFormat="1" ht="45" x14ac:dyDescent="0.25">
      <c r="A10" s="107">
        <v>5.0020000000000007</v>
      </c>
      <c r="B10" s="151" t="s">
        <v>290</v>
      </c>
      <c r="C10" s="93" t="s">
        <v>289</v>
      </c>
      <c r="D10" s="149">
        <v>1</v>
      </c>
      <c r="E10" s="224">
        <v>40667.797829968316</v>
      </c>
      <c r="F10" s="223">
        <f t="shared" si="0"/>
        <v>40667.797829968316</v>
      </c>
    </row>
    <row r="11" spans="1:6" s="104" customFormat="1" ht="45" x14ac:dyDescent="0.25">
      <c r="A11" s="107">
        <v>5.003000000000001</v>
      </c>
      <c r="B11" s="151" t="s">
        <v>291</v>
      </c>
      <c r="C11" s="93" t="s">
        <v>289</v>
      </c>
      <c r="D11" s="149">
        <v>1</v>
      </c>
      <c r="E11" s="224">
        <v>513387.65640045173</v>
      </c>
      <c r="F11" s="223">
        <f t="shared" si="0"/>
        <v>513387.65640045173</v>
      </c>
    </row>
    <row r="12" spans="1:6" s="104" customFormat="1" ht="30" x14ac:dyDescent="0.25">
      <c r="A12" s="107">
        <v>5.0040000000000013</v>
      </c>
      <c r="B12" s="151" t="s">
        <v>292</v>
      </c>
      <c r="C12" s="93" t="s">
        <v>659</v>
      </c>
      <c r="D12" s="201">
        <v>1</v>
      </c>
      <c r="E12" s="224">
        <v>115153.76316465337</v>
      </c>
      <c r="F12" s="223">
        <f t="shared" si="0"/>
        <v>115153.76316465337</v>
      </c>
    </row>
    <row r="13" spans="1:6" s="104" customFormat="1" ht="45" x14ac:dyDescent="0.25">
      <c r="A13" s="107">
        <v>5.0050000000000017</v>
      </c>
      <c r="B13" s="151" t="s">
        <v>293</v>
      </c>
      <c r="C13" s="93" t="s">
        <v>659</v>
      </c>
      <c r="D13" s="201">
        <v>1</v>
      </c>
      <c r="E13" s="224">
        <v>419627.6946449317</v>
      </c>
      <c r="F13" s="223">
        <f t="shared" si="0"/>
        <v>419627.6946449317</v>
      </c>
    </row>
    <row r="14" spans="1:6" s="104" customFormat="1" ht="45" x14ac:dyDescent="0.25">
      <c r="A14" s="107">
        <v>5.006000000000002</v>
      </c>
      <c r="B14" s="151" t="s">
        <v>294</v>
      </c>
      <c r="C14" s="93" t="s">
        <v>289</v>
      </c>
      <c r="D14" s="149">
        <v>4</v>
      </c>
      <c r="E14" s="224">
        <v>184262.41734512284</v>
      </c>
      <c r="F14" s="223">
        <f t="shared" si="0"/>
        <v>737049.66938049137</v>
      </c>
    </row>
    <row r="15" spans="1:6" s="104" customFormat="1" ht="15.75" x14ac:dyDescent="0.25">
      <c r="A15" s="107">
        <v>5.0070000000000023</v>
      </c>
      <c r="B15" s="151" t="s">
        <v>295</v>
      </c>
      <c r="C15" s="93" t="s">
        <v>289</v>
      </c>
      <c r="D15" s="149">
        <v>4</v>
      </c>
      <c r="E15" s="224">
        <v>3588.7779794002572</v>
      </c>
      <c r="F15" s="223">
        <f t="shared" si="0"/>
        <v>14355.111917601029</v>
      </c>
    </row>
    <row r="16" spans="1:6" s="104" customFormat="1" ht="45" x14ac:dyDescent="0.25">
      <c r="A16" s="107">
        <v>5.0080000000000027</v>
      </c>
      <c r="B16" s="151" t="s">
        <v>296</v>
      </c>
      <c r="C16" s="93" t="s">
        <v>289</v>
      </c>
      <c r="D16" s="149">
        <v>2</v>
      </c>
      <c r="E16" s="224">
        <v>29513.307019403514</v>
      </c>
      <c r="F16" s="223">
        <f t="shared" si="0"/>
        <v>59026.614038807027</v>
      </c>
    </row>
    <row r="17" spans="1:6" s="104" customFormat="1" ht="22.15" customHeight="1" x14ac:dyDescent="0.25">
      <c r="A17" s="107">
        <v>5.009000000000003</v>
      </c>
      <c r="B17" s="102" t="s">
        <v>297</v>
      </c>
      <c r="C17" s="93" t="s">
        <v>659</v>
      </c>
      <c r="D17" s="93">
        <v>1</v>
      </c>
      <c r="E17" s="224">
        <v>7968.9275132323655</v>
      </c>
      <c r="F17" s="223">
        <f t="shared" si="0"/>
        <v>7968.9275132323655</v>
      </c>
    </row>
    <row r="18" spans="1:6" s="104" customFormat="1" ht="22.15" customHeight="1" x14ac:dyDescent="0.25">
      <c r="A18" s="107">
        <v>5.0100000000000033</v>
      </c>
      <c r="B18" s="102" t="s">
        <v>298</v>
      </c>
      <c r="C18" s="93" t="s">
        <v>659</v>
      </c>
      <c r="D18" s="201">
        <v>1</v>
      </c>
      <c r="E18" s="224">
        <v>119528.89342858423</v>
      </c>
      <c r="F18" s="223">
        <f t="shared" si="0"/>
        <v>119528.89342858423</v>
      </c>
    </row>
    <row r="19" spans="1:6" s="104" customFormat="1" ht="15.75" x14ac:dyDescent="0.25">
      <c r="A19" s="107"/>
      <c r="B19" s="152" t="s">
        <v>447</v>
      </c>
      <c r="C19" s="93"/>
      <c r="D19" s="149"/>
      <c r="E19" s="224"/>
      <c r="F19" s="223"/>
    </row>
    <row r="20" spans="1:6" s="104" customFormat="1" ht="78.75" x14ac:dyDescent="0.25">
      <c r="A20" s="147"/>
      <c r="B20" s="180" t="s">
        <v>448</v>
      </c>
      <c r="C20" s="93"/>
      <c r="D20" s="149"/>
      <c r="E20" s="108"/>
      <c r="F20" s="223"/>
    </row>
    <row r="21" spans="1:6" s="104" customFormat="1" ht="24" customHeight="1" x14ac:dyDescent="0.25">
      <c r="A21" s="107">
        <v>5.009000000000003</v>
      </c>
      <c r="B21" s="173" t="s">
        <v>449</v>
      </c>
      <c r="C21" s="93" t="s">
        <v>659</v>
      </c>
      <c r="D21" s="201">
        <v>1</v>
      </c>
      <c r="E21" s="224">
        <v>79685.928952389484</v>
      </c>
      <c r="F21" s="223">
        <f>$D21*E21</f>
        <v>79685.928952389484</v>
      </c>
    </row>
    <row r="22" spans="1:6" s="104" customFormat="1" ht="30" x14ac:dyDescent="0.25">
      <c r="A22" s="107">
        <v>5.0110000000000037</v>
      </c>
      <c r="B22" s="173" t="s">
        <v>450</v>
      </c>
      <c r="C22" s="93" t="s">
        <v>659</v>
      </c>
      <c r="D22" s="201">
        <v>1</v>
      </c>
      <c r="E22" s="224">
        <v>373835.22224577778</v>
      </c>
      <c r="F22" s="223">
        <f>$D22*E22</f>
        <v>373835.22224577778</v>
      </c>
    </row>
    <row r="23" spans="1:6" s="104" customFormat="1" ht="35.450000000000003" customHeight="1" x14ac:dyDescent="0.25">
      <c r="A23" s="107">
        <v>5.012000000000004</v>
      </c>
      <c r="B23" s="173" t="s">
        <v>451</v>
      </c>
      <c r="C23" s="93" t="s">
        <v>659</v>
      </c>
      <c r="D23" s="201">
        <v>1</v>
      </c>
      <c r="E23" s="224">
        <v>39842.964476194742</v>
      </c>
      <c r="F23" s="223">
        <f>$D23*E23</f>
        <v>39842.964476194742</v>
      </c>
    </row>
    <row r="24" spans="1:6" s="104" customFormat="1" ht="15.75" x14ac:dyDescent="0.25">
      <c r="A24" s="147"/>
      <c r="B24" s="152" t="s">
        <v>299</v>
      </c>
      <c r="C24" s="93"/>
      <c r="D24" s="149"/>
      <c r="E24" s="224"/>
      <c r="F24" s="223">
        <v>0</v>
      </c>
    </row>
    <row r="25" spans="1:6" s="104" customFormat="1" ht="45" x14ac:dyDescent="0.25">
      <c r="A25" s="107">
        <v>5.0130000000000043</v>
      </c>
      <c r="B25" s="151" t="s">
        <v>300</v>
      </c>
      <c r="C25" s="93" t="s">
        <v>79</v>
      </c>
      <c r="D25" s="149">
        <v>4</v>
      </c>
      <c r="E25" s="224">
        <v>14221.26472023412</v>
      </c>
      <c r="F25" s="223">
        <f>$D25*E25</f>
        <v>56885.058880936478</v>
      </c>
    </row>
    <row r="26" spans="1:6" s="104" customFormat="1" ht="15.75" x14ac:dyDescent="0.25">
      <c r="A26" s="107">
        <v>5.0140000000000047</v>
      </c>
      <c r="B26" s="152" t="s">
        <v>301</v>
      </c>
      <c r="C26" s="93"/>
      <c r="D26" s="149"/>
      <c r="E26" s="224"/>
      <c r="F26" s="223"/>
    </row>
    <row r="27" spans="1:6" s="104" customFormat="1" ht="67.900000000000006" customHeight="1" x14ac:dyDescent="0.25">
      <c r="A27" s="107">
        <v>5.015000000000005</v>
      </c>
      <c r="B27" s="151" t="s">
        <v>302</v>
      </c>
      <c r="C27" s="93" t="s">
        <v>289</v>
      </c>
      <c r="D27" s="149">
        <v>2</v>
      </c>
      <c r="E27" s="224">
        <v>99607.411190486848</v>
      </c>
      <c r="F27" s="223">
        <f>$D27*E27</f>
        <v>199214.8223809737</v>
      </c>
    </row>
    <row r="28" spans="1:6" s="104" customFormat="1" ht="49.9" customHeight="1" x14ac:dyDescent="0.25">
      <c r="A28" s="107">
        <v>5.0160000000000053</v>
      </c>
      <c r="B28" s="151" t="s">
        <v>303</v>
      </c>
      <c r="C28" s="93" t="s">
        <v>289</v>
      </c>
      <c r="D28" s="149">
        <v>2</v>
      </c>
      <c r="E28" s="224">
        <v>119528.89342858423</v>
      </c>
      <c r="F28" s="223">
        <f>$D28*E28</f>
        <v>239057.78685716845</v>
      </c>
    </row>
    <row r="29" spans="1:6" s="104" customFormat="1" ht="36" customHeight="1" x14ac:dyDescent="0.25">
      <c r="A29" s="107">
        <v>5.0170000000000057</v>
      </c>
      <c r="B29" s="151" t="s">
        <v>304</v>
      </c>
      <c r="C29" s="93" t="s">
        <v>289</v>
      </c>
      <c r="D29" s="149">
        <v>6</v>
      </c>
      <c r="E29" s="224">
        <v>39842.964476194742</v>
      </c>
      <c r="F29" s="223">
        <f>$D29*E29</f>
        <v>239057.78685716845</v>
      </c>
    </row>
    <row r="30" spans="1:6" s="104" customFormat="1" ht="15.75" x14ac:dyDescent="0.25">
      <c r="A30" s="107"/>
      <c r="B30" s="140" t="s">
        <v>305</v>
      </c>
      <c r="C30" s="141"/>
      <c r="D30" s="201"/>
      <c r="E30" s="108"/>
      <c r="F30" s="223"/>
    </row>
    <row r="31" spans="1:6" s="104" customFormat="1" ht="18" customHeight="1" x14ac:dyDescent="0.25">
      <c r="A31" s="107"/>
      <c r="B31" s="202" t="s">
        <v>306</v>
      </c>
      <c r="C31" s="93"/>
      <c r="D31" s="201"/>
      <c r="E31" s="108"/>
      <c r="F31" s="223"/>
    </row>
    <row r="32" spans="1:6" s="104" customFormat="1" ht="20.45" customHeight="1" x14ac:dyDescent="0.25">
      <c r="A32" s="107">
        <v>5.018000000000006</v>
      </c>
      <c r="B32" s="151" t="s">
        <v>307</v>
      </c>
      <c r="C32" s="141" t="s">
        <v>289</v>
      </c>
      <c r="D32" s="201">
        <v>1</v>
      </c>
      <c r="E32" s="224">
        <v>39707.444188860747</v>
      </c>
      <c r="F32" s="223">
        <f>$D32*E32</f>
        <v>39707.444188860747</v>
      </c>
    </row>
    <row r="33" spans="1:6" s="104" customFormat="1" ht="20.45" customHeight="1" x14ac:dyDescent="0.25">
      <c r="A33" s="107">
        <v>5.0190000000000063</v>
      </c>
      <c r="B33" s="151" t="s">
        <v>308</v>
      </c>
      <c r="C33" s="141" t="s">
        <v>289</v>
      </c>
      <c r="D33" s="201">
        <v>1</v>
      </c>
      <c r="E33" s="224">
        <v>7528.9048518886511</v>
      </c>
      <c r="F33" s="223">
        <f>$D33*E33</f>
        <v>7528.9048518886511</v>
      </c>
    </row>
    <row r="34" spans="1:6" s="104" customFormat="1" ht="20.45" customHeight="1" x14ac:dyDescent="0.25">
      <c r="A34" s="107">
        <v>5.0200000000000067</v>
      </c>
      <c r="B34" s="151" t="s">
        <v>309</v>
      </c>
      <c r="C34" s="141" t="s">
        <v>289</v>
      </c>
      <c r="D34" s="201">
        <v>1</v>
      </c>
      <c r="E34" s="224">
        <v>11910.727475687847</v>
      </c>
      <c r="F34" s="223">
        <f>$D34*E34</f>
        <v>11910.727475687847</v>
      </c>
    </row>
    <row r="35" spans="1:6" s="104" customFormat="1" ht="20.45" customHeight="1" x14ac:dyDescent="0.25">
      <c r="A35" s="107">
        <v>5.021000000000007</v>
      </c>
      <c r="B35" s="151" t="s">
        <v>310</v>
      </c>
      <c r="C35" s="141" t="s">
        <v>289</v>
      </c>
      <c r="D35" s="201">
        <v>1</v>
      </c>
      <c r="E35" s="224">
        <v>1425.4726519575845</v>
      </c>
      <c r="F35" s="223">
        <f>$D35*E35</f>
        <v>1425.4726519575845</v>
      </c>
    </row>
    <row r="36" spans="1:6" s="104" customFormat="1" ht="20.45" customHeight="1" x14ac:dyDescent="0.25">
      <c r="A36" s="107">
        <v>5.0220000000000073</v>
      </c>
      <c r="B36" s="142" t="s">
        <v>311</v>
      </c>
      <c r="C36" s="141" t="s">
        <v>289</v>
      </c>
      <c r="D36" s="201">
        <v>1</v>
      </c>
      <c r="E36" s="224">
        <v>8345.3727558267983</v>
      </c>
      <c r="F36" s="223">
        <f>$D36*E36</f>
        <v>8345.3727558267983</v>
      </c>
    </row>
    <row r="37" spans="1:6" s="104" customFormat="1" ht="15.75" x14ac:dyDescent="0.25">
      <c r="A37" s="107"/>
      <c r="B37" s="202" t="s">
        <v>312</v>
      </c>
      <c r="C37" s="93"/>
      <c r="D37" s="201"/>
      <c r="E37" s="108"/>
      <c r="F37" s="223"/>
    </row>
    <row r="38" spans="1:6" s="104" customFormat="1" ht="102" customHeight="1" x14ac:dyDescent="0.25">
      <c r="A38" s="107">
        <v>5.0230000000000077</v>
      </c>
      <c r="B38" s="151" t="s">
        <v>313</v>
      </c>
      <c r="C38" s="93" t="s">
        <v>659</v>
      </c>
      <c r="D38" s="201">
        <v>1</v>
      </c>
      <c r="E38" s="224">
        <v>239057.78685716845</v>
      </c>
      <c r="F38" s="223">
        <f>$D38*E38</f>
        <v>239057.78685716845</v>
      </c>
    </row>
    <row r="39" spans="1:6" s="104" customFormat="1" ht="20.45" customHeight="1" x14ac:dyDescent="0.25">
      <c r="A39" s="107"/>
      <c r="B39" s="195" t="s">
        <v>314</v>
      </c>
      <c r="C39" s="141"/>
      <c r="D39" s="201"/>
      <c r="E39" s="108"/>
      <c r="F39" s="223"/>
    </row>
    <row r="40" spans="1:6" s="104" customFormat="1" ht="15.75" x14ac:dyDescent="0.25">
      <c r="A40" s="107">
        <v>5.024000000000008</v>
      </c>
      <c r="B40" s="142" t="s">
        <v>315</v>
      </c>
      <c r="C40" s="93" t="s">
        <v>659</v>
      </c>
      <c r="D40" s="201">
        <v>1</v>
      </c>
      <c r="E40" s="224">
        <v>103296.57456791231</v>
      </c>
      <c r="F40" s="223">
        <f>$D40*E40</f>
        <v>103296.57456791231</v>
      </c>
    </row>
    <row r="41" spans="1:6" s="104" customFormat="1" ht="45" x14ac:dyDescent="0.25">
      <c r="A41" s="107">
        <v>5.0250000000000083</v>
      </c>
      <c r="B41" s="151" t="s">
        <v>316</v>
      </c>
      <c r="C41" s="93" t="s">
        <v>659</v>
      </c>
      <c r="D41" s="201">
        <v>1</v>
      </c>
      <c r="E41" s="224">
        <v>44269.960529105265</v>
      </c>
      <c r="F41" s="223">
        <f>$D41*E41</f>
        <v>44269.960529105265</v>
      </c>
    </row>
    <row r="42" spans="1:6" s="104" customFormat="1" ht="24.6" customHeight="1" x14ac:dyDescent="0.25">
      <c r="A42" s="107">
        <v>5.0260000000000087</v>
      </c>
      <c r="B42" s="142" t="s">
        <v>317</v>
      </c>
      <c r="C42" s="93" t="s">
        <v>659</v>
      </c>
      <c r="D42" s="201">
        <v>1</v>
      </c>
      <c r="E42" s="224">
        <v>44269.960529105265</v>
      </c>
      <c r="F42" s="223">
        <f>$D42*E42</f>
        <v>44269.960529105265</v>
      </c>
    </row>
    <row r="43" spans="1:6" s="104" customFormat="1" ht="30" x14ac:dyDescent="0.25">
      <c r="A43" s="107">
        <v>5.027000000000009</v>
      </c>
      <c r="B43" s="102" t="s">
        <v>318</v>
      </c>
      <c r="C43" s="93" t="s">
        <v>659</v>
      </c>
      <c r="D43" s="93">
        <v>1</v>
      </c>
      <c r="E43" s="224">
        <v>49208.52844371667</v>
      </c>
      <c r="F43" s="223">
        <f>$D43*E43</f>
        <v>49208.52844371667</v>
      </c>
    </row>
    <row r="44" spans="1:6" s="95" customFormat="1" ht="25.5" customHeight="1" x14ac:dyDescent="0.2">
      <c r="A44" s="145"/>
      <c r="B44" s="98" t="s">
        <v>319</v>
      </c>
      <c r="C44" s="91"/>
      <c r="D44" s="108"/>
      <c r="E44" s="224"/>
      <c r="F44" s="225">
        <f>SUM(F9:F43)</f>
        <v>3928316.1367425038</v>
      </c>
    </row>
    <row r="45" spans="1:6" x14ac:dyDescent="0.2">
      <c r="D45" s="250"/>
      <c r="E45" s="250"/>
    </row>
  </sheetData>
  <sheetProtection formatCells="0" formatColumns="0" formatRows="0" insertColumns="0" insertRows="0" insertHyperlinks="0" deleteColumns="0" deleteRows="0" sort="0" autoFilter="0" pivotTables="0"/>
  <protectedRanges>
    <protectedRange sqref="F44" name="Range1_1_1"/>
  </protectedRanges>
  <autoFilter ref="A6:F44" xr:uid="{56441675-4E96-4B8F-B948-B5F4FBB19E85}"/>
  <pageMargins left="0.47244094488188981" right="0.47244094488188981" top="0.74803149606299213" bottom="0.74803149606299213" header="0.31496062992125984" footer="0.31496062992125984"/>
  <pageSetup paperSize="9" scale="88" fitToHeight="0" orientation="landscape" r:id="rId1"/>
  <headerFooter>
    <oddFooter>&amp;C&amp;"Arial,Bold"&amp;16&amp;P/&amp;N</oddFooter>
  </headerFooter>
  <rowBreaks count="2" manualBreakCount="2">
    <brk id="18" max="5" man="1"/>
    <brk id="29" max="5"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E9C7-D106-4F34-BF97-9F51C4BC8970}">
  <dimension ref="A1:X22"/>
  <sheetViews>
    <sheetView view="pageBreakPreview" zoomScale="40" zoomScaleNormal="100" zoomScaleSheetLayoutView="40" workbookViewId="0">
      <selection activeCell="C3" sqref="C3"/>
    </sheetView>
  </sheetViews>
  <sheetFormatPr defaultRowHeight="15.75" x14ac:dyDescent="0.25"/>
  <cols>
    <col min="1" max="1" width="17.28515625" style="62" customWidth="1"/>
    <col min="2" max="2" width="101.140625" style="84" customWidth="1"/>
    <col min="3" max="3" width="96.42578125" style="85" customWidth="1"/>
    <col min="4" max="5" width="8.85546875" style="65"/>
    <col min="6" max="6" width="29.5703125" style="65" customWidth="1"/>
    <col min="7" max="7" width="8.85546875" style="65"/>
    <col min="8" max="8" width="25.5703125" style="65" customWidth="1"/>
    <col min="9" max="255" width="8.85546875" style="65"/>
    <col min="256" max="256" width="11.7109375" style="65" customWidth="1"/>
    <col min="257" max="257" width="87" style="65" customWidth="1"/>
    <col min="258" max="258" width="70.5703125" style="65" customWidth="1"/>
    <col min="259" max="259" width="70.7109375" style="65" customWidth="1"/>
    <col min="260" max="511" width="8.85546875" style="65"/>
    <col min="512" max="512" width="11.7109375" style="65" customWidth="1"/>
    <col min="513" max="513" width="87" style="65" customWidth="1"/>
    <col min="514" max="514" width="70.5703125" style="65" customWidth="1"/>
    <col min="515" max="515" width="70.7109375" style="65" customWidth="1"/>
    <col min="516" max="767" width="8.85546875" style="65"/>
    <col min="768" max="768" width="11.7109375" style="65" customWidth="1"/>
    <col min="769" max="769" width="87" style="65" customWidth="1"/>
    <col min="770" max="770" width="70.5703125" style="65" customWidth="1"/>
    <col min="771" max="771" width="70.7109375" style="65" customWidth="1"/>
    <col min="772" max="1023" width="8.85546875" style="65"/>
    <col min="1024" max="1024" width="11.7109375" style="65" customWidth="1"/>
    <col min="1025" max="1025" width="87" style="65" customWidth="1"/>
    <col min="1026" max="1026" width="70.5703125" style="65" customWidth="1"/>
    <col min="1027" max="1027" width="70.7109375" style="65" customWidth="1"/>
    <col min="1028" max="1279" width="8.85546875" style="65"/>
    <col min="1280" max="1280" width="11.7109375" style="65" customWidth="1"/>
    <col min="1281" max="1281" width="87" style="65" customWidth="1"/>
    <col min="1282" max="1282" width="70.5703125" style="65" customWidth="1"/>
    <col min="1283" max="1283" width="70.7109375" style="65" customWidth="1"/>
    <col min="1284" max="1535" width="8.85546875" style="65"/>
    <col min="1536" max="1536" width="11.7109375" style="65" customWidth="1"/>
    <col min="1537" max="1537" width="87" style="65" customWidth="1"/>
    <col min="1538" max="1538" width="70.5703125" style="65" customWidth="1"/>
    <col min="1539" max="1539" width="70.7109375" style="65" customWidth="1"/>
    <col min="1540" max="1791" width="8.85546875" style="65"/>
    <col min="1792" max="1792" width="11.7109375" style="65" customWidth="1"/>
    <col min="1793" max="1793" width="87" style="65" customWidth="1"/>
    <col min="1794" max="1794" width="70.5703125" style="65" customWidth="1"/>
    <col min="1795" max="1795" width="70.7109375" style="65" customWidth="1"/>
    <col min="1796" max="2047" width="8.85546875" style="65"/>
    <col min="2048" max="2048" width="11.7109375" style="65" customWidth="1"/>
    <col min="2049" max="2049" width="87" style="65" customWidth="1"/>
    <col min="2050" max="2050" width="70.5703125" style="65" customWidth="1"/>
    <col min="2051" max="2051" width="70.7109375" style="65" customWidth="1"/>
    <col min="2052" max="2303" width="8.85546875" style="65"/>
    <col min="2304" max="2304" width="11.7109375" style="65" customWidth="1"/>
    <col min="2305" max="2305" width="87" style="65" customWidth="1"/>
    <col min="2306" max="2306" width="70.5703125" style="65" customWidth="1"/>
    <col min="2307" max="2307" width="70.7109375" style="65" customWidth="1"/>
    <col min="2308" max="2559" width="8.85546875" style="65"/>
    <col min="2560" max="2560" width="11.7109375" style="65" customWidth="1"/>
    <col min="2561" max="2561" width="87" style="65" customWidth="1"/>
    <col min="2562" max="2562" width="70.5703125" style="65" customWidth="1"/>
    <col min="2563" max="2563" width="70.7109375" style="65" customWidth="1"/>
    <col min="2564" max="2815" width="8.85546875" style="65"/>
    <col min="2816" max="2816" width="11.7109375" style="65" customWidth="1"/>
    <col min="2817" max="2817" width="87" style="65" customWidth="1"/>
    <col min="2818" max="2818" width="70.5703125" style="65" customWidth="1"/>
    <col min="2819" max="2819" width="70.7109375" style="65" customWidth="1"/>
    <col min="2820" max="3071" width="8.85546875" style="65"/>
    <col min="3072" max="3072" width="11.7109375" style="65" customWidth="1"/>
    <col min="3073" max="3073" width="87" style="65" customWidth="1"/>
    <col min="3074" max="3074" width="70.5703125" style="65" customWidth="1"/>
    <col min="3075" max="3075" width="70.7109375" style="65" customWidth="1"/>
    <col min="3076" max="3327" width="8.85546875" style="65"/>
    <col min="3328" max="3328" width="11.7109375" style="65" customWidth="1"/>
    <col min="3329" max="3329" width="87" style="65" customWidth="1"/>
    <col min="3330" max="3330" width="70.5703125" style="65" customWidth="1"/>
    <col min="3331" max="3331" width="70.7109375" style="65" customWidth="1"/>
    <col min="3332" max="3583" width="8.85546875" style="65"/>
    <col min="3584" max="3584" width="11.7109375" style="65" customWidth="1"/>
    <col min="3585" max="3585" width="87" style="65" customWidth="1"/>
    <col min="3586" max="3586" width="70.5703125" style="65" customWidth="1"/>
    <col min="3587" max="3587" width="70.7109375" style="65" customWidth="1"/>
    <col min="3588" max="3839" width="8.85546875" style="65"/>
    <col min="3840" max="3840" width="11.7109375" style="65" customWidth="1"/>
    <col min="3841" max="3841" width="87" style="65" customWidth="1"/>
    <col min="3842" max="3842" width="70.5703125" style="65" customWidth="1"/>
    <col min="3843" max="3843" width="70.7109375" style="65" customWidth="1"/>
    <col min="3844" max="4095" width="8.85546875" style="65"/>
    <col min="4096" max="4096" width="11.7109375" style="65" customWidth="1"/>
    <col min="4097" max="4097" width="87" style="65" customWidth="1"/>
    <col min="4098" max="4098" width="70.5703125" style="65" customWidth="1"/>
    <col min="4099" max="4099" width="70.7109375" style="65" customWidth="1"/>
    <col min="4100" max="4351" width="8.85546875" style="65"/>
    <col min="4352" max="4352" width="11.7109375" style="65" customWidth="1"/>
    <col min="4353" max="4353" width="87" style="65" customWidth="1"/>
    <col min="4354" max="4354" width="70.5703125" style="65" customWidth="1"/>
    <col min="4355" max="4355" width="70.7109375" style="65" customWidth="1"/>
    <col min="4356" max="4607" width="8.85546875" style="65"/>
    <col min="4608" max="4608" width="11.7109375" style="65" customWidth="1"/>
    <col min="4609" max="4609" width="87" style="65" customWidth="1"/>
    <col min="4610" max="4610" width="70.5703125" style="65" customWidth="1"/>
    <col min="4611" max="4611" width="70.7109375" style="65" customWidth="1"/>
    <col min="4612" max="4863" width="8.85546875" style="65"/>
    <col min="4864" max="4864" width="11.7109375" style="65" customWidth="1"/>
    <col min="4865" max="4865" width="87" style="65" customWidth="1"/>
    <col min="4866" max="4866" width="70.5703125" style="65" customWidth="1"/>
    <col min="4867" max="4867" width="70.7109375" style="65" customWidth="1"/>
    <col min="4868" max="5119" width="8.85546875" style="65"/>
    <col min="5120" max="5120" width="11.7109375" style="65" customWidth="1"/>
    <col min="5121" max="5121" width="87" style="65" customWidth="1"/>
    <col min="5122" max="5122" width="70.5703125" style="65" customWidth="1"/>
    <col min="5123" max="5123" width="70.7109375" style="65" customWidth="1"/>
    <col min="5124" max="5375" width="8.85546875" style="65"/>
    <col min="5376" max="5376" width="11.7109375" style="65" customWidth="1"/>
    <col min="5377" max="5377" width="87" style="65" customWidth="1"/>
    <col min="5378" max="5378" width="70.5703125" style="65" customWidth="1"/>
    <col min="5379" max="5379" width="70.7109375" style="65" customWidth="1"/>
    <col min="5380" max="5631" width="8.85546875" style="65"/>
    <col min="5632" max="5632" width="11.7109375" style="65" customWidth="1"/>
    <col min="5633" max="5633" width="87" style="65" customWidth="1"/>
    <col min="5634" max="5634" width="70.5703125" style="65" customWidth="1"/>
    <col min="5635" max="5635" width="70.7109375" style="65" customWidth="1"/>
    <col min="5636" max="5887" width="8.85546875" style="65"/>
    <col min="5888" max="5888" width="11.7109375" style="65" customWidth="1"/>
    <col min="5889" max="5889" width="87" style="65" customWidth="1"/>
    <col min="5890" max="5890" width="70.5703125" style="65" customWidth="1"/>
    <col min="5891" max="5891" width="70.7109375" style="65" customWidth="1"/>
    <col min="5892" max="6143" width="8.85546875" style="65"/>
    <col min="6144" max="6144" width="11.7109375" style="65" customWidth="1"/>
    <col min="6145" max="6145" width="87" style="65" customWidth="1"/>
    <col min="6146" max="6146" width="70.5703125" style="65" customWidth="1"/>
    <col min="6147" max="6147" width="70.7109375" style="65" customWidth="1"/>
    <col min="6148" max="6399" width="8.85546875" style="65"/>
    <col min="6400" max="6400" width="11.7109375" style="65" customWidth="1"/>
    <col min="6401" max="6401" width="87" style="65" customWidth="1"/>
    <col min="6402" max="6402" width="70.5703125" style="65" customWidth="1"/>
    <col min="6403" max="6403" width="70.7109375" style="65" customWidth="1"/>
    <col min="6404" max="6655" width="8.85546875" style="65"/>
    <col min="6656" max="6656" width="11.7109375" style="65" customWidth="1"/>
    <col min="6657" max="6657" width="87" style="65" customWidth="1"/>
    <col min="6658" max="6658" width="70.5703125" style="65" customWidth="1"/>
    <col min="6659" max="6659" width="70.7109375" style="65" customWidth="1"/>
    <col min="6660" max="6911" width="8.85546875" style="65"/>
    <col min="6912" max="6912" width="11.7109375" style="65" customWidth="1"/>
    <col min="6913" max="6913" width="87" style="65" customWidth="1"/>
    <col min="6914" max="6914" width="70.5703125" style="65" customWidth="1"/>
    <col min="6915" max="6915" width="70.7109375" style="65" customWidth="1"/>
    <col min="6916" max="7167" width="8.85546875" style="65"/>
    <col min="7168" max="7168" width="11.7109375" style="65" customWidth="1"/>
    <col min="7169" max="7169" width="87" style="65" customWidth="1"/>
    <col min="7170" max="7170" width="70.5703125" style="65" customWidth="1"/>
    <col min="7171" max="7171" width="70.7109375" style="65" customWidth="1"/>
    <col min="7172" max="7423" width="8.85546875" style="65"/>
    <col min="7424" max="7424" width="11.7109375" style="65" customWidth="1"/>
    <col min="7425" max="7425" width="87" style="65" customWidth="1"/>
    <col min="7426" max="7426" width="70.5703125" style="65" customWidth="1"/>
    <col min="7427" max="7427" width="70.7109375" style="65" customWidth="1"/>
    <col min="7428" max="7679" width="8.85546875" style="65"/>
    <col min="7680" max="7680" width="11.7109375" style="65" customWidth="1"/>
    <col min="7681" max="7681" width="87" style="65" customWidth="1"/>
    <col min="7682" max="7682" width="70.5703125" style="65" customWidth="1"/>
    <col min="7683" max="7683" width="70.7109375" style="65" customWidth="1"/>
    <col min="7684" max="7935" width="8.85546875" style="65"/>
    <col min="7936" max="7936" width="11.7109375" style="65" customWidth="1"/>
    <col min="7937" max="7937" width="87" style="65" customWidth="1"/>
    <col min="7938" max="7938" width="70.5703125" style="65" customWidth="1"/>
    <col min="7939" max="7939" width="70.7109375" style="65" customWidth="1"/>
    <col min="7940" max="8191" width="8.85546875" style="65"/>
    <col min="8192" max="8192" width="11.7109375" style="65" customWidth="1"/>
    <col min="8193" max="8193" width="87" style="65" customWidth="1"/>
    <col min="8194" max="8194" width="70.5703125" style="65" customWidth="1"/>
    <col min="8195" max="8195" width="70.7109375" style="65" customWidth="1"/>
    <col min="8196" max="8447" width="8.85546875" style="65"/>
    <col min="8448" max="8448" width="11.7109375" style="65" customWidth="1"/>
    <col min="8449" max="8449" width="87" style="65" customWidth="1"/>
    <col min="8450" max="8450" width="70.5703125" style="65" customWidth="1"/>
    <col min="8451" max="8451" width="70.7109375" style="65" customWidth="1"/>
    <col min="8452" max="8703" width="8.85546875" style="65"/>
    <col min="8704" max="8704" width="11.7109375" style="65" customWidth="1"/>
    <col min="8705" max="8705" width="87" style="65" customWidth="1"/>
    <col min="8706" max="8706" width="70.5703125" style="65" customWidth="1"/>
    <col min="8707" max="8707" width="70.7109375" style="65" customWidth="1"/>
    <col min="8708" max="8959" width="8.85546875" style="65"/>
    <col min="8960" max="8960" width="11.7109375" style="65" customWidth="1"/>
    <col min="8961" max="8961" width="87" style="65" customWidth="1"/>
    <col min="8962" max="8962" width="70.5703125" style="65" customWidth="1"/>
    <col min="8963" max="8963" width="70.7109375" style="65" customWidth="1"/>
    <col min="8964" max="9215" width="8.85546875" style="65"/>
    <col min="9216" max="9216" width="11.7109375" style="65" customWidth="1"/>
    <col min="9217" max="9217" width="87" style="65" customWidth="1"/>
    <col min="9218" max="9218" width="70.5703125" style="65" customWidth="1"/>
    <col min="9219" max="9219" width="70.7109375" style="65" customWidth="1"/>
    <col min="9220" max="9471" width="8.85546875" style="65"/>
    <col min="9472" max="9472" width="11.7109375" style="65" customWidth="1"/>
    <col min="9473" max="9473" width="87" style="65" customWidth="1"/>
    <col min="9474" max="9474" width="70.5703125" style="65" customWidth="1"/>
    <col min="9475" max="9475" width="70.7109375" style="65" customWidth="1"/>
    <col min="9476" max="9727" width="8.85546875" style="65"/>
    <col min="9728" max="9728" width="11.7109375" style="65" customWidth="1"/>
    <col min="9729" max="9729" width="87" style="65" customWidth="1"/>
    <col min="9730" max="9730" width="70.5703125" style="65" customWidth="1"/>
    <col min="9731" max="9731" width="70.7109375" style="65" customWidth="1"/>
    <col min="9732" max="9983" width="8.85546875" style="65"/>
    <col min="9984" max="9984" width="11.7109375" style="65" customWidth="1"/>
    <col min="9985" max="9985" width="87" style="65" customWidth="1"/>
    <col min="9986" max="9986" width="70.5703125" style="65" customWidth="1"/>
    <col min="9987" max="9987" width="70.7109375" style="65" customWidth="1"/>
    <col min="9988" max="10239" width="8.85546875" style="65"/>
    <col min="10240" max="10240" width="11.7109375" style="65" customWidth="1"/>
    <col min="10241" max="10241" width="87" style="65" customWidth="1"/>
    <col min="10242" max="10242" width="70.5703125" style="65" customWidth="1"/>
    <col min="10243" max="10243" width="70.7109375" style="65" customWidth="1"/>
    <col min="10244" max="10495" width="8.85546875" style="65"/>
    <col min="10496" max="10496" width="11.7109375" style="65" customWidth="1"/>
    <col min="10497" max="10497" width="87" style="65" customWidth="1"/>
    <col min="10498" max="10498" width="70.5703125" style="65" customWidth="1"/>
    <col min="10499" max="10499" width="70.7109375" style="65" customWidth="1"/>
    <col min="10500" max="10751" width="8.85546875" style="65"/>
    <col min="10752" max="10752" width="11.7109375" style="65" customWidth="1"/>
    <col min="10753" max="10753" width="87" style="65" customWidth="1"/>
    <col min="10754" max="10754" width="70.5703125" style="65" customWidth="1"/>
    <col min="10755" max="10755" width="70.7109375" style="65" customWidth="1"/>
    <col min="10756" max="11007" width="8.85546875" style="65"/>
    <col min="11008" max="11008" width="11.7109375" style="65" customWidth="1"/>
    <col min="11009" max="11009" width="87" style="65" customWidth="1"/>
    <col min="11010" max="11010" width="70.5703125" style="65" customWidth="1"/>
    <col min="11011" max="11011" width="70.7109375" style="65" customWidth="1"/>
    <col min="11012" max="11263" width="8.85546875" style="65"/>
    <col min="11264" max="11264" width="11.7109375" style="65" customWidth="1"/>
    <col min="11265" max="11265" width="87" style="65" customWidth="1"/>
    <col min="11266" max="11266" width="70.5703125" style="65" customWidth="1"/>
    <col min="11267" max="11267" width="70.7109375" style="65" customWidth="1"/>
    <col min="11268" max="11519" width="8.85546875" style="65"/>
    <col min="11520" max="11520" width="11.7109375" style="65" customWidth="1"/>
    <col min="11521" max="11521" width="87" style="65" customWidth="1"/>
    <col min="11522" max="11522" width="70.5703125" style="65" customWidth="1"/>
    <col min="11523" max="11523" width="70.7109375" style="65" customWidth="1"/>
    <col min="11524" max="11775" width="8.85546875" style="65"/>
    <col min="11776" max="11776" width="11.7109375" style="65" customWidth="1"/>
    <col min="11777" max="11777" width="87" style="65" customWidth="1"/>
    <col min="11778" max="11778" width="70.5703125" style="65" customWidth="1"/>
    <col min="11779" max="11779" width="70.7109375" style="65" customWidth="1"/>
    <col min="11780" max="12031" width="8.85546875" style="65"/>
    <col min="12032" max="12032" width="11.7109375" style="65" customWidth="1"/>
    <col min="12033" max="12033" width="87" style="65" customWidth="1"/>
    <col min="12034" max="12034" width="70.5703125" style="65" customWidth="1"/>
    <col min="12035" max="12035" width="70.7109375" style="65" customWidth="1"/>
    <col min="12036" max="12287" width="8.85546875" style="65"/>
    <col min="12288" max="12288" width="11.7109375" style="65" customWidth="1"/>
    <col min="12289" max="12289" width="87" style="65" customWidth="1"/>
    <col min="12290" max="12290" width="70.5703125" style="65" customWidth="1"/>
    <col min="12291" max="12291" width="70.7109375" style="65" customWidth="1"/>
    <col min="12292" max="12543" width="8.85546875" style="65"/>
    <col min="12544" max="12544" width="11.7109375" style="65" customWidth="1"/>
    <col min="12545" max="12545" width="87" style="65" customWidth="1"/>
    <col min="12546" max="12546" width="70.5703125" style="65" customWidth="1"/>
    <col min="12547" max="12547" width="70.7109375" style="65" customWidth="1"/>
    <col min="12548" max="12799" width="8.85546875" style="65"/>
    <col min="12800" max="12800" width="11.7109375" style="65" customWidth="1"/>
    <col min="12801" max="12801" width="87" style="65" customWidth="1"/>
    <col min="12802" max="12802" width="70.5703125" style="65" customWidth="1"/>
    <col min="12803" max="12803" width="70.7109375" style="65" customWidth="1"/>
    <col min="12804" max="13055" width="8.85546875" style="65"/>
    <col min="13056" max="13056" width="11.7109375" style="65" customWidth="1"/>
    <col min="13057" max="13057" width="87" style="65" customWidth="1"/>
    <col min="13058" max="13058" width="70.5703125" style="65" customWidth="1"/>
    <col min="13059" max="13059" width="70.7109375" style="65" customWidth="1"/>
    <col min="13060" max="13311" width="8.85546875" style="65"/>
    <col min="13312" max="13312" width="11.7109375" style="65" customWidth="1"/>
    <col min="13313" max="13313" width="87" style="65" customWidth="1"/>
    <col min="13314" max="13314" width="70.5703125" style="65" customWidth="1"/>
    <col min="13315" max="13315" width="70.7109375" style="65" customWidth="1"/>
    <col min="13316" max="13567" width="8.85546875" style="65"/>
    <col min="13568" max="13568" width="11.7109375" style="65" customWidth="1"/>
    <col min="13569" max="13569" width="87" style="65" customWidth="1"/>
    <col min="13570" max="13570" width="70.5703125" style="65" customWidth="1"/>
    <col min="13571" max="13571" width="70.7109375" style="65" customWidth="1"/>
    <col min="13572" max="13823" width="8.85546875" style="65"/>
    <col min="13824" max="13824" width="11.7109375" style="65" customWidth="1"/>
    <col min="13825" max="13825" width="87" style="65" customWidth="1"/>
    <col min="13826" max="13826" width="70.5703125" style="65" customWidth="1"/>
    <col min="13827" max="13827" width="70.7109375" style="65" customWidth="1"/>
    <col min="13828" max="14079" width="8.85546875" style="65"/>
    <col min="14080" max="14080" width="11.7109375" style="65" customWidth="1"/>
    <col min="14081" max="14081" width="87" style="65" customWidth="1"/>
    <col min="14082" max="14082" width="70.5703125" style="65" customWidth="1"/>
    <col min="14083" max="14083" width="70.7109375" style="65" customWidth="1"/>
    <col min="14084" max="14335" width="8.85546875" style="65"/>
    <col min="14336" max="14336" width="11.7109375" style="65" customWidth="1"/>
    <col min="14337" max="14337" width="87" style="65" customWidth="1"/>
    <col min="14338" max="14338" width="70.5703125" style="65" customWidth="1"/>
    <col min="14339" max="14339" width="70.7109375" style="65" customWidth="1"/>
    <col min="14340" max="14591" width="8.85546875" style="65"/>
    <col min="14592" max="14592" width="11.7109375" style="65" customWidth="1"/>
    <col min="14593" max="14593" width="87" style="65" customWidth="1"/>
    <col min="14594" max="14594" width="70.5703125" style="65" customWidth="1"/>
    <col min="14595" max="14595" width="70.7109375" style="65" customWidth="1"/>
    <col min="14596" max="14847" width="8.85546875" style="65"/>
    <col min="14848" max="14848" width="11.7109375" style="65" customWidth="1"/>
    <col min="14849" max="14849" width="87" style="65" customWidth="1"/>
    <col min="14850" max="14850" width="70.5703125" style="65" customWidth="1"/>
    <col min="14851" max="14851" width="70.7109375" style="65" customWidth="1"/>
    <col min="14852" max="15103" width="8.85546875" style="65"/>
    <col min="15104" max="15104" width="11.7109375" style="65" customWidth="1"/>
    <col min="15105" max="15105" width="87" style="65" customWidth="1"/>
    <col min="15106" max="15106" width="70.5703125" style="65" customWidth="1"/>
    <col min="15107" max="15107" width="70.7109375" style="65" customWidth="1"/>
    <col min="15108" max="15359" width="8.85546875" style="65"/>
    <col min="15360" max="15360" width="11.7109375" style="65" customWidth="1"/>
    <col min="15361" max="15361" width="87" style="65" customWidth="1"/>
    <col min="15362" max="15362" width="70.5703125" style="65" customWidth="1"/>
    <col min="15363" max="15363" width="70.7109375" style="65" customWidth="1"/>
    <col min="15364" max="15615" width="8.85546875" style="65"/>
    <col min="15616" max="15616" width="11.7109375" style="65" customWidth="1"/>
    <col min="15617" max="15617" width="87" style="65" customWidth="1"/>
    <col min="15618" max="15618" width="70.5703125" style="65" customWidth="1"/>
    <col min="15619" max="15619" width="70.7109375" style="65" customWidth="1"/>
    <col min="15620" max="15871" width="8.85546875" style="65"/>
    <col min="15872" max="15872" width="11.7109375" style="65" customWidth="1"/>
    <col min="15873" max="15873" width="87" style="65" customWidth="1"/>
    <col min="15874" max="15874" width="70.5703125" style="65" customWidth="1"/>
    <col min="15875" max="15875" width="70.7109375" style="65" customWidth="1"/>
    <col min="15876" max="16127" width="8.85546875" style="65"/>
    <col min="16128" max="16128" width="11.7109375" style="65" customWidth="1"/>
    <col min="16129" max="16129" width="87" style="65" customWidth="1"/>
    <col min="16130" max="16130" width="70.5703125" style="65" customWidth="1"/>
    <col min="16131" max="16131" width="70.7109375" style="65" customWidth="1"/>
    <col min="16132" max="16384" width="8.85546875" style="65"/>
  </cols>
  <sheetData>
    <row r="1" spans="1:24" s="62" customFormat="1" ht="20.100000000000001" customHeight="1" x14ac:dyDescent="0.2">
      <c r="A1" s="59"/>
      <c r="B1" s="60"/>
      <c r="C1" s="61"/>
    </row>
    <row r="2" spans="1:24" s="62" customFormat="1" ht="20.100000000000001" customHeight="1" x14ac:dyDescent="0.2">
      <c r="A2" s="59"/>
      <c r="B2" s="60"/>
      <c r="C2" s="61"/>
    </row>
    <row r="3" spans="1:24" s="66" customFormat="1" ht="108.75" customHeight="1" thickBot="1" x14ac:dyDescent="0.3">
      <c r="A3" s="63"/>
      <c r="B3" s="63"/>
      <c r="C3" s="64"/>
      <c r="D3" s="65"/>
      <c r="E3" s="65"/>
      <c r="F3" s="65"/>
      <c r="G3" s="65"/>
      <c r="H3" s="65"/>
      <c r="I3" s="65"/>
      <c r="J3" s="65"/>
      <c r="K3" s="65"/>
      <c r="L3" s="65"/>
      <c r="M3" s="65"/>
      <c r="N3" s="65"/>
      <c r="O3" s="65"/>
      <c r="P3" s="65"/>
      <c r="Q3" s="65"/>
      <c r="R3" s="65"/>
      <c r="S3" s="65"/>
      <c r="T3" s="65"/>
      <c r="U3" s="65"/>
      <c r="V3" s="65"/>
      <c r="W3" s="65"/>
      <c r="X3" s="65"/>
    </row>
    <row r="4" spans="1:24" ht="14.25" customHeight="1" x14ac:dyDescent="0.25">
      <c r="A4" s="67"/>
      <c r="B4" s="67"/>
      <c r="C4" s="68"/>
    </row>
    <row r="5" spans="1:24" s="72" customFormat="1" ht="32.25" customHeight="1" x14ac:dyDescent="0.45">
      <c r="A5" s="69"/>
      <c r="B5" s="70" t="s">
        <v>455</v>
      </c>
      <c r="C5" s="71"/>
    </row>
    <row r="6" spans="1:24" s="73" customFormat="1" ht="42.75" customHeight="1" x14ac:dyDescent="0.4">
      <c r="A6" s="20" t="s">
        <v>6</v>
      </c>
      <c r="B6" s="20" t="s">
        <v>0</v>
      </c>
      <c r="C6" s="32" t="s">
        <v>1</v>
      </c>
    </row>
    <row r="7" spans="1:24" s="73" customFormat="1" ht="27.75" x14ac:dyDescent="0.4">
      <c r="A7" s="74">
        <v>1</v>
      </c>
      <c r="B7" s="31" t="s">
        <v>46</v>
      </c>
      <c r="C7" s="110">
        <f>'SWEIHAN-Bill 01'!F49</f>
        <v>1060736.6327278754</v>
      </c>
      <c r="F7" s="75"/>
    </row>
    <row r="8" spans="1:24" s="73" customFormat="1" ht="27.75" x14ac:dyDescent="0.4">
      <c r="A8" s="34">
        <v>2</v>
      </c>
      <c r="B8" s="31" t="s">
        <v>47</v>
      </c>
      <c r="C8" s="110">
        <f>'SWEIHAN-Bill 02'!F119</f>
        <v>4633003.2638354069</v>
      </c>
      <c r="F8" s="75"/>
    </row>
    <row r="9" spans="1:24" s="73" customFormat="1" ht="27.75" x14ac:dyDescent="0.4">
      <c r="A9" s="74">
        <v>3</v>
      </c>
      <c r="B9" s="31" t="s">
        <v>49</v>
      </c>
      <c r="C9" s="110">
        <f>'SWEIHAN-Bill 03'!F119</f>
        <v>2457049.4518849109</v>
      </c>
      <c r="F9" s="75"/>
    </row>
    <row r="10" spans="1:24" s="73" customFormat="1" ht="27.75" x14ac:dyDescent="0.4">
      <c r="A10" s="34">
        <v>4</v>
      </c>
      <c r="B10" s="31" t="s">
        <v>50</v>
      </c>
      <c r="C10" s="110">
        <f>'SWEIHAN-Bill 04'!F46</f>
        <v>423263.15852677356</v>
      </c>
    </row>
    <row r="11" spans="1:24" s="73" customFormat="1" ht="27.75" x14ac:dyDescent="0.4">
      <c r="A11" s="74">
        <v>5</v>
      </c>
      <c r="B11" s="31" t="s">
        <v>51</v>
      </c>
      <c r="C11" s="110">
        <f>'SWEIHAN-Bill 05'!F44</f>
        <v>3958204.2159145349</v>
      </c>
      <c r="F11" s="75"/>
    </row>
    <row r="12" spans="1:24" s="73" customFormat="1" ht="28.5" customHeight="1" x14ac:dyDescent="0.4">
      <c r="A12" s="76"/>
      <c r="B12" s="77"/>
      <c r="C12" s="111"/>
    </row>
    <row r="13" spans="1:24" s="73" customFormat="1" ht="27.75" x14ac:dyDescent="0.4">
      <c r="A13" s="76"/>
      <c r="B13" s="25" t="s">
        <v>2</v>
      </c>
      <c r="C13" s="111">
        <f>SUM(C7:C11)</f>
        <v>12532256.7228895</v>
      </c>
      <c r="D13" s="26"/>
      <c r="E13" s="26"/>
      <c r="F13" s="35"/>
      <c r="G13" s="78"/>
    </row>
    <row r="14" spans="1:24" s="73" customFormat="1" ht="27.75" x14ac:dyDescent="0.4">
      <c r="A14" s="76"/>
      <c r="B14" s="27" t="s">
        <v>3</v>
      </c>
      <c r="C14" s="110">
        <f>C13*0.05</f>
        <v>626612.83614447503</v>
      </c>
      <c r="D14" s="26"/>
      <c r="E14" s="26"/>
      <c r="F14" s="26"/>
      <c r="G14" s="78"/>
      <c r="H14" s="75"/>
    </row>
    <row r="15" spans="1:24" s="73" customFormat="1" ht="27.75" x14ac:dyDescent="0.4">
      <c r="A15" s="76"/>
      <c r="B15" s="28" t="s">
        <v>4</v>
      </c>
      <c r="C15" s="113">
        <f>SUM(C13:C14)</f>
        <v>13158869.559033975</v>
      </c>
      <c r="D15" s="26"/>
      <c r="E15" s="26"/>
      <c r="F15" s="26"/>
      <c r="G15" s="78"/>
    </row>
    <row r="16" spans="1:24" s="73" customFormat="1" ht="12" customHeight="1" x14ac:dyDescent="0.4">
      <c r="A16" s="76"/>
      <c r="B16" s="26"/>
      <c r="C16" s="112"/>
      <c r="D16" s="26"/>
      <c r="E16" s="26"/>
      <c r="F16" s="26"/>
      <c r="G16" s="26"/>
    </row>
    <row r="17" spans="1:7" s="73" customFormat="1" ht="12" customHeight="1" x14ac:dyDescent="0.4">
      <c r="A17" s="76"/>
      <c r="B17" s="26"/>
      <c r="C17" s="112"/>
      <c r="D17" s="26"/>
      <c r="E17" s="26"/>
      <c r="F17" s="26"/>
      <c r="G17" s="26"/>
    </row>
    <row r="18" spans="1:7" s="73" customFormat="1" ht="37.5" customHeight="1" x14ac:dyDescent="0.4">
      <c r="A18" s="80"/>
      <c r="B18" s="30" t="s">
        <v>7</v>
      </c>
      <c r="C18" s="270" t="s">
        <v>739</v>
      </c>
      <c r="D18" s="26"/>
      <c r="E18" s="26"/>
      <c r="F18" s="26"/>
      <c r="G18" s="26"/>
    </row>
    <row r="19" spans="1:7" s="73" customFormat="1" ht="37.5" customHeight="1" x14ac:dyDescent="0.4">
      <c r="A19" s="80"/>
      <c r="B19" s="30" t="s">
        <v>8</v>
      </c>
      <c r="C19" s="266" t="s">
        <v>740</v>
      </c>
      <c r="D19" s="26"/>
      <c r="E19" s="26"/>
      <c r="F19" s="26"/>
      <c r="G19" s="26"/>
    </row>
    <row r="20" spans="1:7" s="73" customFormat="1" ht="37.5" customHeight="1" x14ac:dyDescent="0.4">
      <c r="A20" s="80"/>
      <c r="B20" s="30" t="s">
        <v>5</v>
      </c>
      <c r="C20" s="269" t="s">
        <v>741</v>
      </c>
      <c r="D20" s="26"/>
      <c r="E20" s="26"/>
      <c r="F20" s="26"/>
      <c r="G20" s="26"/>
    </row>
    <row r="21" spans="1:7" ht="23.25" x14ac:dyDescent="0.35">
      <c r="A21" s="81"/>
      <c r="B21" s="82"/>
      <c r="C21" s="83"/>
    </row>
    <row r="22" spans="1:7" ht="23.25" x14ac:dyDescent="0.35">
      <c r="A22" s="81"/>
      <c r="B22" s="82"/>
      <c r="C22" s="83"/>
    </row>
  </sheetData>
  <sheetProtection formatCells="0" formatColumns="0" formatRows="0" insertColumns="0" insertRows="0" insertHyperlinks="0" deleteColumns="0" deleteRows="0" sort="0" autoFilter="0" pivotTables="0"/>
  <pageMargins left="0.47244094488188981" right="0.47244094488188981" top="0.74803149606299213" bottom="0.74803149606299213" header="0.31496062992125984" footer="0.31496062992125984"/>
  <pageSetup paperSize="9" scale="65" fitToHeight="0" orientation="landscape" r:id="rId1"/>
  <headerFooter>
    <oddFooter>&amp;C&amp;"Arial,Bold"&amp;16&amp;P/&amp;N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F82A-3803-4A47-9022-CF2ABB529E10}">
  <dimension ref="A1:F197"/>
  <sheetViews>
    <sheetView view="pageBreakPreview" topLeftCell="J1" zoomScale="40" zoomScaleNormal="100" zoomScaleSheetLayoutView="40" workbookViewId="0">
      <selection activeCell="C3" sqref="C3"/>
    </sheetView>
  </sheetViews>
  <sheetFormatPr defaultColWidth="9.140625" defaultRowHeight="15" x14ac:dyDescent="0.2"/>
  <cols>
    <col min="1" max="1" width="8.85546875" style="88" bestFit="1" customWidth="1"/>
    <col min="2" max="2" width="71" style="86" customWidth="1"/>
    <col min="3" max="3" width="13.28515625" style="88" customWidth="1"/>
    <col min="4" max="4" width="14.28515625" style="88" customWidth="1"/>
    <col min="5" max="5" width="15.5703125" style="125" customWidth="1"/>
    <col min="6" max="6" width="18.5703125" style="109" customWidth="1"/>
    <col min="7" max="16384" width="9.140625" style="90"/>
  </cols>
  <sheetData>
    <row r="1" spans="1:6" x14ac:dyDescent="0.2">
      <c r="A1" s="86"/>
      <c r="B1" s="87"/>
      <c r="E1" s="123"/>
      <c r="F1" s="89"/>
    </row>
    <row r="2" spans="1:6" x14ac:dyDescent="0.2">
      <c r="A2" s="86"/>
      <c r="B2" s="87"/>
      <c r="E2" s="123"/>
      <c r="F2" s="89"/>
    </row>
    <row r="3" spans="1:6" ht="12" customHeight="1" thickBot="1" x14ac:dyDescent="0.25">
      <c r="A3" s="86"/>
      <c r="B3" s="273"/>
      <c r="C3" s="274"/>
      <c r="E3" s="123"/>
      <c r="F3" s="89"/>
    </row>
    <row r="4" spans="1:6" ht="33.950000000000003" customHeight="1" x14ac:dyDescent="0.2">
      <c r="A4" s="86"/>
      <c r="B4" s="87"/>
      <c r="E4" s="123"/>
      <c r="F4" s="89"/>
    </row>
    <row r="5" spans="1:6" s="95" customFormat="1" ht="15.75" x14ac:dyDescent="0.2">
      <c r="A5" s="91"/>
      <c r="B5" s="92" t="s">
        <v>52</v>
      </c>
      <c r="C5" s="93"/>
      <c r="D5" s="93"/>
      <c r="E5" s="124"/>
      <c r="F5" s="94"/>
    </row>
    <row r="6" spans="1:6" s="100" customFormat="1" ht="63" x14ac:dyDescent="0.2">
      <c r="A6" s="96" t="s">
        <v>14</v>
      </c>
      <c r="B6" s="97" t="s">
        <v>0</v>
      </c>
      <c r="C6" s="96" t="s">
        <v>15</v>
      </c>
      <c r="D6" s="98" t="s">
        <v>16</v>
      </c>
      <c r="E6" s="99" t="s">
        <v>17</v>
      </c>
      <c r="F6" s="99" t="s">
        <v>320</v>
      </c>
    </row>
    <row r="7" spans="1:6" s="100" customFormat="1" ht="15.75" x14ac:dyDescent="0.2">
      <c r="A7" s="169"/>
      <c r="B7" s="170" t="s">
        <v>54</v>
      </c>
      <c r="C7" s="169"/>
      <c r="D7" s="171"/>
      <c r="E7" s="226"/>
      <c r="F7" s="226"/>
    </row>
    <row r="8" spans="1:6" s="100" customFormat="1" ht="36.6" customHeight="1" x14ac:dyDescent="0.2">
      <c r="A8" s="172">
        <v>1.0009999999999999</v>
      </c>
      <c r="B8" s="173" t="s">
        <v>55</v>
      </c>
      <c r="C8" s="172" t="s">
        <v>659</v>
      </c>
      <c r="D8" s="174">
        <v>1</v>
      </c>
      <c r="E8" s="224">
        <v>6102.4579596432322</v>
      </c>
      <c r="F8" s="224">
        <f>$D8*E8</f>
        <v>6102.4579596432322</v>
      </c>
    </row>
    <row r="9" spans="1:6" s="100" customFormat="1" ht="15.75" x14ac:dyDescent="0.2">
      <c r="A9" s="172"/>
      <c r="B9" s="170" t="s">
        <v>57</v>
      </c>
      <c r="C9" s="172"/>
      <c r="D9" s="174"/>
      <c r="E9" s="224"/>
      <c r="F9" s="224"/>
    </row>
    <row r="10" spans="1:6" s="100" customFormat="1" ht="30" x14ac:dyDescent="0.2">
      <c r="A10" s="172">
        <v>1.0019999999999998</v>
      </c>
      <c r="B10" s="173" t="s">
        <v>58</v>
      </c>
      <c r="C10" s="172" t="s">
        <v>659</v>
      </c>
      <c r="D10" s="174">
        <v>1</v>
      </c>
      <c r="E10" s="224">
        <v>225.86714555665955</v>
      </c>
      <c r="F10" s="224">
        <f>$D10*E10</f>
        <v>225.86714555665955</v>
      </c>
    </row>
    <row r="11" spans="1:6" s="100" customFormat="1" ht="15.75" x14ac:dyDescent="0.2">
      <c r="A11" s="169"/>
      <c r="B11" s="170" t="s">
        <v>59</v>
      </c>
      <c r="C11" s="169"/>
      <c r="D11" s="171"/>
      <c r="E11" s="226"/>
      <c r="F11" s="226"/>
    </row>
    <row r="12" spans="1:6" s="104" customFormat="1" ht="15.75" x14ac:dyDescent="0.25">
      <c r="A12" s="172"/>
      <c r="B12" s="170" t="s">
        <v>60</v>
      </c>
      <c r="C12" s="172"/>
      <c r="D12" s="172"/>
      <c r="E12" s="223"/>
      <c r="F12" s="223"/>
    </row>
    <row r="13" spans="1:6" s="104" customFormat="1" ht="56.45" customHeight="1" x14ac:dyDescent="0.25">
      <c r="A13" s="211"/>
      <c r="B13" s="212" t="s">
        <v>718</v>
      </c>
      <c r="C13" s="211"/>
      <c r="D13" s="219"/>
      <c r="E13" s="223"/>
      <c r="F13" s="224"/>
    </row>
    <row r="14" spans="1:6" s="100" customFormat="1" x14ac:dyDescent="0.2">
      <c r="A14" s="211">
        <f>MAX(A7:A13)+0.001</f>
        <v>1.0029999999999997</v>
      </c>
      <c r="B14" s="212" t="s">
        <v>652</v>
      </c>
      <c r="C14" s="211" t="s">
        <v>659</v>
      </c>
      <c r="D14" s="219">
        <v>1</v>
      </c>
      <c r="E14" s="224">
        <v>85426.684504270568</v>
      </c>
      <c r="F14" s="224">
        <f>$D14*E14</f>
        <v>85426.684504270568</v>
      </c>
    </row>
    <row r="15" spans="1:6" s="100" customFormat="1" x14ac:dyDescent="0.2">
      <c r="A15" s="211" t="s">
        <v>696</v>
      </c>
      <c r="B15" s="212" t="s">
        <v>668</v>
      </c>
      <c r="C15" s="211" t="s">
        <v>659</v>
      </c>
      <c r="D15" s="219">
        <v>1</v>
      </c>
      <c r="E15" s="224">
        <v>85426.684504270568</v>
      </c>
      <c r="F15" s="224">
        <f>$D15*E15</f>
        <v>85426.684504270568</v>
      </c>
    </row>
    <row r="16" spans="1:6" s="100" customFormat="1" ht="15.75" x14ac:dyDescent="0.2">
      <c r="A16" s="172"/>
      <c r="B16" s="170" t="s">
        <v>56</v>
      </c>
      <c r="C16" s="172"/>
      <c r="D16" s="174"/>
      <c r="E16" s="224"/>
      <c r="F16" s="224"/>
    </row>
    <row r="17" spans="1:6" s="100" customFormat="1" ht="40.15" customHeight="1" x14ac:dyDescent="0.2">
      <c r="A17" s="172">
        <f>MAX(A8:A16)+0.001</f>
        <v>1.0039999999999996</v>
      </c>
      <c r="B17" s="173" t="s">
        <v>55</v>
      </c>
      <c r="C17" s="172" t="s">
        <v>659</v>
      </c>
      <c r="D17" s="174">
        <v>1</v>
      </c>
      <c r="E17" s="224">
        <v>2480.2767139537459</v>
      </c>
      <c r="F17" s="224">
        <f>$D17*E17</f>
        <v>2480.2767139537459</v>
      </c>
    </row>
    <row r="18" spans="1:6" s="104" customFormat="1" ht="15.75" x14ac:dyDescent="0.25">
      <c r="A18" s="172"/>
      <c r="B18" s="170" t="s">
        <v>456</v>
      </c>
      <c r="C18" s="172"/>
      <c r="D18" s="174"/>
      <c r="E18" s="224"/>
      <c r="F18" s="224"/>
    </row>
    <row r="19" spans="1:6" s="104" customFormat="1" ht="30" x14ac:dyDescent="0.25">
      <c r="A19" s="172">
        <f>MAX(A10:A18)+0.001</f>
        <v>1.0049999999999994</v>
      </c>
      <c r="B19" s="173" t="s">
        <v>680</v>
      </c>
      <c r="C19" s="172" t="s">
        <v>659</v>
      </c>
      <c r="D19" s="174">
        <v>1</v>
      </c>
      <c r="E19" s="224">
        <v>225.86714555665955</v>
      </c>
      <c r="F19" s="224">
        <f>$D19*E19</f>
        <v>225.86714555665955</v>
      </c>
    </row>
    <row r="20" spans="1:6" s="104" customFormat="1" ht="15.75" x14ac:dyDescent="0.25">
      <c r="A20" s="169"/>
      <c r="B20" s="170" t="s">
        <v>62</v>
      </c>
      <c r="C20" s="169"/>
      <c r="D20" s="169"/>
      <c r="E20" s="225"/>
      <c r="F20" s="225"/>
    </row>
    <row r="21" spans="1:6" s="104" customFormat="1" ht="30" x14ac:dyDescent="0.25">
      <c r="A21" s="172">
        <f>MAX(A12:A20)+0.001</f>
        <v>1.0059999999999993</v>
      </c>
      <c r="B21" s="173" t="s">
        <v>368</v>
      </c>
      <c r="C21" s="172" t="s">
        <v>659</v>
      </c>
      <c r="D21" s="172">
        <v>1</v>
      </c>
      <c r="E21" s="224">
        <v>66881.267850928329</v>
      </c>
      <c r="F21" s="224">
        <f>$D21*E21</f>
        <v>66881.267850928329</v>
      </c>
    </row>
    <row r="22" spans="1:6" s="104" customFormat="1" ht="15.75" x14ac:dyDescent="0.25">
      <c r="A22" s="169"/>
      <c r="B22" s="170" t="s">
        <v>457</v>
      </c>
      <c r="C22" s="169"/>
      <c r="D22" s="169"/>
      <c r="E22" s="225"/>
      <c r="F22" s="225"/>
    </row>
    <row r="23" spans="1:6" s="104" customFormat="1" ht="30" x14ac:dyDescent="0.25">
      <c r="A23" s="172">
        <f>MAX(A14:A22)+0.001</f>
        <v>1.0069999999999992</v>
      </c>
      <c r="B23" s="173" t="s">
        <v>370</v>
      </c>
      <c r="C23" s="172" t="s">
        <v>659</v>
      </c>
      <c r="D23" s="172">
        <v>1</v>
      </c>
      <c r="E23" s="224">
        <v>6584.9530471172147</v>
      </c>
      <c r="F23" s="224">
        <f>$D23*E23</f>
        <v>6584.9530471172147</v>
      </c>
    </row>
    <row r="24" spans="1:6" s="104" customFormat="1" ht="15.75" x14ac:dyDescent="0.25">
      <c r="A24" s="169"/>
      <c r="B24" s="170" t="s">
        <v>66</v>
      </c>
      <c r="C24" s="169"/>
      <c r="D24" s="169"/>
      <c r="E24" s="225"/>
      <c r="F24" s="225"/>
    </row>
    <row r="25" spans="1:6" s="104" customFormat="1" ht="30" x14ac:dyDescent="0.25">
      <c r="A25" s="172">
        <f>MAX(A16:A24)+0.001</f>
        <v>1.0079999999999991</v>
      </c>
      <c r="B25" s="173" t="s">
        <v>67</v>
      </c>
      <c r="C25" s="172" t="s">
        <v>659</v>
      </c>
      <c r="D25" s="172">
        <v>1</v>
      </c>
      <c r="E25" s="224">
        <v>8268.1150158054425</v>
      </c>
      <c r="F25" s="224">
        <f>$D25*E25</f>
        <v>8268.1150158054425</v>
      </c>
    </row>
    <row r="26" spans="1:6" s="104" customFormat="1" ht="30" x14ac:dyDescent="0.25">
      <c r="A26" s="172">
        <f>MAX(A17:A25)+0.001</f>
        <v>1.008999999999999</v>
      </c>
      <c r="B26" s="173" t="s">
        <v>68</v>
      </c>
      <c r="C26" s="172" t="s">
        <v>659</v>
      </c>
      <c r="D26" s="172">
        <v>1</v>
      </c>
      <c r="E26" s="224">
        <v>5586.8172199077044</v>
      </c>
      <c r="F26" s="224">
        <f>$D26*E26</f>
        <v>5586.8172199077044</v>
      </c>
    </row>
    <row r="27" spans="1:6" s="104" customFormat="1" ht="45" x14ac:dyDescent="0.25">
      <c r="A27" s="172">
        <f>MAX(A18:A26)+0.001</f>
        <v>1.0099999999999989</v>
      </c>
      <c r="B27" s="173" t="s">
        <v>371</v>
      </c>
      <c r="C27" s="172" t="s">
        <v>659</v>
      </c>
      <c r="D27" s="172">
        <v>1</v>
      </c>
      <c r="E27" s="224">
        <v>60811.993439034399</v>
      </c>
      <c r="F27" s="224">
        <f>$D27*E27</f>
        <v>60811.993439034399</v>
      </c>
    </row>
    <row r="28" spans="1:6" s="104" customFormat="1" ht="38.450000000000003" customHeight="1" x14ac:dyDescent="0.25">
      <c r="A28" s="172">
        <f>MAX(A19:A27)+0.001</f>
        <v>1.0109999999999988</v>
      </c>
      <c r="B28" s="173" t="s">
        <v>70</v>
      </c>
      <c r="C28" s="172" t="s">
        <v>659</v>
      </c>
      <c r="D28" s="172">
        <v>1</v>
      </c>
      <c r="E28" s="224">
        <v>39941.599755190757</v>
      </c>
      <c r="F28" s="224">
        <f>$D28*E28</f>
        <v>39941.599755190757</v>
      </c>
    </row>
    <row r="29" spans="1:6" s="104" customFormat="1" ht="15.75" x14ac:dyDescent="0.25">
      <c r="A29" s="169"/>
      <c r="B29" s="170" t="s">
        <v>75</v>
      </c>
      <c r="C29" s="169"/>
      <c r="D29" s="169"/>
      <c r="E29" s="225"/>
      <c r="F29" s="225"/>
    </row>
    <row r="30" spans="1:6" s="104" customFormat="1" ht="22.15" customHeight="1" x14ac:dyDescent="0.25">
      <c r="A30" s="172">
        <f>MAX(A21:A29)+0.001</f>
        <v>1.0119999999999987</v>
      </c>
      <c r="B30" s="173" t="s">
        <v>76</v>
      </c>
      <c r="C30" s="172" t="s">
        <v>659</v>
      </c>
      <c r="D30" s="172">
        <v>1</v>
      </c>
      <c r="E30" s="224">
        <v>451.7342911133191</v>
      </c>
      <c r="F30" s="224">
        <f>$D30*E30</f>
        <v>451.7342911133191</v>
      </c>
    </row>
    <row r="31" spans="1:6" s="104" customFormat="1" ht="15.75" x14ac:dyDescent="0.25">
      <c r="A31" s="172"/>
      <c r="B31" s="170" t="s">
        <v>653</v>
      </c>
      <c r="C31" s="172"/>
      <c r="D31" s="172"/>
      <c r="E31" s="223"/>
      <c r="F31" s="223"/>
    </row>
    <row r="32" spans="1:6" s="104" customFormat="1" ht="64.900000000000006" customHeight="1" x14ac:dyDescent="0.25">
      <c r="A32" s="172">
        <f>MAX(A23:A31)+0.001</f>
        <v>1.0129999999999986</v>
      </c>
      <c r="B32" s="173" t="s">
        <v>78</v>
      </c>
      <c r="C32" s="172" t="s">
        <v>659</v>
      </c>
      <c r="D32" s="172">
        <v>1</v>
      </c>
      <c r="E32" s="224">
        <v>32123.327368058246</v>
      </c>
      <c r="F32" s="224">
        <f>$D32*E32</f>
        <v>32123.327368058246</v>
      </c>
    </row>
    <row r="33" spans="1:6" s="104" customFormat="1" ht="15.75" x14ac:dyDescent="0.25">
      <c r="A33" s="211"/>
      <c r="B33" s="213" t="s">
        <v>654</v>
      </c>
      <c r="C33" s="211"/>
      <c r="D33" s="211"/>
      <c r="E33" s="223"/>
      <c r="F33" s="223"/>
    </row>
    <row r="34" spans="1:6" s="104" customFormat="1" ht="125.45" customHeight="1" x14ac:dyDescent="0.25">
      <c r="A34" s="211" t="s">
        <v>697</v>
      </c>
      <c r="B34" s="212" t="s">
        <v>655</v>
      </c>
      <c r="C34" s="211" t="s">
        <v>659</v>
      </c>
      <c r="D34" s="211">
        <v>1</v>
      </c>
      <c r="E34" s="224">
        <v>45605.275850471662</v>
      </c>
      <c r="F34" s="224">
        <f>$D34*E34</f>
        <v>45605.275850471662</v>
      </c>
    </row>
    <row r="35" spans="1:6" s="104" customFormat="1" ht="15.75" x14ac:dyDescent="0.25">
      <c r="A35" s="214"/>
      <c r="B35" s="213" t="s">
        <v>80</v>
      </c>
      <c r="C35" s="214"/>
      <c r="D35" s="169"/>
      <c r="E35" s="223"/>
      <c r="F35" s="225"/>
    </row>
    <row r="36" spans="1:6" s="104" customFormat="1" ht="41.45" customHeight="1" x14ac:dyDescent="0.25">
      <c r="A36" s="211">
        <f>MAX(A27:A35)+0.001</f>
        <v>1.0139999999999985</v>
      </c>
      <c r="B36" s="212" t="s">
        <v>681</v>
      </c>
      <c r="C36" s="211" t="s">
        <v>659</v>
      </c>
      <c r="D36" s="172">
        <v>1</v>
      </c>
      <c r="E36" s="224">
        <v>124228.93776412324</v>
      </c>
      <c r="F36" s="224">
        <f>$D36*E36</f>
        <v>124228.93776412324</v>
      </c>
    </row>
    <row r="37" spans="1:6" s="104" customFormat="1" ht="15.75" x14ac:dyDescent="0.25">
      <c r="A37" s="169"/>
      <c r="B37" s="170" t="s">
        <v>82</v>
      </c>
      <c r="C37" s="169"/>
      <c r="D37" s="169"/>
      <c r="E37" s="223"/>
      <c r="F37" s="223"/>
    </row>
    <row r="38" spans="1:6" s="104" customFormat="1" ht="30" x14ac:dyDescent="0.25">
      <c r="A38" s="172">
        <f>MAX(A29:A37)+0.001</f>
        <v>1.0149999999999983</v>
      </c>
      <c r="B38" s="173" t="s">
        <v>83</v>
      </c>
      <c r="C38" s="172" t="s">
        <v>659</v>
      </c>
      <c r="D38" s="172">
        <v>1</v>
      </c>
      <c r="E38" s="224">
        <v>3642.775284998002</v>
      </c>
      <c r="F38" s="224">
        <f>$D38*E38</f>
        <v>3642.775284998002</v>
      </c>
    </row>
    <row r="39" spans="1:6" s="104" customFormat="1" ht="15.75" x14ac:dyDescent="0.25">
      <c r="A39" s="172"/>
      <c r="B39" s="170" t="s">
        <v>84</v>
      </c>
      <c r="C39" s="172"/>
      <c r="D39" s="172"/>
      <c r="E39" s="223"/>
      <c r="F39" s="223"/>
    </row>
    <row r="40" spans="1:6" s="104" customFormat="1" ht="45" x14ac:dyDescent="0.25">
      <c r="A40" s="172">
        <f>MAX(A31:A39)+0.001</f>
        <v>1.0159999999999982</v>
      </c>
      <c r="B40" s="173" t="s">
        <v>85</v>
      </c>
      <c r="C40" s="172" t="s">
        <v>659</v>
      </c>
      <c r="D40" s="172">
        <v>1</v>
      </c>
      <c r="E40" s="224">
        <v>25932.894489838687</v>
      </c>
      <c r="F40" s="224">
        <f>$D40*E40</f>
        <v>25932.894489838687</v>
      </c>
    </row>
    <row r="41" spans="1:6" s="104" customFormat="1" ht="15.75" x14ac:dyDescent="0.25">
      <c r="A41" s="172"/>
      <c r="B41" s="170" t="s">
        <v>372</v>
      </c>
      <c r="C41" s="172"/>
      <c r="D41" s="172"/>
      <c r="E41" s="223"/>
      <c r="F41" s="223"/>
    </row>
    <row r="42" spans="1:6" s="104" customFormat="1" ht="30" x14ac:dyDescent="0.25">
      <c r="A42" s="172">
        <f>MAX(A33:A41)+0.001</f>
        <v>1.0169999999999981</v>
      </c>
      <c r="B42" s="173" t="s">
        <v>458</v>
      </c>
      <c r="C42" s="172" t="s">
        <v>659</v>
      </c>
      <c r="D42" s="172">
        <v>1</v>
      </c>
      <c r="E42" s="224">
        <v>18069.371644532763</v>
      </c>
      <c r="F42" s="224">
        <f>$D42*E42</f>
        <v>18069.371644532763</v>
      </c>
    </row>
    <row r="43" spans="1:6" s="104" customFormat="1" ht="15.75" x14ac:dyDescent="0.25">
      <c r="A43" s="172"/>
      <c r="B43" s="170" t="s">
        <v>374</v>
      </c>
      <c r="C43" s="172"/>
      <c r="D43" s="172"/>
      <c r="E43" s="223"/>
      <c r="F43" s="223"/>
    </row>
    <row r="44" spans="1:6" s="104" customFormat="1" ht="191.45" customHeight="1" x14ac:dyDescent="0.25">
      <c r="A44" s="172"/>
      <c r="B44" s="173" t="s">
        <v>459</v>
      </c>
      <c r="C44" s="172"/>
      <c r="D44" s="172"/>
      <c r="E44" s="223"/>
      <c r="F44" s="223"/>
    </row>
    <row r="45" spans="1:6" s="95" customFormat="1" ht="25.5" customHeight="1" x14ac:dyDescent="0.2">
      <c r="A45" s="172">
        <f>MAX(A36:A44)+0.001</f>
        <v>1.017999999999998</v>
      </c>
      <c r="B45" s="173" t="s">
        <v>460</v>
      </c>
      <c r="C45" s="172" t="s">
        <v>659</v>
      </c>
      <c r="D45" s="172">
        <v>1</v>
      </c>
      <c r="E45" s="224">
        <v>429679.66853003297</v>
      </c>
      <c r="F45" s="224">
        <f>$D45*E45</f>
        <v>429679.66853003297</v>
      </c>
    </row>
    <row r="46" spans="1:6" s="109" customFormat="1" ht="15.75" x14ac:dyDescent="0.2">
      <c r="A46" s="172"/>
      <c r="B46" s="170" t="s">
        <v>323</v>
      </c>
      <c r="C46" s="172"/>
      <c r="D46" s="172"/>
      <c r="E46" s="223"/>
      <c r="F46" s="223"/>
    </row>
    <row r="47" spans="1:6" s="109" customFormat="1" ht="195.6" customHeight="1" x14ac:dyDescent="0.2">
      <c r="A47" s="172"/>
      <c r="B47" s="173" t="s">
        <v>324</v>
      </c>
      <c r="C47" s="172"/>
      <c r="D47" s="172"/>
      <c r="E47" s="223"/>
      <c r="F47" s="223"/>
    </row>
    <row r="48" spans="1:6" s="109" customFormat="1" ht="30" x14ac:dyDescent="0.2">
      <c r="A48" s="172">
        <f>MAX(A39:A47)+0.001</f>
        <v>1.0189999999999979</v>
      </c>
      <c r="B48" s="173" t="s">
        <v>461</v>
      </c>
      <c r="C48" s="172" t="s">
        <v>659</v>
      </c>
      <c r="D48" s="172">
        <v>1</v>
      </c>
      <c r="E48" s="224">
        <v>13040.063203471143</v>
      </c>
      <c r="F48" s="224">
        <f>$D48*E48</f>
        <v>13040.063203471143</v>
      </c>
    </row>
    <row r="49" spans="1:6" s="109" customFormat="1" ht="15.75" x14ac:dyDescent="0.2">
      <c r="A49" s="177"/>
      <c r="B49" s="171" t="s">
        <v>44</v>
      </c>
      <c r="C49" s="174"/>
      <c r="D49" s="178"/>
      <c r="E49" s="227"/>
      <c r="F49" s="225">
        <f>SUM(F8:F48)</f>
        <v>1060736.6327278754</v>
      </c>
    </row>
    <row r="50" spans="1:6" s="109" customFormat="1" x14ac:dyDescent="0.2">
      <c r="A50" s="88"/>
      <c r="B50" s="86"/>
      <c r="C50" s="88"/>
      <c r="D50" s="88"/>
      <c r="E50" s="88"/>
    </row>
    <row r="51" spans="1:6" s="109" customFormat="1" x14ac:dyDescent="0.2">
      <c r="A51" s="88"/>
      <c r="B51" s="86"/>
      <c r="C51" s="88"/>
      <c r="D51" s="88"/>
      <c r="E51" s="105"/>
    </row>
    <row r="52" spans="1:6" s="109" customFormat="1" x14ac:dyDescent="0.2">
      <c r="A52" s="88"/>
      <c r="B52" s="86"/>
      <c r="C52" s="88"/>
      <c r="D52" s="88"/>
      <c r="E52" s="105"/>
    </row>
    <row r="53" spans="1:6" s="109" customFormat="1" x14ac:dyDescent="0.2">
      <c r="A53" s="88"/>
      <c r="B53" s="86"/>
      <c r="C53" s="88"/>
      <c r="D53" s="88"/>
      <c r="E53" s="105"/>
    </row>
    <row r="54" spans="1:6" s="109" customFormat="1" x14ac:dyDescent="0.2">
      <c r="A54" s="88"/>
      <c r="B54" s="86"/>
      <c r="C54" s="88"/>
      <c r="D54" s="88"/>
      <c r="E54" s="105"/>
    </row>
    <row r="55" spans="1:6" s="109" customFormat="1" x14ac:dyDescent="0.2">
      <c r="A55" s="88"/>
      <c r="B55" s="86"/>
      <c r="C55" s="88"/>
      <c r="D55" s="88"/>
      <c r="E55" s="105"/>
    </row>
    <row r="56" spans="1:6" s="109" customFormat="1" x14ac:dyDescent="0.2">
      <c r="A56" s="88"/>
      <c r="B56" s="86"/>
      <c r="C56" s="88"/>
      <c r="D56" s="88"/>
      <c r="E56" s="105"/>
    </row>
    <row r="57" spans="1:6" s="109" customFormat="1" x14ac:dyDescent="0.2">
      <c r="A57" s="88"/>
      <c r="B57" s="86"/>
      <c r="C57" s="88"/>
      <c r="D57" s="88"/>
      <c r="E57" s="105"/>
    </row>
    <row r="58" spans="1:6" s="109" customFormat="1" x14ac:dyDescent="0.2">
      <c r="A58" s="88"/>
      <c r="B58" s="86"/>
      <c r="C58" s="88"/>
      <c r="D58" s="88"/>
      <c r="E58" s="105"/>
    </row>
    <row r="59" spans="1:6" s="109" customFormat="1" x14ac:dyDescent="0.2">
      <c r="A59" s="88"/>
      <c r="B59" s="86"/>
      <c r="C59" s="88"/>
      <c r="D59" s="88"/>
      <c r="E59" s="105"/>
    </row>
    <row r="60" spans="1:6" s="109" customFormat="1" x14ac:dyDescent="0.2">
      <c r="A60" s="88"/>
      <c r="B60" s="86"/>
      <c r="C60" s="88"/>
      <c r="D60" s="88"/>
      <c r="E60" s="105"/>
    </row>
    <row r="61" spans="1:6" s="109" customFormat="1" x14ac:dyDescent="0.2">
      <c r="A61" s="88"/>
      <c r="B61" s="86"/>
      <c r="C61" s="88"/>
      <c r="D61" s="88"/>
      <c r="E61" s="105"/>
    </row>
    <row r="62" spans="1:6" s="109" customFormat="1" x14ac:dyDescent="0.2">
      <c r="A62" s="88"/>
      <c r="B62" s="86"/>
      <c r="C62" s="88"/>
      <c r="D62" s="88"/>
      <c r="E62" s="105"/>
    </row>
    <row r="63" spans="1:6" s="109" customFormat="1" x14ac:dyDescent="0.2">
      <c r="A63" s="88"/>
      <c r="B63" s="86"/>
      <c r="C63" s="88"/>
      <c r="D63" s="88"/>
      <c r="E63" s="105"/>
    </row>
    <row r="64" spans="1:6" s="109" customFormat="1" x14ac:dyDescent="0.2">
      <c r="A64" s="88"/>
      <c r="B64" s="86"/>
      <c r="C64" s="88"/>
      <c r="D64" s="88"/>
      <c r="E64" s="105"/>
    </row>
    <row r="65" spans="1:5" s="109" customFormat="1" x14ac:dyDescent="0.2">
      <c r="A65" s="88"/>
      <c r="B65" s="86"/>
      <c r="C65" s="88"/>
      <c r="D65" s="88"/>
      <c r="E65" s="105"/>
    </row>
    <row r="66" spans="1:5" s="109" customFormat="1" x14ac:dyDescent="0.2">
      <c r="A66" s="88"/>
      <c r="B66" s="86"/>
      <c r="C66" s="88"/>
      <c r="D66" s="88"/>
      <c r="E66" s="105"/>
    </row>
    <row r="67" spans="1:5" s="109" customFormat="1" x14ac:dyDescent="0.2">
      <c r="A67" s="88"/>
      <c r="B67" s="86"/>
      <c r="C67" s="88"/>
      <c r="D67" s="88"/>
      <c r="E67" s="105"/>
    </row>
    <row r="68" spans="1:5" s="109" customFormat="1" x14ac:dyDescent="0.2">
      <c r="A68" s="88"/>
      <c r="B68" s="86"/>
      <c r="C68" s="88"/>
      <c r="D68" s="88"/>
      <c r="E68" s="105"/>
    </row>
    <row r="69" spans="1:5" s="109" customFormat="1" x14ac:dyDescent="0.2">
      <c r="A69" s="88"/>
      <c r="B69" s="86"/>
      <c r="C69" s="88"/>
      <c r="D69" s="88"/>
      <c r="E69" s="105"/>
    </row>
    <row r="70" spans="1:5" s="109" customFormat="1" x14ac:dyDescent="0.2">
      <c r="A70" s="88"/>
      <c r="B70" s="86"/>
      <c r="C70" s="88"/>
      <c r="D70" s="88"/>
      <c r="E70" s="105"/>
    </row>
    <row r="71" spans="1:5" s="109" customFormat="1" x14ac:dyDescent="0.2">
      <c r="A71" s="88"/>
      <c r="B71" s="86"/>
      <c r="C71" s="88"/>
      <c r="D71" s="88"/>
      <c r="E71" s="105"/>
    </row>
    <row r="72" spans="1:5" s="109" customFormat="1" x14ac:dyDescent="0.2">
      <c r="A72" s="88"/>
      <c r="B72" s="86"/>
      <c r="C72" s="88"/>
      <c r="D72" s="88"/>
      <c r="E72" s="105"/>
    </row>
    <row r="73" spans="1:5" s="109" customFormat="1" x14ac:dyDescent="0.2">
      <c r="A73" s="88"/>
      <c r="B73" s="86"/>
      <c r="C73" s="88"/>
      <c r="D73" s="88"/>
      <c r="E73" s="105"/>
    </row>
    <row r="74" spans="1:5" s="109" customFormat="1" x14ac:dyDescent="0.2">
      <c r="A74" s="88"/>
      <c r="B74" s="86"/>
      <c r="C74" s="88"/>
      <c r="D74" s="88"/>
      <c r="E74" s="105"/>
    </row>
    <row r="75" spans="1:5" s="109" customFormat="1" x14ac:dyDescent="0.2">
      <c r="A75" s="88"/>
      <c r="B75" s="86"/>
      <c r="C75" s="88"/>
      <c r="D75" s="88"/>
      <c r="E75" s="105"/>
    </row>
    <row r="76" spans="1:5" s="109" customFormat="1" x14ac:dyDescent="0.2">
      <c r="A76" s="88"/>
      <c r="B76" s="86"/>
      <c r="C76" s="88"/>
      <c r="D76" s="88"/>
      <c r="E76" s="105"/>
    </row>
    <row r="77" spans="1:5" s="109" customFormat="1" x14ac:dyDescent="0.2">
      <c r="A77" s="88"/>
      <c r="B77" s="86"/>
      <c r="C77" s="88"/>
      <c r="D77" s="88"/>
      <c r="E77" s="105"/>
    </row>
    <row r="78" spans="1:5" s="109" customFormat="1" x14ac:dyDescent="0.2">
      <c r="A78" s="88"/>
      <c r="B78" s="86"/>
      <c r="C78" s="88"/>
      <c r="D78" s="88"/>
      <c r="E78" s="105"/>
    </row>
    <row r="79" spans="1:5" s="109" customFormat="1" x14ac:dyDescent="0.2">
      <c r="A79" s="88"/>
      <c r="B79" s="86"/>
      <c r="C79" s="88"/>
      <c r="D79" s="88"/>
      <c r="E79" s="105"/>
    </row>
    <row r="80" spans="1:5" s="109" customFormat="1" x14ac:dyDescent="0.2">
      <c r="A80" s="88"/>
      <c r="B80" s="86"/>
      <c r="C80" s="88"/>
      <c r="D80" s="88"/>
      <c r="E80" s="105"/>
    </row>
    <row r="81" spans="1:5" s="109" customFormat="1" x14ac:dyDescent="0.2">
      <c r="A81" s="88"/>
      <c r="B81" s="86"/>
      <c r="C81" s="88"/>
      <c r="D81" s="88"/>
      <c r="E81" s="105"/>
    </row>
    <row r="82" spans="1:5" s="109" customFormat="1" x14ac:dyDescent="0.2">
      <c r="A82" s="88"/>
      <c r="B82" s="86"/>
      <c r="C82" s="88"/>
      <c r="D82" s="88"/>
      <c r="E82" s="105"/>
    </row>
    <row r="83" spans="1:5" s="109" customFormat="1" x14ac:dyDescent="0.2">
      <c r="A83" s="88"/>
      <c r="B83" s="86"/>
      <c r="C83" s="88"/>
      <c r="D83" s="88"/>
      <c r="E83" s="105"/>
    </row>
    <row r="84" spans="1:5" s="109" customFormat="1" x14ac:dyDescent="0.2">
      <c r="A84" s="88"/>
      <c r="B84" s="86"/>
      <c r="C84" s="88"/>
      <c r="D84" s="88"/>
      <c r="E84" s="105"/>
    </row>
    <row r="85" spans="1:5" s="109" customFormat="1" x14ac:dyDescent="0.2">
      <c r="A85" s="88"/>
      <c r="B85" s="86"/>
      <c r="C85" s="88"/>
      <c r="D85" s="88"/>
      <c r="E85" s="105"/>
    </row>
    <row r="86" spans="1:5" s="109" customFormat="1" x14ac:dyDescent="0.2">
      <c r="A86" s="88"/>
      <c r="B86" s="86"/>
      <c r="C86" s="88"/>
      <c r="D86" s="88"/>
      <c r="E86" s="105"/>
    </row>
    <row r="87" spans="1:5" s="109" customFormat="1" x14ac:dyDescent="0.2">
      <c r="A87" s="88"/>
      <c r="B87" s="86"/>
      <c r="C87" s="88"/>
      <c r="D87" s="88"/>
      <c r="E87" s="105"/>
    </row>
    <row r="88" spans="1:5" s="109" customFormat="1" x14ac:dyDescent="0.2">
      <c r="A88" s="88"/>
      <c r="B88" s="86"/>
      <c r="C88" s="88"/>
      <c r="D88" s="88"/>
      <c r="E88" s="105"/>
    </row>
    <row r="89" spans="1:5" s="109" customFormat="1" x14ac:dyDescent="0.2">
      <c r="A89" s="88"/>
      <c r="B89" s="86"/>
      <c r="C89" s="88"/>
      <c r="D89" s="88"/>
      <c r="E89" s="105"/>
    </row>
    <row r="90" spans="1:5" s="109" customFormat="1" x14ac:dyDescent="0.2">
      <c r="A90" s="88"/>
      <c r="B90" s="86"/>
      <c r="C90" s="88"/>
      <c r="D90" s="88"/>
      <c r="E90" s="105"/>
    </row>
    <row r="91" spans="1:5" s="109" customFormat="1" x14ac:dyDescent="0.2">
      <c r="A91" s="88"/>
      <c r="B91" s="86"/>
      <c r="C91" s="88"/>
      <c r="D91" s="88"/>
      <c r="E91" s="105"/>
    </row>
    <row r="92" spans="1:5" s="109" customFormat="1" x14ac:dyDescent="0.2">
      <c r="A92" s="88"/>
      <c r="B92" s="86"/>
      <c r="C92" s="88"/>
      <c r="D92" s="88"/>
      <c r="E92" s="105"/>
    </row>
    <row r="93" spans="1:5" s="109" customFormat="1" x14ac:dyDescent="0.2">
      <c r="A93" s="88"/>
      <c r="B93" s="86"/>
      <c r="C93" s="88"/>
      <c r="D93" s="88"/>
      <c r="E93" s="105"/>
    </row>
    <row r="94" spans="1:5" s="109" customFormat="1" x14ac:dyDescent="0.2">
      <c r="A94" s="88"/>
      <c r="B94" s="86"/>
      <c r="C94" s="88"/>
      <c r="D94" s="88"/>
      <c r="E94" s="105"/>
    </row>
    <row r="95" spans="1:5" s="109" customFormat="1" x14ac:dyDescent="0.2">
      <c r="A95" s="88"/>
      <c r="B95" s="86"/>
      <c r="C95" s="88"/>
      <c r="D95" s="88"/>
      <c r="E95" s="105"/>
    </row>
    <row r="96" spans="1:5" s="109" customFormat="1" x14ac:dyDescent="0.2">
      <c r="A96" s="88"/>
      <c r="B96" s="86"/>
      <c r="C96" s="88"/>
      <c r="D96" s="88"/>
      <c r="E96" s="105"/>
    </row>
    <row r="97" spans="1:5" s="109" customFormat="1" x14ac:dyDescent="0.2">
      <c r="A97" s="88"/>
      <c r="B97" s="86"/>
      <c r="C97" s="88"/>
      <c r="D97" s="88"/>
      <c r="E97" s="105"/>
    </row>
    <row r="98" spans="1:5" s="109" customFormat="1" x14ac:dyDescent="0.2">
      <c r="A98" s="88"/>
      <c r="B98" s="86"/>
      <c r="C98" s="88"/>
      <c r="D98" s="88"/>
      <c r="E98" s="105"/>
    </row>
    <row r="99" spans="1:5" s="109" customFormat="1" x14ac:dyDescent="0.2">
      <c r="A99" s="88"/>
      <c r="B99" s="86"/>
      <c r="C99" s="88"/>
      <c r="D99" s="88"/>
      <c r="E99" s="105"/>
    </row>
    <row r="100" spans="1:5" s="109" customFormat="1" x14ac:dyDescent="0.2">
      <c r="A100" s="88"/>
      <c r="B100" s="86"/>
      <c r="C100" s="88"/>
      <c r="D100" s="88"/>
      <c r="E100" s="105"/>
    </row>
    <row r="101" spans="1:5" s="109" customFormat="1" x14ac:dyDescent="0.2">
      <c r="A101" s="88"/>
      <c r="B101" s="86"/>
      <c r="C101" s="88"/>
      <c r="D101" s="88"/>
      <c r="E101" s="105"/>
    </row>
    <row r="102" spans="1:5" s="109" customFormat="1" x14ac:dyDescent="0.2">
      <c r="A102" s="88"/>
      <c r="B102" s="86"/>
      <c r="C102" s="88"/>
      <c r="D102" s="88"/>
      <c r="E102" s="105"/>
    </row>
    <row r="103" spans="1:5" s="109" customFormat="1" x14ac:dyDescent="0.2">
      <c r="A103" s="88"/>
      <c r="B103" s="86"/>
      <c r="C103" s="88"/>
      <c r="D103" s="88"/>
      <c r="E103" s="105"/>
    </row>
    <row r="104" spans="1:5" s="109" customFormat="1" x14ac:dyDescent="0.2">
      <c r="A104" s="88"/>
      <c r="B104" s="86"/>
      <c r="C104" s="88"/>
      <c r="D104" s="88"/>
      <c r="E104" s="105"/>
    </row>
    <row r="105" spans="1:5" s="109" customFormat="1" x14ac:dyDescent="0.2">
      <c r="A105" s="88"/>
      <c r="B105" s="86"/>
      <c r="C105" s="88"/>
      <c r="D105" s="88"/>
      <c r="E105" s="105"/>
    </row>
    <row r="106" spans="1:5" s="109" customFormat="1" x14ac:dyDescent="0.2">
      <c r="A106" s="88"/>
      <c r="B106" s="86"/>
      <c r="C106" s="88"/>
      <c r="D106" s="88"/>
      <c r="E106" s="105"/>
    </row>
    <row r="107" spans="1:5" s="109" customFormat="1" x14ac:dyDescent="0.2">
      <c r="A107" s="88"/>
      <c r="B107" s="86"/>
      <c r="C107" s="88"/>
      <c r="D107" s="88"/>
      <c r="E107" s="105"/>
    </row>
    <row r="108" spans="1:5" s="109" customFormat="1" x14ac:dyDescent="0.2">
      <c r="A108" s="88"/>
      <c r="B108" s="86"/>
      <c r="C108" s="88"/>
      <c r="D108" s="88"/>
      <c r="E108" s="105"/>
    </row>
    <row r="109" spans="1:5" s="109" customFormat="1" x14ac:dyDescent="0.2">
      <c r="A109" s="88"/>
      <c r="B109" s="86"/>
      <c r="C109" s="88"/>
      <c r="D109" s="88"/>
      <c r="E109" s="105"/>
    </row>
    <row r="110" spans="1:5" s="109" customFormat="1" x14ac:dyDescent="0.2">
      <c r="A110" s="88"/>
      <c r="B110" s="86"/>
      <c r="C110" s="88"/>
      <c r="D110" s="88"/>
      <c r="E110" s="105"/>
    </row>
    <row r="111" spans="1:5" s="109" customFormat="1" x14ac:dyDescent="0.2">
      <c r="A111" s="88"/>
      <c r="B111" s="86"/>
      <c r="C111" s="88"/>
      <c r="D111" s="88"/>
      <c r="E111" s="105"/>
    </row>
    <row r="112" spans="1:5" s="109" customFormat="1" x14ac:dyDescent="0.2">
      <c r="A112" s="88"/>
      <c r="B112" s="86"/>
      <c r="C112" s="88"/>
      <c r="D112" s="88"/>
      <c r="E112" s="105"/>
    </row>
    <row r="113" spans="1:5" s="109" customFormat="1" x14ac:dyDescent="0.2">
      <c r="A113" s="88"/>
      <c r="B113" s="86"/>
      <c r="C113" s="88"/>
      <c r="D113" s="88"/>
      <c r="E113" s="105"/>
    </row>
    <row r="114" spans="1:5" s="109" customFormat="1" x14ac:dyDescent="0.2">
      <c r="A114" s="88"/>
      <c r="B114" s="86"/>
      <c r="C114" s="88"/>
      <c r="D114" s="88"/>
      <c r="E114" s="105"/>
    </row>
    <row r="115" spans="1:5" s="109" customFormat="1" x14ac:dyDescent="0.2">
      <c r="A115" s="88"/>
      <c r="B115" s="86"/>
      <c r="C115" s="88"/>
      <c r="D115" s="88"/>
      <c r="E115" s="105"/>
    </row>
    <row r="116" spans="1:5" s="109" customFormat="1" x14ac:dyDescent="0.2">
      <c r="A116" s="88"/>
      <c r="B116" s="86"/>
      <c r="C116" s="88"/>
      <c r="D116" s="88"/>
      <c r="E116" s="105"/>
    </row>
    <row r="117" spans="1:5" s="109" customFormat="1" x14ac:dyDescent="0.2">
      <c r="A117" s="88"/>
      <c r="B117" s="86"/>
      <c r="C117" s="88"/>
      <c r="D117" s="88"/>
      <c r="E117" s="105"/>
    </row>
    <row r="118" spans="1:5" s="109" customFormat="1" x14ac:dyDescent="0.2">
      <c r="A118" s="88"/>
      <c r="B118" s="86"/>
      <c r="C118" s="88"/>
      <c r="D118" s="88"/>
      <c r="E118" s="105"/>
    </row>
    <row r="119" spans="1:5" s="109" customFormat="1" x14ac:dyDescent="0.2">
      <c r="A119" s="88"/>
      <c r="B119" s="86"/>
      <c r="C119" s="88"/>
      <c r="D119" s="88"/>
      <c r="E119" s="105"/>
    </row>
    <row r="120" spans="1:5" s="109" customFormat="1" x14ac:dyDescent="0.2">
      <c r="A120" s="88"/>
      <c r="B120" s="86"/>
      <c r="C120" s="88"/>
      <c r="D120" s="88"/>
      <c r="E120" s="105"/>
    </row>
    <row r="121" spans="1:5" s="109" customFormat="1" x14ac:dyDescent="0.2">
      <c r="A121" s="88"/>
      <c r="B121" s="86"/>
      <c r="C121" s="88"/>
      <c r="D121" s="88"/>
      <c r="E121" s="105"/>
    </row>
    <row r="122" spans="1:5" s="109" customFormat="1" x14ac:dyDescent="0.2">
      <c r="A122" s="88"/>
      <c r="B122" s="86"/>
      <c r="C122" s="88"/>
      <c r="D122" s="88"/>
      <c r="E122" s="105"/>
    </row>
    <row r="123" spans="1:5" s="109" customFormat="1" x14ac:dyDescent="0.2">
      <c r="A123" s="88"/>
      <c r="B123" s="86"/>
      <c r="C123" s="88"/>
      <c r="D123" s="88"/>
      <c r="E123" s="105"/>
    </row>
    <row r="124" spans="1:5" s="109" customFormat="1" x14ac:dyDescent="0.2">
      <c r="A124" s="88"/>
      <c r="B124" s="86"/>
      <c r="C124" s="88"/>
      <c r="D124" s="88"/>
      <c r="E124" s="105"/>
    </row>
    <row r="125" spans="1:5" s="109" customFormat="1" x14ac:dyDescent="0.2">
      <c r="A125" s="88"/>
      <c r="B125" s="86"/>
      <c r="C125" s="88"/>
      <c r="D125" s="88"/>
      <c r="E125" s="105"/>
    </row>
    <row r="126" spans="1:5" s="109" customFormat="1" x14ac:dyDescent="0.2">
      <c r="A126" s="88"/>
      <c r="B126" s="86"/>
      <c r="C126" s="88"/>
      <c r="D126" s="88"/>
      <c r="E126" s="105"/>
    </row>
    <row r="127" spans="1:5" s="109" customFormat="1" x14ac:dyDescent="0.2">
      <c r="A127" s="88"/>
      <c r="B127" s="86"/>
      <c r="C127" s="88"/>
      <c r="D127" s="88"/>
      <c r="E127" s="105"/>
    </row>
    <row r="128" spans="1:5" s="109" customFormat="1" x14ac:dyDescent="0.2">
      <c r="A128" s="88"/>
      <c r="B128" s="86"/>
      <c r="C128" s="88"/>
      <c r="D128" s="88"/>
      <c r="E128" s="105"/>
    </row>
    <row r="129" spans="1:5" s="109" customFormat="1" x14ac:dyDescent="0.2">
      <c r="A129" s="88"/>
      <c r="B129" s="86"/>
      <c r="C129" s="88"/>
      <c r="D129" s="88"/>
      <c r="E129" s="105"/>
    </row>
    <row r="130" spans="1:5" s="109" customFormat="1" x14ac:dyDescent="0.2">
      <c r="A130" s="88"/>
      <c r="B130" s="86"/>
      <c r="C130" s="88"/>
      <c r="D130" s="88"/>
      <c r="E130" s="105"/>
    </row>
    <row r="131" spans="1:5" s="109" customFormat="1" x14ac:dyDescent="0.2">
      <c r="A131" s="88"/>
      <c r="B131" s="86"/>
      <c r="C131" s="88"/>
      <c r="D131" s="88"/>
      <c r="E131" s="105"/>
    </row>
    <row r="132" spans="1:5" s="109" customFormat="1" x14ac:dyDescent="0.2">
      <c r="A132" s="88"/>
      <c r="B132" s="86"/>
      <c r="C132" s="88"/>
      <c r="D132" s="88"/>
      <c r="E132" s="105"/>
    </row>
    <row r="133" spans="1:5" s="109" customFormat="1" x14ac:dyDescent="0.2">
      <c r="A133" s="88"/>
      <c r="B133" s="86"/>
      <c r="C133" s="88"/>
      <c r="D133" s="88"/>
      <c r="E133" s="105"/>
    </row>
    <row r="134" spans="1:5" s="109" customFormat="1" x14ac:dyDescent="0.2">
      <c r="A134" s="88"/>
      <c r="B134" s="86"/>
      <c r="C134" s="88"/>
      <c r="D134" s="88"/>
      <c r="E134" s="105"/>
    </row>
    <row r="135" spans="1:5" s="109" customFormat="1" x14ac:dyDescent="0.2">
      <c r="A135" s="88"/>
      <c r="B135" s="86"/>
      <c r="C135" s="88"/>
      <c r="D135" s="88"/>
      <c r="E135" s="105"/>
    </row>
    <row r="136" spans="1:5" s="109" customFormat="1" x14ac:dyDescent="0.2">
      <c r="A136" s="88"/>
      <c r="B136" s="86"/>
      <c r="C136" s="88"/>
      <c r="D136" s="88"/>
      <c r="E136" s="105"/>
    </row>
    <row r="137" spans="1:5" s="109" customFormat="1" x14ac:dyDescent="0.2">
      <c r="A137" s="88"/>
      <c r="B137" s="86"/>
      <c r="C137" s="88"/>
      <c r="D137" s="88"/>
      <c r="E137" s="105"/>
    </row>
    <row r="138" spans="1:5" s="109" customFormat="1" x14ac:dyDescent="0.2">
      <c r="A138" s="88"/>
      <c r="B138" s="86"/>
      <c r="C138" s="88"/>
      <c r="D138" s="88"/>
      <c r="E138" s="105"/>
    </row>
    <row r="139" spans="1:5" s="109" customFormat="1" x14ac:dyDescent="0.2">
      <c r="A139" s="88"/>
      <c r="B139" s="86"/>
      <c r="C139" s="88"/>
      <c r="D139" s="88"/>
      <c r="E139" s="105"/>
    </row>
    <row r="140" spans="1:5" s="109" customFormat="1" x14ac:dyDescent="0.2">
      <c r="A140" s="88"/>
      <c r="B140" s="86"/>
      <c r="C140" s="88"/>
      <c r="D140" s="88"/>
      <c r="E140" s="105"/>
    </row>
    <row r="141" spans="1:5" s="109" customFormat="1" x14ac:dyDescent="0.2">
      <c r="A141" s="88"/>
      <c r="B141" s="86"/>
      <c r="C141" s="88"/>
      <c r="D141" s="88"/>
      <c r="E141" s="105"/>
    </row>
    <row r="142" spans="1:5" s="109" customFormat="1" x14ac:dyDescent="0.2">
      <c r="A142" s="88"/>
      <c r="B142" s="86"/>
      <c r="C142" s="88"/>
      <c r="D142" s="88"/>
      <c r="E142" s="105"/>
    </row>
    <row r="143" spans="1:5" s="109" customFormat="1" x14ac:dyDescent="0.2">
      <c r="A143" s="88"/>
      <c r="B143" s="86"/>
      <c r="C143" s="88"/>
      <c r="D143" s="88"/>
      <c r="E143" s="105"/>
    </row>
    <row r="144" spans="1:5" s="109" customFormat="1" x14ac:dyDescent="0.2">
      <c r="A144" s="88"/>
      <c r="B144" s="86"/>
      <c r="C144" s="88"/>
      <c r="D144" s="88"/>
      <c r="E144" s="105"/>
    </row>
    <row r="145" spans="1:5" s="109" customFormat="1" x14ac:dyDescent="0.2">
      <c r="A145" s="88"/>
      <c r="B145" s="86"/>
      <c r="C145" s="88"/>
      <c r="D145" s="88"/>
      <c r="E145" s="105"/>
    </row>
    <row r="146" spans="1:5" s="109" customFormat="1" x14ac:dyDescent="0.2">
      <c r="A146" s="88"/>
      <c r="B146" s="86"/>
      <c r="C146" s="88"/>
      <c r="D146" s="88"/>
      <c r="E146" s="105"/>
    </row>
    <row r="147" spans="1:5" s="109" customFormat="1" x14ac:dyDescent="0.2">
      <c r="A147" s="88"/>
      <c r="B147" s="86"/>
      <c r="C147" s="88"/>
      <c r="D147" s="88"/>
      <c r="E147" s="105"/>
    </row>
    <row r="148" spans="1:5" s="109" customFormat="1" x14ac:dyDescent="0.2">
      <c r="A148" s="88"/>
      <c r="B148" s="86"/>
      <c r="C148" s="88"/>
      <c r="D148" s="88"/>
      <c r="E148" s="105"/>
    </row>
    <row r="149" spans="1:5" s="109" customFormat="1" x14ac:dyDescent="0.2">
      <c r="A149" s="88"/>
      <c r="B149" s="86"/>
      <c r="C149" s="88"/>
      <c r="D149" s="88"/>
      <c r="E149" s="105"/>
    </row>
    <row r="150" spans="1:5" s="109" customFormat="1" x14ac:dyDescent="0.2">
      <c r="A150" s="88"/>
      <c r="B150" s="86"/>
      <c r="C150" s="88"/>
      <c r="D150" s="88"/>
      <c r="E150" s="105"/>
    </row>
    <row r="151" spans="1:5" s="109" customFormat="1" x14ac:dyDescent="0.2">
      <c r="A151" s="88"/>
      <c r="B151" s="86"/>
      <c r="C151" s="88"/>
      <c r="D151" s="88"/>
      <c r="E151" s="105"/>
    </row>
    <row r="152" spans="1:5" s="109" customFormat="1" x14ac:dyDescent="0.2">
      <c r="A152" s="88"/>
      <c r="B152" s="86"/>
      <c r="C152" s="88"/>
      <c r="D152" s="88"/>
      <c r="E152" s="105"/>
    </row>
    <row r="153" spans="1:5" s="109" customFormat="1" x14ac:dyDescent="0.2">
      <c r="A153" s="88"/>
      <c r="B153" s="86"/>
      <c r="C153" s="88"/>
      <c r="D153" s="88"/>
      <c r="E153" s="105"/>
    </row>
    <row r="154" spans="1:5" s="109" customFormat="1" x14ac:dyDescent="0.2">
      <c r="A154" s="88"/>
      <c r="B154" s="86"/>
      <c r="C154" s="88"/>
      <c r="D154" s="88"/>
      <c r="E154" s="105"/>
    </row>
    <row r="155" spans="1:5" s="109" customFormat="1" x14ac:dyDescent="0.2">
      <c r="A155" s="88"/>
      <c r="B155" s="86"/>
      <c r="C155" s="88"/>
      <c r="D155" s="88"/>
      <c r="E155" s="105"/>
    </row>
    <row r="156" spans="1:5" s="109" customFormat="1" x14ac:dyDescent="0.2">
      <c r="A156" s="88"/>
      <c r="B156" s="86"/>
      <c r="C156" s="88"/>
      <c r="D156" s="88"/>
      <c r="E156" s="105"/>
    </row>
    <row r="157" spans="1:5" s="109" customFormat="1" x14ac:dyDescent="0.2">
      <c r="A157" s="88"/>
      <c r="B157" s="86"/>
      <c r="C157" s="88"/>
      <c r="D157" s="88"/>
      <c r="E157" s="105"/>
    </row>
    <row r="158" spans="1:5" s="109" customFormat="1" x14ac:dyDescent="0.2">
      <c r="A158" s="88"/>
      <c r="B158" s="86"/>
      <c r="C158" s="88"/>
      <c r="D158" s="88"/>
      <c r="E158" s="105"/>
    </row>
    <row r="159" spans="1:5" s="109" customFormat="1" x14ac:dyDescent="0.2">
      <c r="A159" s="88"/>
      <c r="B159" s="86"/>
      <c r="C159" s="88"/>
      <c r="D159" s="88"/>
      <c r="E159" s="105"/>
    </row>
    <row r="160" spans="1:5" s="109" customFormat="1" x14ac:dyDescent="0.2">
      <c r="A160" s="88"/>
      <c r="B160" s="86"/>
      <c r="C160" s="88"/>
      <c r="D160" s="88"/>
      <c r="E160" s="105"/>
    </row>
    <row r="161" spans="1:5" s="109" customFormat="1" x14ac:dyDescent="0.2">
      <c r="A161" s="88"/>
      <c r="B161" s="86"/>
      <c r="C161" s="88"/>
      <c r="D161" s="88"/>
      <c r="E161" s="105"/>
    </row>
    <row r="162" spans="1:5" s="109" customFormat="1" x14ac:dyDescent="0.2">
      <c r="A162" s="88"/>
      <c r="B162" s="86"/>
      <c r="C162" s="88"/>
      <c r="D162" s="88"/>
      <c r="E162" s="105"/>
    </row>
    <row r="163" spans="1:5" s="109" customFormat="1" x14ac:dyDescent="0.2">
      <c r="A163" s="88"/>
      <c r="B163" s="86"/>
      <c r="C163" s="88"/>
      <c r="D163" s="88"/>
      <c r="E163" s="105"/>
    </row>
    <row r="164" spans="1:5" s="109" customFormat="1" x14ac:dyDescent="0.2">
      <c r="A164" s="88"/>
      <c r="B164" s="86"/>
      <c r="C164" s="88"/>
      <c r="D164" s="88"/>
      <c r="E164" s="105"/>
    </row>
    <row r="165" spans="1:5" s="109" customFormat="1" x14ac:dyDescent="0.2">
      <c r="A165" s="88"/>
      <c r="B165" s="86"/>
      <c r="C165" s="88"/>
      <c r="D165" s="88"/>
      <c r="E165" s="105"/>
    </row>
    <row r="166" spans="1:5" s="109" customFormat="1" x14ac:dyDescent="0.2">
      <c r="A166" s="88"/>
      <c r="B166" s="86"/>
      <c r="C166" s="88"/>
      <c r="D166" s="88"/>
      <c r="E166" s="105"/>
    </row>
    <row r="167" spans="1:5" s="109" customFormat="1" x14ac:dyDescent="0.2">
      <c r="A167" s="88"/>
      <c r="B167" s="86"/>
      <c r="C167" s="88"/>
      <c r="D167" s="88"/>
      <c r="E167" s="105"/>
    </row>
    <row r="168" spans="1:5" s="109" customFormat="1" x14ac:dyDescent="0.2">
      <c r="A168" s="88"/>
      <c r="B168" s="86"/>
      <c r="C168" s="88"/>
      <c r="D168" s="88"/>
      <c r="E168" s="105"/>
    </row>
    <row r="169" spans="1:5" s="109" customFormat="1" x14ac:dyDescent="0.2">
      <c r="A169" s="88"/>
      <c r="B169" s="86"/>
      <c r="C169" s="88"/>
      <c r="D169" s="88"/>
      <c r="E169" s="105"/>
    </row>
    <row r="170" spans="1:5" s="109" customFormat="1" x14ac:dyDescent="0.2">
      <c r="A170" s="88"/>
      <c r="B170" s="86"/>
      <c r="C170" s="88"/>
      <c r="D170" s="88"/>
      <c r="E170" s="105"/>
    </row>
    <row r="171" spans="1:5" s="109" customFormat="1" x14ac:dyDescent="0.2">
      <c r="A171" s="88"/>
      <c r="B171" s="86"/>
      <c r="C171" s="88"/>
      <c r="D171" s="88"/>
      <c r="E171" s="105"/>
    </row>
    <row r="172" spans="1:5" s="109" customFormat="1" x14ac:dyDescent="0.2">
      <c r="A172" s="88"/>
      <c r="B172" s="86"/>
      <c r="C172" s="88"/>
      <c r="D172" s="88"/>
      <c r="E172" s="105"/>
    </row>
    <row r="173" spans="1:5" s="109" customFormat="1" x14ac:dyDescent="0.2">
      <c r="A173" s="88"/>
      <c r="B173" s="86"/>
      <c r="C173" s="88"/>
      <c r="D173" s="88"/>
      <c r="E173" s="105"/>
    </row>
    <row r="174" spans="1:5" s="109" customFormat="1" x14ac:dyDescent="0.2">
      <c r="A174" s="88"/>
      <c r="B174" s="86"/>
      <c r="C174" s="88"/>
      <c r="D174" s="88"/>
      <c r="E174" s="105"/>
    </row>
    <row r="175" spans="1:5" s="109" customFormat="1" x14ac:dyDescent="0.2">
      <c r="A175" s="88"/>
      <c r="B175" s="86"/>
      <c r="C175" s="88"/>
      <c r="D175" s="88"/>
      <c r="E175" s="105"/>
    </row>
    <row r="176" spans="1:5" s="109" customFormat="1" x14ac:dyDescent="0.2">
      <c r="A176" s="88"/>
      <c r="B176" s="86"/>
      <c r="C176" s="88"/>
      <c r="D176" s="88"/>
      <c r="E176" s="105"/>
    </row>
    <row r="177" spans="1:5" s="109" customFormat="1" x14ac:dyDescent="0.2">
      <c r="A177" s="88"/>
      <c r="B177" s="86"/>
      <c r="C177" s="88"/>
      <c r="D177" s="88"/>
      <c r="E177" s="105"/>
    </row>
    <row r="178" spans="1:5" s="109" customFormat="1" x14ac:dyDescent="0.2">
      <c r="A178" s="88"/>
      <c r="B178" s="86"/>
      <c r="C178" s="88"/>
      <c r="D178" s="88"/>
      <c r="E178" s="105"/>
    </row>
    <row r="179" spans="1:5" s="109" customFormat="1" x14ac:dyDescent="0.2">
      <c r="A179" s="88"/>
      <c r="B179" s="86"/>
      <c r="C179" s="88"/>
      <c r="D179" s="88"/>
      <c r="E179" s="105"/>
    </row>
    <row r="180" spans="1:5" s="109" customFormat="1" x14ac:dyDescent="0.2">
      <c r="A180" s="88"/>
      <c r="B180" s="86"/>
      <c r="C180" s="88"/>
      <c r="D180" s="88"/>
      <c r="E180" s="105"/>
    </row>
    <row r="181" spans="1:5" s="109" customFormat="1" x14ac:dyDescent="0.2">
      <c r="A181" s="88"/>
      <c r="B181" s="86"/>
      <c r="C181" s="88"/>
      <c r="D181" s="88"/>
      <c r="E181" s="105"/>
    </row>
    <row r="182" spans="1:5" s="109" customFormat="1" x14ac:dyDescent="0.2">
      <c r="A182" s="88"/>
      <c r="B182" s="86"/>
      <c r="C182" s="88"/>
      <c r="D182" s="88"/>
      <c r="E182" s="105"/>
    </row>
    <row r="183" spans="1:5" s="109" customFormat="1" x14ac:dyDescent="0.2">
      <c r="A183" s="88"/>
      <c r="B183" s="86"/>
      <c r="C183" s="88"/>
      <c r="D183" s="88"/>
      <c r="E183" s="105"/>
    </row>
    <row r="184" spans="1:5" s="109" customFormat="1" x14ac:dyDescent="0.2">
      <c r="A184" s="88"/>
      <c r="B184" s="86"/>
      <c r="C184" s="88"/>
      <c r="D184" s="88"/>
      <c r="E184" s="105"/>
    </row>
    <row r="185" spans="1:5" s="109" customFormat="1" x14ac:dyDescent="0.2">
      <c r="A185" s="88"/>
      <c r="B185" s="86"/>
      <c r="C185" s="88"/>
      <c r="D185" s="88"/>
      <c r="E185" s="105"/>
    </row>
    <row r="186" spans="1:5" s="109" customFormat="1" x14ac:dyDescent="0.2">
      <c r="A186" s="88"/>
      <c r="B186" s="86"/>
      <c r="C186" s="88"/>
      <c r="D186" s="88"/>
      <c r="E186" s="105"/>
    </row>
    <row r="187" spans="1:5" s="109" customFormat="1" x14ac:dyDescent="0.2">
      <c r="A187" s="88"/>
      <c r="B187" s="86"/>
      <c r="C187" s="88"/>
      <c r="D187" s="88"/>
      <c r="E187" s="105"/>
    </row>
    <row r="188" spans="1:5" s="109" customFormat="1" x14ac:dyDescent="0.2">
      <c r="A188" s="88"/>
      <c r="B188" s="86"/>
      <c r="C188" s="88"/>
      <c r="D188" s="88"/>
      <c r="E188" s="105"/>
    </row>
    <row r="189" spans="1:5" s="109" customFormat="1" x14ac:dyDescent="0.2">
      <c r="A189" s="88"/>
      <c r="B189" s="86"/>
      <c r="C189" s="88"/>
      <c r="D189" s="88"/>
      <c r="E189" s="105"/>
    </row>
    <row r="190" spans="1:5" s="109" customFormat="1" x14ac:dyDescent="0.2">
      <c r="A190" s="88"/>
      <c r="B190" s="86"/>
      <c r="C190" s="88"/>
      <c r="D190" s="88"/>
      <c r="E190" s="105"/>
    </row>
    <row r="191" spans="1:5" s="109" customFormat="1" x14ac:dyDescent="0.2">
      <c r="A191" s="88"/>
      <c r="B191" s="86"/>
      <c r="C191" s="88"/>
      <c r="D191" s="88"/>
      <c r="E191" s="105"/>
    </row>
    <row r="192" spans="1:5" s="109" customFormat="1" x14ac:dyDescent="0.2">
      <c r="A192" s="88"/>
      <c r="B192" s="86"/>
      <c r="C192" s="88"/>
      <c r="D192" s="88"/>
      <c r="E192" s="105"/>
    </row>
    <row r="193" spans="1:5" s="109" customFormat="1" x14ac:dyDescent="0.2">
      <c r="A193" s="88"/>
      <c r="B193" s="86"/>
      <c r="C193" s="88"/>
      <c r="D193" s="88"/>
      <c r="E193" s="105"/>
    </row>
    <row r="194" spans="1:5" s="109" customFormat="1" x14ac:dyDescent="0.2">
      <c r="A194" s="88"/>
      <c r="B194" s="86"/>
      <c r="C194" s="88"/>
      <c r="D194" s="88"/>
      <c r="E194" s="105"/>
    </row>
    <row r="195" spans="1:5" s="109" customFormat="1" x14ac:dyDescent="0.2">
      <c r="A195" s="88"/>
      <c r="B195" s="86"/>
      <c r="C195" s="88"/>
      <c r="D195" s="88"/>
      <c r="E195" s="105"/>
    </row>
    <row r="196" spans="1:5" s="109" customFormat="1" x14ac:dyDescent="0.2">
      <c r="A196" s="88"/>
      <c r="B196" s="86"/>
      <c r="C196" s="88"/>
      <c r="D196" s="88"/>
      <c r="E196" s="105"/>
    </row>
    <row r="197" spans="1:5" s="109" customFormat="1" x14ac:dyDescent="0.2">
      <c r="A197" s="88"/>
      <c r="B197" s="86"/>
      <c r="C197" s="88"/>
      <c r="D197" s="88"/>
      <c r="E197" s="105"/>
    </row>
  </sheetData>
  <sheetProtection formatCells="0" formatColumns="0" formatRows="0" insertColumns="0" insertRows="0" insertHyperlinks="0" deleteColumns="0" deleteRows="0" sort="0" autoFilter="0" pivotTables="0"/>
  <protectedRanges>
    <protectedRange sqref="F49" name="Range1_1_1"/>
  </protectedRanges>
  <autoFilter ref="A6:F49" xr:uid="{974DF82A-3803-4A47-9022-CF2ABB529E10}"/>
  <pageMargins left="0.47244094488188981" right="0.47244094488188981" top="0.74803149606299213" bottom="0.74803149606299213" header="0.31496062992125984" footer="0.31496062992125984"/>
  <pageSetup paperSize="9" scale="92" fitToHeight="0" orientation="landscape" r:id="rId1"/>
  <headerFooter>
    <oddFooter>&amp;C&amp;"Arial,Bold"&amp;16&amp;P/&amp;N</oddFooter>
  </headerFooter>
  <rowBreaks count="5" manualBreakCount="5">
    <brk id="17" max="5" man="1"/>
    <brk id="26" max="5" man="1"/>
    <brk id="34" max="5" man="1"/>
    <brk id="41" max="5" man="1"/>
    <brk id="45" max="5"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12B4-41E4-4BC7-B762-676A09087979}">
  <dimension ref="A1:F120"/>
  <sheetViews>
    <sheetView view="pageBreakPreview" topLeftCell="C1" zoomScale="40" zoomScaleNormal="100" zoomScaleSheetLayoutView="40" workbookViewId="0">
      <selection activeCell="C3" sqref="C3"/>
    </sheetView>
  </sheetViews>
  <sheetFormatPr defaultColWidth="9.140625" defaultRowHeight="15" x14ac:dyDescent="0.2"/>
  <cols>
    <col min="1" max="1" width="9.140625" style="88"/>
    <col min="2" max="2" width="75.28515625" style="86" customWidth="1"/>
    <col min="3" max="3" width="12.5703125" style="88" customWidth="1"/>
    <col min="4" max="4" width="14.28515625" style="88" customWidth="1"/>
    <col min="5" max="5" width="16.85546875" style="109" customWidth="1"/>
    <col min="6" max="6" width="19.5703125" style="109" customWidth="1"/>
    <col min="7" max="16384" width="9.140625" style="90"/>
  </cols>
  <sheetData>
    <row r="1" spans="1:6" x14ac:dyDescent="0.2">
      <c r="A1" s="86"/>
      <c r="B1" s="87"/>
      <c r="E1" s="89"/>
      <c r="F1" s="89"/>
    </row>
    <row r="2" spans="1:6" x14ac:dyDescent="0.2">
      <c r="A2" s="86"/>
      <c r="B2" s="87"/>
      <c r="E2" s="89"/>
      <c r="F2" s="89"/>
    </row>
    <row r="3" spans="1:6" ht="12" customHeight="1" thickBot="1" x14ac:dyDescent="0.25">
      <c r="A3" s="86"/>
      <c r="B3" s="273"/>
      <c r="C3" s="274"/>
      <c r="E3" s="89"/>
      <c r="F3" s="89"/>
    </row>
    <row r="4" spans="1:6" ht="33.950000000000003" customHeight="1" x14ac:dyDescent="0.2">
      <c r="A4" s="86"/>
      <c r="B4" s="87"/>
      <c r="E4" s="89"/>
      <c r="F4" s="89"/>
    </row>
    <row r="5" spans="1:6" s="95" customFormat="1" ht="15.75" x14ac:dyDescent="0.2">
      <c r="A5" s="91"/>
      <c r="B5" s="92" t="s">
        <v>89</v>
      </c>
      <c r="C5" s="93"/>
      <c r="D5" s="93"/>
      <c r="E5" s="127"/>
      <c r="F5" s="127"/>
    </row>
    <row r="6" spans="1:6" s="100" customFormat="1" ht="63" x14ac:dyDescent="0.2">
      <c r="A6" s="96" t="s">
        <v>14</v>
      </c>
      <c r="B6" s="97" t="s">
        <v>0</v>
      </c>
      <c r="C6" s="96" t="s">
        <v>15</v>
      </c>
      <c r="D6" s="98" t="s">
        <v>16</v>
      </c>
      <c r="E6" s="128" t="s">
        <v>17</v>
      </c>
      <c r="F6" s="128" t="s">
        <v>326</v>
      </c>
    </row>
    <row r="7" spans="1:6" s="100" customFormat="1" ht="15.75" x14ac:dyDescent="0.2">
      <c r="A7" s="169"/>
      <c r="B7" s="170" t="s">
        <v>91</v>
      </c>
      <c r="C7" s="169"/>
      <c r="D7" s="103"/>
      <c r="E7" s="99"/>
      <c r="F7" s="99"/>
    </row>
    <row r="8" spans="1:6" s="100" customFormat="1" x14ac:dyDescent="0.2">
      <c r="A8" s="176">
        <v>2.0009999999999999</v>
      </c>
      <c r="B8" s="173" t="s">
        <v>91</v>
      </c>
      <c r="C8" s="172" t="s">
        <v>659</v>
      </c>
      <c r="D8" s="228">
        <v>1</v>
      </c>
      <c r="E8" s="224">
        <v>6512.0007698935578</v>
      </c>
      <c r="F8" s="224">
        <f>$D8*E8</f>
        <v>6512.0007698935578</v>
      </c>
    </row>
    <row r="9" spans="1:6" s="104" customFormat="1" ht="15.75" x14ac:dyDescent="0.25">
      <c r="A9" s="179"/>
      <c r="B9" s="170" t="s">
        <v>92</v>
      </c>
      <c r="C9" s="169"/>
      <c r="D9" s="228"/>
      <c r="E9" s="225"/>
      <c r="F9" s="225"/>
    </row>
    <row r="10" spans="1:6" s="104" customFormat="1" ht="15.75" x14ac:dyDescent="0.25">
      <c r="A10" s="179"/>
      <c r="B10" s="170" t="s">
        <v>93</v>
      </c>
      <c r="C10" s="169"/>
      <c r="D10" s="228"/>
      <c r="E10" s="225"/>
      <c r="F10" s="225"/>
    </row>
    <row r="11" spans="1:6" s="104" customFormat="1" ht="63" x14ac:dyDescent="0.25">
      <c r="A11" s="179"/>
      <c r="B11" s="170" t="s">
        <v>94</v>
      </c>
      <c r="C11" s="169"/>
      <c r="D11" s="228"/>
      <c r="E11" s="225"/>
      <c r="F11" s="225"/>
    </row>
    <row r="12" spans="1:6" s="104" customFormat="1" ht="15.75" x14ac:dyDescent="0.25">
      <c r="A12" s="179"/>
      <c r="B12" s="170" t="s">
        <v>95</v>
      </c>
      <c r="C12" s="169"/>
      <c r="D12" s="228"/>
      <c r="E12" s="225"/>
      <c r="F12" s="225"/>
    </row>
    <row r="13" spans="1:6" x14ac:dyDescent="0.2">
      <c r="A13" s="176">
        <v>2.0019999999999998</v>
      </c>
      <c r="B13" s="173" t="s">
        <v>95</v>
      </c>
      <c r="C13" s="172" t="s">
        <v>659</v>
      </c>
      <c r="D13" s="228">
        <v>1</v>
      </c>
      <c r="E13" s="224">
        <v>68665.580590362239</v>
      </c>
      <c r="F13" s="224">
        <f>$D13*E13</f>
        <v>68665.580590362239</v>
      </c>
    </row>
    <row r="14" spans="1:6" s="104" customFormat="1" ht="15.75" x14ac:dyDescent="0.25">
      <c r="A14" s="179"/>
      <c r="B14" s="170" t="s">
        <v>96</v>
      </c>
      <c r="C14" s="169"/>
      <c r="D14" s="228"/>
      <c r="E14" s="225"/>
      <c r="F14" s="225"/>
    </row>
    <row r="15" spans="1:6" x14ac:dyDescent="0.2">
      <c r="A15" s="176">
        <v>2.0029999999999997</v>
      </c>
      <c r="B15" s="173" t="s">
        <v>97</v>
      </c>
      <c r="C15" s="172" t="s">
        <v>659</v>
      </c>
      <c r="D15" s="228">
        <v>1</v>
      </c>
      <c r="E15" s="224">
        <v>172313.50405136266</v>
      </c>
      <c r="F15" s="224">
        <f>$D15*E15</f>
        <v>172313.50405136266</v>
      </c>
    </row>
    <row r="16" spans="1:6" ht="15.75" x14ac:dyDescent="0.2">
      <c r="A16" s="172"/>
      <c r="B16" s="170" t="s">
        <v>98</v>
      </c>
      <c r="C16" s="172"/>
      <c r="D16" s="228"/>
      <c r="E16" s="223"/>
      <c r="F16" s="223"/>
    </row>
    <row r="17" spans="1:6" x14ac:dyDescent="0.2">
      <c r="A17" s="172">
        <v>2.0039999999999996</v>
      </c>
      <c r="B17" s="173" t="s">
        <v>98</v>
      </c>
      <c r="C17" s="172" t="s">
        <v>659</v>
      </c>
      <c r="D17" s="228">
        <v>1</v>
      </c>
      <c r="E17" s="224">
        <v>43520.022555623022</v>
      </c>
      <c r="F17" s="224">
        <f>$D17*E17</f>
        <v>43520.022555623022</v>
      </c>
    </row>
    <row r="18" spans="1:6" ht="15.75" x14ac:dyDescent="0.2">
      <c r="A18" s="176"/>
      <c r="B18" s="170" t="s">
        <v>99</v>
      </c>
      <c r="C18" s="172"/>
      <c r="D18" s="228"/>
      <c r="E18" s="223"/>
      <c r="F18" s="223"/>
    </row>
    <row r="19" spans="1:6" x14ac:dyDescent="0.2">
      <c r="A19" s="176">
        <v>2.0049999999999994</v>
      </c>
      <c r="B19" s="173" t="s">
        <v>100</v>
      </c>
      <c r="C19" s="172" t="s">
        <v>659</v>
      </c>
      <c r="D19" s="228">
        <v>1</v>
      </c>
      <c r="E19" s="224">
        <v>20731.553033337834</v>
      </c>
      <c r="F19" s="224">
        <f>$D19*E19</f>
        <v>20731.553033337834</v>
      </c>
    </row>
    <row r="20" spans="1:6" ht="15.75" x14ac:dyDescent="0.2">
      <c r="A20" s="176"/>
      <c r="B20" s="170" t="s">
        <v>101</v>
      </c>
      <c r="C20" s="172"/>
      <c r="D20" s="228"/>
      <c r="E20" s="223"/>
      <c r="F20" s="223"/>
    </row>
    <row r="21" spans="1:6" x14ac:dyDescent="0.2">
      <c r="A21" s="176">
        <v>2.0059999999999993</v>
      </c>
      <c r="B21" s="173" t="s">
        <v>100</v>
      </c>
      <c r="C21" s="172" t="s">
        <v>659</v>
      </c>
      <c r="D21" s="228">
        <v>1</v>
      </c>
      <c r="E21" s="224">
        <v>23752.956679782037</v>
      </c>
      <c r="F21" s="224">
        <f>$D21*E21</f>
        <v>23752.956679782037</v>
      </c>
    </row>
    <row r="22" spans="1:6" s="104" customFormat="1" ht="15.75" x14ac:dyDescent="0.25">
      <c r="A22" s="179"/>
      <c r="B22" s="170" t="s">
        <v>102</v>
      </c>
      <c r="C22" s="169"/>
      <c r="D22" s="228"/>
      <c r="E22" s="225"/>
      <c r="F22" s="225"/>
    </row>
    <row r="23" spans="1:6" s="104" customFormat="1" ht="63" x14ac:dyDescent="0.25">
      <c r="A23" s="179"/>
      <c r="B23" s="170" t="s">
        <v>327</v>
      </c>
      <c r="C23" s="169"/>
      <c r="D23" s="228"/>
      <c r="E23" s="225"/>
      <c r="F23" s="225"/>
    </row>
    <row r="24" spans="1:6" s="104" customFormat="1" ht="15.75" x14ac:dyDescent="0.25">
      <c r="A24" s="179"/>
      <c r="B24" s="170" t="s">
        <v>95</v>
      </c>
      <c r="C24" s="169"/>
      <c r="D24" s="228"/>
      <c r="E24" s="225"/>
      <c r="F24" s="225"/>
    </row>
    <row r="25" spans="1:6" x14ac:dyDescent="0.2">
      <c r="A25" s="176">
        <v>2.0069999999999992</v>
      </c>
      <c r="B25" s="173" t="s">
        <v>104</v>
      </c>
      <c r="C25" s="172" t="s">
        <v>659</v>
      </c>
      <c r="D25" s="228">
        <v>1</v>
      </c>
      <c r="E25" s="224">
        <v>4920.8528443716668</v>
      </c>
      <c r="F25" s="224">
        <f>$D25*E25</f>
        <v>4920.8528443716668</v>
      </c>
    </row>
    <row r="26" spans="1:6" ht="15.75" x14ac:dyDescent="0.2">
      <c r="A26" s="176"/>
      <c r="B26" s="170" t="s">
        <v>462</v>
      </c>
      <c r="C26" s="172"/>
      <c r="D26" s="228"/>
      <c r="E26" s="223"/>
      <c r="F26" s="223"/>
    </row>
    <row r="27" spans="1:6" x14ac:dyDescent="0.2">
      <c r="A27" s="176">
        <v>2.0079999999999991</v>
      </c>
      <c r="B27" s="173" t="s">
        <v>100</v>
      </c>
      <c r="C27" s="172" t="s">
        <v>659</v>
      </c>
      <c r="D27" s="228">
        <v>1</v>
      </c>
      <c r="E27" s="224">
        <v>4920.8528443716668</v>
      </c>
      <c r="F27" s="224">
        <f>$D27*E27</f>
        <v>4920.8528443716668</v>
      </c>
    </row>
    <row r="28" spans="1:6" ht="15.75" x14ac:dyDescent="0.2">
      <c r="A28" s="176"/>
      <c r="B28" s="170" t="s">
        <v>101</v>
      </c>
      <c r="C28" s="172"/>
      <c r="D28" s="228"/>
      <c r="E28" s="223"/>
      <c r="F28" s="223"/>
    </row>
    <row r="29" spans="1:6" x14ac:dyDescent="0.2">
      <c r="A29" s="176">
        <v>2.008999999999999</v>
      </c>
      <c r="B29" s="173" t="s">
        <v>100</v>
      </c>
      <c r="C29" s="172" t="s">
        <v>659</v>
      </c>
      <c r="D29" s="228">
        <v>1</v>
      </c>
      <c r="E29" s="224">
        <v>4920.8528443716668</v>
      </c>
      <c r="F29" s="224">
        <f>$D29*E29</f>
        <v>4920.8528443716668</v>
      </c>
    </row>
    <row r="30" spans="1:6" ht="15.75" x14ac:dyDescent="0.2">
      <c r="A30" s="172"/>
      <c r="B30" s="170" t="s">
        <v>98</v>
      </c>
      <c r="C30" s="172"/>
      <c r="D30" s="228"/>
      <c r="E30" s="223"/>
      <c r="F30" s="223"/>
    </row>
    <row r="31" spans="1:6" x14ac:dyDescent="0.2">
      <c r="A31" s="172">
        <v>2.0099999999999989</v>
      </c>
      <c r="B31" s="173" t="s">
        <v>98</v>
      </c>
      <c r="C31" s="172" t="s">
        <v>659</v>
      </c>
      <c r="D31" s="228">
        <v>1</v>
      </c>
      <c r="E31" s="224">
        <v>4920.8528443716668</v>
      </c>
      <c r="F31" s="224">
        <f>$D31*E31</f>
        <v>4920.8528443716668</v>
      </c>
    </row>
    <row r="32" spans="1:6" ht="15.75" x14ac:dyDescent="0.2">
      <c r="A32" s="172"/>
      <c r="B32" s="170" t="s">
        <v>96</v>
      </c>
      <c r="C32" s="172"/>
      <c r="D32" s="228"/>
      <c r="E32" s="223"/>
      <c r="F32" s="223"/>
    </row>
    <row r="33" spans="1:6" x14ac:dyDescent="0.2">
      <c r="A33" s="172">
        <v>2.0109999999999988</v>
      </c>
      <c r="B33" s="173" t="s">
        <v>97</v>
      </c>
      <c r="C33" s="172" t="s">
        <v>659</v>
      </c>
      <c r="D33" s="228">
        <v>1</v>
      </c>
      <c r="E33" s="224">
        <v>4920.8528443716668</v>
      </c>
      <c r="F33" s="224">
        <f>$D33*E33</f>
        <v>4920.8528443716668</v>
      </c>
    </row>
    <row r="34" spans="1:6" ht="63" x14ac:dyDescent="0.2">
      <c r="A34" s="176">
        <v>2.0119999999999987</v>
      </c>
      <c r="B34" s="170" t="s">
        <v>105</v>
      </c>
      <c r="C34" s="172" t="s">
        <v>659</v>
      </c>
      <c r="D34" s="228">
        <v>1</v>
      </c>
      <c r="E34" s="224">
        <v>4920.8528443716668</v>
      </c>
      <c r="F34" s="224">
        <f>$D34*E34</f>
        <v>4920.8528443716668</v>
      </c>
    </row>
    <row r="35" spans="1:6" ht="63" x14ac:dyDescent="0.2">
      <c r="A35" s="176">
        <v>2.0129999999999986</v>
      </c>
      <c r="B35" s="170" t="s">
        <v>708</v>
      </c>
      <c r="C35" s="172" t="s">
        <v>659</v>
      </c>
      <c r="D35" s="228">
        <v>1</v>
      </c>
      <c r="E35" s="224">
        <v>4920.8528443716668</v>
      </c>
      <c r="F35" s="224">
        <f>$D35*E35</f>
        <v>4920.8528443716668</v>
      </c>
    </row>
    <row r="36" spans="1:6" ht="31.5" x14ac:dyDescent="0.2">
      <c r="A36" s="176">
        <v>2.0139999999999985</v>
      </c>
      <c r="B36" s="170" t="s">
        <v>709</v>
      </c>
      <c r="C36" s="172" t="s">
        <v>659</v>
      </c>
      <c r="D36" s="228">
        <v>1</v>
      </c>
      <c r="E36" s="224">
        <v>20160.734103390721</v>
      </c>
      <c r="F36" s="224">
        <f>$D36*E36</f>
        <v>20160.734103390721</v>
      </c>
    </row>
    <row r="37" spans="1:6" s="104" customFormat="1" ht="31.5" x14ac:dyDescent="0.25">
      <c r="A37" s="179"/>
      <c r="B37" s="170" t="s">
        <v>106</v>
      </c>
      <c r="C37" s="169"/>
      <c r="D37" s="228"/>
      <c r="E37" s="228"/>
      <c r="F37" s="225"/>
    </row>
    <row r="38" spans="1:6" ht="90" x14ac:dyDescent="0.2">
      <c r="A38" s="176">
        <v>2.0149999999999983</v>
      </c>
      <c r="B38" s="173" t="s">
        <v>107</v>
      </c>
      <c r="C38" s="172" t="s">
        <v>659</v>
      </c>
      <c r="D38" s="228">
        <v>1</v>
      </c>
      <c r="E38" s="224">
        <v>91380.237319981854</v>
      </c>
      <c r="F38" s="224">
        <f>$D38*E38</f>
        <v>91380.237319981854</v>
      </c>
    </row>
    <row r="39" spans="1:6" s="104" customFormat="1" ht="31.5" x14ac:dyDescent="0.25">
      <c r="A39" s="176"/>
      <c r="B39" s="170" t="s">
        <v>108</v>
      </c>
      <c r="C39" s="172"/>
      <c r="D39" s="228"/>
      <c r="E39" s="223"/>
      <c r="F39" s="223"/>
    </row>
    <row r="40" spans="1:6" ht="90" x14ac:dyDescent="0.2">
      <c r="A40" s="176">
        <v>2.0159999999999982</v>
      </c>
      <c r="B40" s="173" t="s">
        <v>107</v>
      </c>
      <c r="C40" s="172" t="s">
        <v>659</v>
      </c>
      <c r="D40" s="228">
        <v>1</v>
      </c>
      <c r="E40" s="224">
        <v>184822.31198175545</v>
      </c>
      <c r="F40" s="224">
        <f>$D40*E40</f>
        <v>184822.31198175545</v>
      </c>
    </row>
    <row r="41" spans="1:6" ht="45" x14ac:dyDescent="0.2">
      <c r="A41" s="176">
        <v>2.0169999999999981</v>
      </c>
      <c r="B41" s="173" t="s">
        <v>110</v>
      </c>
      <c r="C41" s="172" t="s">
        <v>659</v>
      </c>
      <c r="D41" s="228">
        <v>1</v>
      </c>
      <c r="E41" s="224">
        <v>40843.078608284835</v>
      </c>
      <c r="F41" s="224">
        <f>$D41*E41</f>
        <v>40843.078608284835</v>
      </c>
    </row>
    <row r="42" spans="1:6" s="104" customFormat="1" ht="15.75" x14ac:dyDescent="0.25">
      <c r="A42" s="176"/>
      <c r="B42" s="170" t="s">
        <v>328</v>
      </c>
      <c r="C42" s="172"/>
      <c r="D42" s="228"/>
      <c r="E42" s="223"/>
      <c r="F42" s="223"/>
    </row>
    <row r="43" spans="1:6" x14ac:dyDescent="0.2">
      <c r="A43" s="176">
        <v>2.017999999999998</v>
      </c>
      <c r="B43" s="173" t="s">
        <v>463</v>
      </c>
      <c r="C43" s="172" t="s">
        <v>659</v>
      </c>
      <c r="D43" s="228">
        <v>1</v>
      </c>
      <c r="E43" s="224">
        <v>13906.330138194331</v>
      </c>
      <c r="F43" s="224">
        <f>$D43*E43</f>
        <v>13906.330138194331</v>
      </c>
    </row>
    <row r="44" spans="1:6" ht="45" x14ac:dyDescent="0.2">
      <c r="A44" s="176">
        <v>2.0189999999999979</v>
      </c>
      <c r="B44" s="173" t="s">
        <v>109</v>
      </c>
      <c r="C44" s="172" t="s">
        <v>659</v>
      </c>
      <c r="D44" s="228">
        <v>1</v>
      </c>
      <c r="E44" s="224">
        <v>49618.574844205388</v>
      </c>
      <c r="F44" s="224">
        <f>$D44*E44</f>
        <v>49618.574844205388</v>
      </c>
    </row>
    <row r="45" spans="1:6" s="104" customFormat="1" ht="15.75" x14ac:dyDescent="0.25">
      <c r="A45" s="176"/>
      <c r="B45" s="170" t="s">
        <v>111</v>
      </c>
      <c r="C45" s="172"/>
      <c r="D45" s="228"/>
      <c r="E45" s="223"/>
      <c r="F45" s="223"/>
    </row>
    <row r="46" spans="1:6" ht="30" x14ac:dyDescent="0.2">
      <c r="A46" s="176">
        <v>2.0199999999999978</v>
      </c>
      <c r="B46" s="173" t="s">
        <v>112</v>
      </c>
      <c r="C46" s="172" t="s">
        <v>659</v>
      </c>
      <c r="D46" s="228">
        <v>1</v>
      </c>
      <c r="E46" s="224">
        <v>26572.605359607001</v>
      </c>
      <c r="F46" s="224">
        <f>$D46*E46</f>
        <v>26572.605359607001</v>
      </c>
    </row>
    <row r="47" spans="1:6" s="104" customFormat="1" ht="15.75" x14ac:dyDescent="0.25">
      <c r="A47" s="172"/>
      <c r="B47" s="180" t="s">
        <v>669</v>
      </c>
      <c r="C47" s="174"/>
      <c r="D47" s="229"/>
      <c r="E47" s="223"/>
      <c r="F47" s="223"/>
    </row>
    <row r="48" spans="1:6" s="104" customFormat="1" ht="60" x14ac:dyDescent="0.25">
      <c r="A48" s="172" t="s">
        <v>691</v>
      </c>
      <c r="B48" s="173" t="s">
        <v>670</v>
      </c>
      <c r="C48" s="174" t="s">
        <v>659</v>
      </c>
      <c r="D48" s="229">
        <v>1</v>
      </c>
      <c r="E48" s="224">
        <v>11947.830706134408</v>
      </c>
      <c r="F48" s="224">
        <f>$D48*E48</f>
        <v>11947.830706134408</v>
      </c>
    </row>
    <row r="49" spans="1:6" s="104" customFormat="1" ht="15.75" x14ac:dyDescent="0.25">
      <c r="A49" s="179"/>
      <c r="B49" s="170" t="s">
        <v>113</v>
      </c>
      <c r="C49" s="169"/>
      <c r="D49" s="228"/>
      <c r="E49" s="225"/>
      <c r="F49" s="225"/>
    </row>
    <row r="50" spans="1:6" x14ac:dyDescent="0.2">
      <c r="A50" s="176"/>
      <c r="B50" s="173" t="s">
        <v>114</v>
      </c>
      <c r="C50" s="172"/>
      <c r="D50" s="228"/>
      <c r="E50" s="223"/>
      <c r="F50" s="223"/>
    </row>
    <row r="51" spans="1:6" ht="220.5" x14ac:dyDescent="0.2">
      <c r="A51" s="176"/>
      <c r="B51" s="170" t="s">
        <v>702</v>
      </c>
      <c r="C51" s="169"/>
      <c r="D51" s="228"/>
      <c r="E51" s="225"/>
      <c r="F51" s="225"/>
    </row>
    <row r="52" spans="1:6" x14ac:dyDescent="0.2">
      <c r="A52" s="107">
        <v>2.0209999999999977</v>
      </c>
      <c r="B52" s="173" t="s">
        <v>115</v>
      </c>
      <c r="C52" s="172" t="s">
        <v>659</v>
      </c>
      <c r="D52" s="228">
        <v>1</v>
      </c>
      <c r="E52" s="224">
        <v>21651.752515235334</v>
      </c>
      <c r="F52" s="224">
        <f t="shared" ref="F52:F57" si="0">$D52*E52</f>
        <v>21651.752515235334</v>
      </c>
    </row>
    <row r="53" spans="1:6" x14ac:dyDescent="0.2">
      <c r="A53" s="107">
        <v>2.0219999999999976</v>
      </c>
      <c r="B53" s="173" t="s">
        <v>464</v>
      </c>
      <c r="C53" s="172" t="s">
        <v>659</v>
      </c>
      <c r="D53" s="228">
        <v>1</v>
      </c>
      <c r="E53" s="224">
        <v>21651.752515235334</v>
      </c>
      <c r="F53" s="224">
        <f t="shared" si="0"/>
        <v>21651.752515235334</v>
      </c>
    </row>
    <row r="54" spans="1:6" x14ac:dyDescent="0.2">
      <c r="A54" s="107">
        <v>2.0229999999999975</v>
      </c>
      <c r="B54" s="173" t="s">
        <v>332</v>
      </c>
      <c r="C54" s="172" t="s">
        <v>659</v>
      </c>
      <c r="D54" s="228">
        <v>1</v>
      </c>
      <c r="E54" s="224">
        <v>21651.752515235334</v>
      </c>
      <c r="F54" s="224">
        <f t="shared" si="0"/>
        <v>21651.752515235334</v>
      </c>
    </row>
    <row r="55" spans="1:6" x14ac:dyDescent="0.2">
      <c r="A55" s="107">
        <v>2.0239999999999974</v>
      </c>
      <c r="B55" s="173" t="s">
        <v>119</v>
      </c>
      <c r="C55" s="172" t="s">
        <v>659</v>
      </c>
      <c r="D55" s="228">
        <v>1</v>
      </c>
      <c r="E55" s="224">
        <v>30017.202350667169</v>
      </c>
      <c r="F55" s="224">
        <f t="shared" si="0"/>
        <v>30017.202350667169</v>
      </c>
    </row>
    <row r="56" spans="1:6" x14ac:dyDescent="0.2">
      <c r="A56" s="107">
        <v>2.0249999999999972</v>
      </c>
      <c r="B56" s="173" t="s">
        <v>388</v>
      </c>
      <c r="C56" s="172" t="s">
        <v>659</v>
      </c>
      <c r="D56" s="228">
        <v>1</v>
      </c>
      <c r="E56" s="224">
        <v>21651.752515235334</v>
      </c>
      <c r="F56" s="224">
        <f t="shared" si="0"/>
        <v>21651.752515235334</v>
      </c>
    </row>
    <row r="57" spans="1:6" x14ac:dyDescent="0.2">
      <c r="A57" s="107">
        <v>2.0259999999999971</v>
      </c>
      <c r="B57" s="173" t="s">
        <v>120</v>
      </c>
      <c r="C57" s="172" t="s">
        <v>659</v>
      </c>
      <c r="D57" s="228">
        <v>1</v>
      </c>
      <c r="E57" s="224">
        <v>21651.752515235334</v>
      </c>
      <c r="F57" s="224">
        <f t="shared" si="0"/>
        <v>21651.752515235334</v>
      </c>
    </row>
    <row r="58" spans="1:6" ht="15.75" x14ac:dyDescent="0.2">
      <c r="A58" s="176"/>
      <c r="B58" s="170" t="s">
        <v>121</v>
      </c>
      <c r="C58" s="172"/>
      <c r="D58" s="229"/>
      <c r="E58" s="223"/>
      <c r="F58" s="223"/>
    </row>
    <row r="59" spans="1:6" ht="45" x14ac:dyDescent="0.2">
      <c r="A59" s="107">
        <v>2.026999999999997</v>
      </c>
      <c r="B59" s="173" t="s">
        <v>333</v>
      </c>
      <c r="C59" s="172" t="s">
        <v>659</v>
      </c>
      <c r="D59" s="228">
        <v>1</v>
      </c>
      <c r="E59" s="224">
        <v>10629.0421438428</v>
      </c>
      <c r="F59" s="224">
        <f>$D59*E59</f>
        <v>10629.0421438428</v>
      </c>
    </row>
    <row r="60" spans="1:6" ht="48.6" customHeight="1" x14ac:dyDescent="0.2">
      <c r="A60" s="107">
        <v>2.0279999999999969</v>
      </c>
      <c r="B60" s="173" t="s">
        <v>123</v>
      </c>
      <c r="C60" s="172" t="s">
        <v>659</v>
      </c>
      <c r="D60" s="228">
        <v>1</v>
      </c>
      <c r="E60" s="224">
        <v>10050.546683458468</v>
      </c>
      <c r="F60" s="224">
        <f>$D60*E60</f>
        <v>10050.546683458468</v>
      </c>
    </row>
    <row r="61" spans="1:6" ht="15.75" x14ac:dyDescent="0.2">
      <c r="A61" s="209"/>
      <c r="B61" s="210" t="s">
        <v>646</v>
      </c>
      <c r="C61" s="211"/>
      <c r="D61" s="230"/>
      <c r="E61" s="223"/>
      <c r="F61" s="223"/>
    </row>
    <row r="62" spans="1:6" ht="97.15" customHeight="1" x14ac:dyDescent="0.2">
      <c r="A62" s="209">
        <f>MAX(A51:A61)+0.001</f>
        <v>2.0289999999999968</v>
      </c>
      <c r="B62" s="212" t="s">
        <v>650</v>
      </c>
      <c r="C62" s="211" t="s">
        <v>659</v>
      </c>
      <c r="D62" s="231">
        <v>1</v>
      </c>
      <c r="E62" s="224">
        <v>58030.539926902165</v>
      </c>
      <c r="F62" s="224">
        <f>$D62*E62</f>
        <v>58030.539926902165</v>
      </c>
    </row>
    <row r="63" spans="1:6" ht="15.75" x14ac:dyDescent="0.2">
      <c r="A63" s="176"/>
      <c r="B63" s="170" t="s">
        <v>124</v>
      </c>
      <c r="C63" s="172"/>
      <c r="D63" s="229"/>
      <c r="E63" s="223"/>
      <c r="F63" s="223"/>
    </row>
    <row r="64" spans="1:6" ht="30" x14ac:dyDescent="0.2">
      <c r="A64" s="176">
        <v>2.0309999999999966</v>
      </c>
      <c r="B64" s="173" t="s">
        <v>125</v>
      </c>
      <c r="C64" s="172" t="s">
        <v>659</v>
      </c>
      <c r="D64" s="228">
        <v>1</v>
      </c>
      <c r="E64" s="224">
        <v>47104.091278851221</v>
      </c>
      <c r="F64" s="224">
        <f>$D64*E64</f>
        <v>47104.091278851221</v>
      </c>
    </row>
    <row r="65" spans="1:6" s="104" customFormat="1" ht="15.75" x14ac:dyDescent="0.25">
      <c r="A65" s="176"/>
      <c r="B65" s="170" t="s">
        <v>126</v>
      </c>
      <c r="C65" s="172"/>
      <c r="D65" s="229"/>
      <c r="E65" s="223"/>
      <c r="F65" s="223"/>
    </row>
    <row r="66" spans="1:6" ht="30" x14ac:dyDescent="0.2">
      <c r="A66" s="176">
        <v>2.0319999999999965</v>
      </c>
      <c r="B66" s="173" t="s">
        <v>127</v>
      </c>
      <c r="C66" s="172" t="s">
        <v>659</v>
      </c>
      <c r="D66" s="228">
        <v>1</v>
      </c>
      <c r="E66" s="224">
        <v>33461.799341727339</v>
      </c>
      <c r="F66" s="224">
        <f>$D66*E66</f>
        <v>33461.799341727339</v>
      </c>
    </row>
    <row r="67" spans="1:6" s="104" customFormat="1" ht="15.75" x14ac:dyDescent="0.25">
      <c r="A67" s="176"/>
      <c r="B67" s="170" t="s">
        <v>128</v>
      </c>
      <c r="C67" s="172"/>
      <c r="D67" s="229"/>
      <c r="E67" s="223"/>
      <c r="F67" s="223"/>
    </row>
    <row r="68" spans="1:6" s="104" customFormat="1" ht="30" x14ac:dyDescent="0.25">
      <c r="A68" s="176">
        <v>2.0329999999999964</v>
      </c>
      <c r="B68" s="173" t="s">
        <v>129</v>
      </c>
      <c r="C68" s="172" t="s">
        <v>659</v>
      </c>
      <c r="D68" s="228">
        <v>1</v>
      </c>
      <c r="E68" s="224">
        <v>2710.405746679914</v>
      </c>
      <c r="F68" s="224">
        <f>$D68*E68</f>
        <v>2710.405746679914</v>
      </c>
    </row>
    <row r="69" spans="1:6" ht="15.75" x14ac:dyDescent="0.2">
      <c r="A69" s="179"/>
      <c r="B69" s="170" t="s">
        <v>130</v>
      </c>
      <c r="C69" s="169"/>
      <c r="D69" s="232"/>
      <c r="E69" s="225"/>
      <c r="F69" s="225"/>
    </row>
    <row r="70" spans="1:6" s="104" customFormat="1" ht="15.75" x14ac:dyDescent="0.25">
      <c r="A70" s="176"/>
      <c r="B70" s="173" t="s">
        <v>131</v>
      </c>
      <c r="C70" s="172"/>
      <c r="D70" s="229"/>
      <c r="E70" s="223"/>
      <c r="F70" s="223"/>
    </row>
    <row r="71" spans="1:6" ht="60" x14ac:dyDescent="0.2">
      <c r="A71" s="176">
        <v>2.0339999999999963</v>
      </c>
      <c r="B71" s="173" t="s">
        <v>132</v>
      </c>
      <c r="C71" s="172" t="s">
        <v>659</v>
      </c>
      <c r="D71" s="228">
        <v>1</v>
      </c>
      <c r="E71" s="224">
        <v>6451.4349130850314</v>
      </c>
      <c r="F71" s="224">
        <f>$D71*E71</f>
        <v>6451.4349130850314</v>
      </c>
    </row>
    <row r="72" spans="1:6" ht="15.75" x14ac:dyDescent="0.2">
      <c r="A72" s="179"/>
      <c r="B72" s="170" t="s">
        <v>133</v>
      </c>
      <c r="C72" s="169"/>
      <c r="D72" s="232"/>
      <c r="E72" s="225"/>
      <c r="F72" s="225"/>
    </row>
    <row r="73" spans="1:6" s="104" customFormat="1" ht="60" x14ac:dyDescent="0.25">
      <c r="A73" s="176">
        <v>2.0349999999999961</v>
      </c>
      <c r="B73" s="173" t="s">
        <v>134</v>
      </c>
      <c r="C73" s="172" t="s">
        <v>659</v>
      </c>
      <c r="D73" s="228">
        <v>1</v>
      </c>
      <c r="E73" s="224">
        <v>13250.872539324027</v>
      </c>
      <c r="F73" s="224">
        <f>$D73*E73</f>
        <v>13250.872539324027</v>
      </c>
    </row>
    <row r="74" spans="1:6" ht="60" x14ac:dyDescent="0.2">
      <c r="A74" s="176">
        <v>2.035999999999996</v>
      </c>
      <c r="B74" s="173" t="s">
        <v>135</v>
      </c>
      <c r="C74" s="172" t="s">
        <v>659</v>
      </c>
      <c r="D74" s="228">
        <v>1</v>
      </c>
      <c r="E74" s="224">
        <v>8833.9150262160165</v>
      </c>
      <c r="F74" s="224">
        <f>$D74*E74</f>
        <v>8833.9150262160165</v>
      </c>
    </row>
    <row r="75" spans="1:6" ht="15.75" x14ac:dyDescent="0.2">
      <c r="A75" s="179"/>
      <c r="B75" s="170" t="s">
        <v>465</v>
      </c>
      <c r="C75" s="169"/>
      <c r="D75" s="232"/>
      <c r="E75" s="225"/>
      <c r="F75" s="225"/>
    </row>
    <row r="76" spans="1:6" ht="60" x14ac:dyDescent="0.2">
      <c r="A76" s="176">
        <v>2.0369999999999959</v>
      </c>
      <c r="B76" s="173" t="s">
        <v>334</v>
      </c>
      <c r="C76" s="172" t="s">
        <v>659</v>
      </c>
      <c r="D76" s="228">
        <v>1</v>
      </c>
      <c r="E76" s="224">
        <v>111844.39120975653</v>
      </c>
      <c r="F76" s="224">
        <f t="shared" ref="F76:F88" si="1">$D76*E76</f>
        <v>111844.39120975653</v>
      </c>
    </row>
    <row r="77" spans="1:6" x14ac:dyDescent="0.2">
      <c r="A77" s="176">
        <v>2.0379999999999958</v>
      </c>
      <c r="B77" s="173" t="s">
        <v>141</v>
      </c>
      <c r="C77" s="172" t="s">
        <v>659</v>
      </c>
      <c r="D77" s="228">
        <v>1</v>
      </c>
      <c r="E77" s="224">
        <v>20868.116541474839</v>
      </c>
      <c r="F77" s="224">
        <f t="shared" si="1"/>
        <v>20868.116541474839</v>
      </c>
    </row>
    <row r="78" spans="1:6" ht="30" x14ac:dyDescent="0.2">
      <c r="A78" s="176">
        <v>2.0389999999999957</v>
      </c>
      <c r="B78" s="173" t="s">
        <v>144</v>
      </c>
      <c r="C78" s="172" t="s">
        <v>659</v>
      </c>
      <c r="D78" s="228">
        <v>1</v>
      </c>
      <c r="E78" s="224">
        <v>522688.36352748482</v>
      </c>
      <c r="F78" s="224">
        <f t="shared" si="1"/>
        <v>522688.36352748482</v>
      </c>
    </row>
    <row r="79" spans="1:6" ht="22.15" customHeight="1" x14ac:dyDescent="0.2">
      <c r="A79" s="176">
        <v>2.0399999999999956</v>
      </c>
      <c r="B79" s="173" t="s">
        <v>142</v>
      </c>
      <c r="C79" s="172" t="s">
        <v>659</v>
      </c>
      <c r="D79" s="228">
        <v>1</v>
      </c>
      <c r="E79" s="224">
        <v>30115.619407554605</v>
      </c>
      <c r="F79" s="224">
        <f t="shared" si="1"/>
        <v>30115.619407554605</v>
      </c>
    </row>
    <row r="80" spans="1:6" ht="32.25" customHeight="1" x14ac:dyDescent="0.2">
      <c r="A80" s="176">
        <v>2.0409999999999955</v>
      </c>
      <c r="B80" s="173" t="s">
        <v>143</v>
      </c>
      <c r="C80" s="172" t="s">
        <v>659</v>
      </c>
      <c r="D80" s="228">
        <v>1</v>
      </c>
      <c r="E80" s="224">
        <v>273236.2040935983</v>
      </c>
      <c r="F80" s="224">
        <f t="shared" si="1"/>
        <v>273236.2040935983</v>
      </c>
    </row>
    <row r="81" spans="1:6" ht="30" x14ac:dyDescent="0.2">
      <c r="A81" s="176">
        <v>2.0419999999999954</v>
      </c>
      <c r="B81" s="173" t="s">
        <v>145</v>
      </c>
      <c r="C81" s="172" t="s">
        <v>659</v>
      </c>
      <c r="D81" s="228">
        <v>1</v>
      </c>
      <c r="E81" s="224">
        <v>38206.682488384278</v>
      </c>
      <c r="F81" s="224">
        <f t="shared" si="1"/>
        <v>38206.682488384278</v>
      </c>
    </row>
    <row r="82" spans="1:6" ht="30" x14ac:dyDescent="0.2">
      <c r="A82" s="176">
        <v>2.0429999999999953</v>
      </c>
      <c r="B82" s="173" t="s">
        <v>146</v>
      </c>
      <c r="C82" s="172" t="s">
        <v>659</v>
      </c>
      <c r="D82" s="228">
        <v>1</v>
      </c>
      <c r="E82" s="224">
        <v>25471.12165892285</v>
      </c>
      <c r="F82" s="224">
        <f t="shared" si="1"/>
        <v>25471.12165892285</v>
      </c>
    </row>
    <row r="83" spans="1:6" ht="30" x14ac:dyDescent="0.2">
      <c r="A83" s="176">
        <v>2.0439999999999952</v>
      </c>
      <c r="B83" s="173" t="s">
        <v>147</v>
      </c>
      <c r="C83" s="172" t="s">
        <v>659</v>
      </c>
      <c r="D83" s="228">
        <v>1</v>
      </c>
      <c r="E83" s="224">
        <v>192097.4976609883</v>
      </c>
      <c r="F83" s="224">
        <f t="shared" si="1"/>
        <v>192097.4976609883</v>
      </c>
    </row>
    <row r="84" spans="1:6" ht="30" x14ac:dyDescent="0.2">
      <c r="A84" s="176">
        <v>2.044999999999995</v>
      </c>
      <c r="B84" s="173" t="s">
        <v>148</v>
      </c>
      <c r="C84" s="172" t="s">
        <v>659</v>
      </c>
      <c r="D84" s="228">
        <v>1</v>
      </c>
      <c r="E84" s="224">
        <v>128064.99844065886</v>
      </c>
      <c r="F84" s="224">
        <f t="shared" si="1"/>
        <v>128064.99844065886</v>
      </c>
    </row>
    <row r="85" spans="1:6" ht="30" x14ac:dyDescent="0.2">
      <c r="A85" s="176">
        <v>2.0459999999999949</v>
      </c>
      <c r="B85" s="173" t="s">
        <v>149</v>
      </c>
      <c r="C85" s="172" t="s">
        <v>659</v>
      </c>
      <c r="D85" s="228">
        <v>1</v>
      </c>
      <c r="E85" s="224">
        <v>21750.504190116186</v>
      </c>
      <c r="F85" s="224">
        <f t="shared" si="1"/>
        <v>21750.504190116186</v>
      </c>
    </row>
    <row r="86" spans="1:6" ht="60" x14ac:dyDescent="0.2">
      <c r="A86" s="176">
        <v>2.0469999999999948</v>
      </c>
      <c r="B86" s="173" t="s">
        <v>150</v>
      </c>
      <c r="C86" s="172" t="s">
        <v>659</v>
      </c>
      <c r="D86" s="228">
        <v>1</v>
      </c>
      <c r="E86" s="224">
        <v>14500.336126744125</v>
      </c>
      <c r="F86" s="224">
        <f t="shared" si="1"/>
        <v>14500.336126744125</v>
      </c>
    </row>
    <row r="87" spans="1:6" s="104" customFormat="1" ht="30" x14ac:dyDescent="0.25">
      <c r="A87" s="176">
        <v>2.0479999999999947</v>
      </c>
      <c r="B87" s="173" t="s">
        <v>151</v>
      </c>
      <c r="C87" s="172" t="s">
        <v>659</v>
      </c>
      <c r="D87" s="228">
        <v>1</v>
      </c>
      <c r="E87" s="224">
        <v>21177.303567392399</v>
      </c>
      <c r="F87" s="224">
        <f t="shared" si="1"/>
        <v>21177.303567392399</v>
      </c>
    </row>
    <row r="88" spans="1:6" s="104" customFormat="1" ht="45" x14ac:dyDescent="0.25">
      <c r="A88" s="176">
        <v>2.0489999999999946</v>
      </c>
      <c r="B88" s="173" t="s">
        <v>152</v>
      </c>
      <c r="C88" s="172" t="s">
        <v>659</v>
      </c>
      <c r="D88" s="228">
        <v>1</v>
      </c>
      <c r="E88" s="224">
        <v>11765.168648551333</v>
      </c>
      <c r="F88" s="224">
        <f t="shared" si="1"/>
        <v>11765.168648551333</v>
      </c>
    </row>
    <row r="89" spans="1:6" ht="15.75" x14ac:dyDescent="0.2">
      <c r="A89" s="176"/>
      <c r="B89" s="170" t="s">
        <v>153</v>
      </c>
      <c r="C89" s="172"/>
      <c r="D89" s="229"/>
      <c r="E89" s="223"/>
      <c r="F89" s="223"/>
    </row>
    <row r="90" spans="1:6" ht="90" x14ac:dyDescent="0.2">
      <c r="A90" s="176"/>
      <c r="B90" s="173" t="s">
        <v>154</v>
      </c>
      <c r="C90" s="172"/>
      <c r="D90" s="229"/>
      <c r="E90" s="223"/>
      <c r="F90" s="223"/>
    </row>
    <row r="91" spans="1:6" x14ac:dyDescent="0.2">
      <c r="A91" s="176">
        <v>2.0499999999999945</v>
      </c>
      <c r="B91" s="173" t="s">
        <v>397</v>
      </c>
      <c r="C91" s="172" t="s">
        <v>659</v>
      </c>
      <c r="D91" s="228">
        <v>1</v>
      </c>
      <c r="E91" s="224">
        <v>586904.81597813335</v>
      </c>
      <c r="F91" s="224">
        <f>$D91*E91</f>
        <v>586904.81597813335</v>
      </c>
    </row>
    <row r="92" spans="1:6" s="104" customFormat="1" ht="15.75" x14ac:dyDescent="0.25">
      <c r="A92" s="176">
        <v>2.0509999999999944</v>
      </c>
      <c r="B92" s="173" t="s">
        <v>398</v>
      </c>
      <c r="C92" s="172" t="s">
        <v>659</v>
      </c>
      <c r="D92" s="228">
        <v>1</v>
      </c>
      <c r="E92" s="224">
        <v>278082.61033945798</v>
      </c>
      <c r="F92" s="224">
        <f>$D92*E92</f>
        <v>278082.61033945798</v>
      </c>
    </row>
    <row r="93" spans="1:6" x14ac:dyDescent="0.2">
      <c r="A93" s="176">
        <v>2.0519999999999943</v>
      </c>
      <c r="B93" s="173" t="s">
        <v>399</v>
      </c>
      <c r="C93" s="172" t="s">
        <v>659</v>
      </c>
      <c r="D93" s="228">
        <v>1</v>
      </c>
      <c r="E93" s="224">
        <v>308022.55530046852</v>
      </c>
      <c r="F93" s="224">
        <f>$D93*E93</f>
        <v>308022.55530046852</v>
      </c>
    </row>
    <row r="94" spans="1:6" ht="15.75" x14ac:dyDescent="0.2">
      <c r="A94" s="176"/>
      <c r="B94" s="170" t="s">
        <v>156</v>
      </c>
      <c r="C94" s="172"/>
      <c r="D94" s="229"/>
      <c r="E94" s="223"/>
      <c r="F94" s="223"/>
    </row>
    <row r="95" spans="1:6" x14ac:dyDescent="0.2">
      <c r="A95" s="176">
        <v>2.0529999999999942</v>
      </c>
      <c r="B95" s="173" t="s">
        <v>157</v>
      </c>
      <c r="C95" s="172" t="s">
        <v>659</v>
      </c>
      <c r="D95" s="228">
        <v>1</v>
      </c>
      <c r="E95" s="224">
        <v>54208.114933598292</v>
      </c>
      <c r="F95" s="224">
        <f>$D95*E95</f>
        <v>54208.114933598292</v>
      </c>
    </row>
    <row r="96" spans="1:6" x14ac:dyDescent="0.2">
      <c r="A96" s="176">
        <v>2.0539999999999941</v>
      </c>
      <c r="B96" s="173" t="s">
        <v>336</v>
      </c>
      <c r="C96" s="172" t="s">
        <v>659</v>
      </c>
      <c r="D96" s="228">
        <v>1</v>
      </c>
      <c r="E96" s="224">
        <v>10038.5398025182</v>
      </c>
      <c r="F96" s="224">
        <f>$D96*E96</f>
        <v>10038.5398025182</v>
      </c>
    </row>
    <row r="97" spans="1:6" s="104" customFormat="1" ht="15.75" x14ac:dyDescent="0.25">
      <c r="A97" s="176">
        <v>2.0549999999999939</v>
      </c>
      <c r="B97" s="173" t="s">
        <v>466</v>
      </c>
      <c r="C97" s="172" t="s">
        <v>659</v>
      </c>
      <c r="D97" s="228">
        <v>1</v>
      </c>
      <c r="E97" s="224">
        <v>10038.5398025182</v>
      </c>
      <c r="F97" s="224">
        <f>$D97*E97</f>
        <v>10038.5398025182</v>
      </c>
    </row>
    <row r="98" spans="1:6" s="104" customFormat="1" ht="15.75" x14ac:dyDescent="0.25">
      <c r="A98" s="176">
        <v>2.0559999999999938</v>
      </c>
      <c r="B98" s="173" t="s">
        <v>467</v>
      </c>
      <c r="C98" s="172" t="s">
        <v>659</v>
      </c>
      <c r="D98" s="228">
        <v>1</v>
      </c>
      <c r="E98" s="224">
        <v>3346.1799341727342</v>
      </c>
      <c r="F98" s="224">
        <f>$D98*E98</f>
        <v>3346.1799341727342</v>
      </c>
    </row>
    <row r="99" spans="1:6" ht="32.25" customHeight="1" x14ac:dyDescent="0.2">
      <c r="A99" s="179"/>
      <c r="B99" s="170" t="s">
        <v>159</v>
      </c>
      <c r="C99" s="169"/>
      <c r="D99" s="232"/>
      <c r="E99" s="225"/>
      <c r="F99" s="225"/>
    </row>
    <row r="100" spans="1:6" ht="15.75" x14ac:dyDescent="0.2">
      <c r="A100" s="179"/>
      <c r="B100" s="173" t="s">
        <v>160</v>
      </c>
      <c r="C100" s="169"/>
      <c r="D100" s="232"/>
      <c r="E100" s="225"/>
      <c r="F100" s="225"/>
    </row>
    <row r="101" spans="1:6" x14ac:dyDescent="0.2">
      <c r="A101" s="176">
        <v>2.0569999999999937</v>
      </c>
      <c r="B101" s="173" t="s">
        <v>468</v>
      </c>
      <c r="C101" s="172" t="s">
        <v>659</v>
      </c>
      <c r="D101" s="228">
        <v>1</v>
      </c>
      <c r="E101" s="224">
        <v>17567.444654406852</v>
      </c>
      <c r="F101" s="224">
        <f t="shared" ref="F101:F107" si="2">$D101*E101</f>
        <v>17567.444654406852</v>
      </c>
    </row>
    <row r="102" spans="1:6" ht="30" x14ac:dyDescent="0.2">
      <c r="A102" s="176">
        <v>2.0579999999999936</v>
      </c>
      <c r="B102" s="173" t="s">
        <v>163</v>
      </c>
      <c r="C102" s="172" t="s">
        <v>659</v>
      </c>
      <c r="D102" s="228">
        <v>1</v>
      </c>
      <c r="E102" s="224">
        <v>200101.5600635295</v>
      </c>
      <c r="F102" s="224">
        <f t="shared" si="2"/>
        <v>200101.5600635295</v>
      </c>
    </row>
    <row r="103" spans="1:6" x14ac:dyDescent="0.2">
      <c r="A103" s="176">
        <v>2.0589999999999935</v>
      </c>
      <c r="B103" s="173" t="s">
        <v>169</v>
      </c>
      <c r="C103" s="172" t="s">
        <v>659</v>
      </c>
      <c r="D103" s="228">
        <v>1</v>
      </c>
      <c r="E103" s="224">
        <v>16730.89967086367</v>
      </c>
      <c r="F103" s="224">
        <f t="shared" si="2"/>
        <v>16730.89967086367</v>
      </c>
    </row>
    <row r="104" spans="1:6" x14ac:dyDescent="0.2">
      <c r="A104" s="176">
        <v>2.0599999999999934</v>
      </c>
      <c r="B104" s="173" t="s">
        <v>172</v>
      </c>
      <c r="C104" s="172" t="s">
        <v>659</v>
      </c>
      <c r="D104" s="228">
        <v>1</v>
      </c>
      <c r="E104" s="224">
        <v>20077.079605036401</v>
      </c>
      <c r="F104" s="224">
        <f t="shared" si="2"/>
        <v>20077.079605036401</v>
      </c>
    </row>
    <row r="105" spans="1:6" x14ac:dyDescent="0.2">
      <c r="A105" s="176">
        <v>2.0609999999999933</v>
      </c>
      <c r="B105" s="173" t="s">
        <v>173</v>
      </c>
      <c r="C105" s="172" t="s">
        <v>659</v>
      </c>
      <c r="D105" s="228">
        <v>1</v>
      </c>
      <c r="E105" s="224">
        <v>3346.1799341727342</v>
      </c>
      <c r="F105" s="224">
        <f t="shared" si="2"/>
        <v>3346.1799341727342</v>
      </c>
    </row>
    <row r="106" spans="1:6" s="104" customFormat="1" ht="15.75" x14ac:dyDescent="0.25">
      <c r="A106" s="176">
        <v>2.0619999999999932</v>
      </c>
      <c r="B106" s="173" t="s">
        <v>174</v>
      </c>
      <c r="C106" s="172" t="s">
        <v>659</v>
      </c>
      <c r="D106" s="228">
        <v>1</v>
      </c>
      <c r="E106" s="224">
        <v>8030.8318420145615</v>
      </c>
      <c r="F106" s="224">
        <f t="shared" si="2"/>
        <v>8030.8318420145615</v>
      </c>
    </row>
    <row r="107" spans="1:6" x14ac:dyDescent="0.2">
      <c r="A107" s="176">
        <v>2.0629999999999931</v>
      </c>
      <c r="B107" s="173" t="s">
        <v>469</v>
      </c>
      <c r="C107" s="172" t="s">
        <v>659</v>
      </c>
      <c r="D107" s="228">
        <v>1</v>
      </c>
      <c r="E107" s="224">
        <v>33461.799341727339</v>
      </c>
      <c r="F107" s="224">
        <f t="shared" si="2"/>
        <v>33461.799341727339</v>
      </c>
    </row>
    <row r="108" spans="1:6" ht="15.75" x14ac:dyDescent="0.2">
      <c r="A108" s="176"/>
      <c r="B108" s="170" t="s">
        <v>175</v>
      </c>
      <c r="C108" s="172"/>
      <c r="D108" s="229"/>
      <c r="E108" s="223"/>
      <c r="F108" s="223"/>
    </row>
    <row r="109" spans="1:6" ht="24" customHeight="1" x14ac:dyDescent="0.2">
      <c r="A109" s="176">
        <v>2.063999999999993</v>
      </c>
      <c r="B109" s="173" t="s">
        <v>177</v>
      </c>
      <c r="C109" s="172" t="s">
        <v>659</v>
      </c>
      <c r="D109" s="228">
        <v>1</v>
      </c>
      <c r="E109" s="224">
        <v>194998.63566391604</v>
      </c>
      <c r="F109" s="224">
        <f t="shared" ref="F109:F116" si="3">$D109*E109</f>
        <v>194998.63566391604</v>
      </c>
    </row>
    <row r="110" spans="1:6" ht="24" customHeight="1" x14ac:dyDescent="0.2">
      <c r="A110" s="176">
        <v>2.0649999999999928</v>
      </c>
      <c r="B110" s="173" t="s">
        <v>178</v>
      </c>
      <c r="C110" s="172" t="s">
        <v>659</v>
      </c>
      <c r="D110" s="228">
        <v>1</v>
      </c>
      <c r="E110" s="224">
        <v>129999.0904426107</v>
      </c>
      <c r="F110" s="224">
        <f t="shared" si="3"/>
        <v>129999.0904426107</v>
      </c>
    </row>
    <row r="111" spans="1:6" ht="24" customHeight="1" x14ac:dyDescent="0.2">
      <c r="A111" s="176">
        <v>2.0659999999999927</v>
      </c>
      <c r="B111" s="173" t="s">
        <v>344</v>
      </c>
      <c r="C111" s="172" t="s">
        <v>659</v>
      </c>
      <c r="D111" s="228">
        <v>1</v>
      </c>
      <c r="E111" s="224">
        <v>10943.976725882587</v>
      </c>
      <c r="F111" s="224">
        <f t="shared" si="3"/>
        <v>10943.976725882587</v>
      </c>
    </row>
    <row r="112" spans="1:6" ht="24" customHeight="1" x14ac:dyDescent="0.2">
      <c r="A112" s="176">
        <v>2.0669999999999926</v>
      </c>
      <c r="B112" s="173" t="s">
        <v>182</v>
      </c>
      <c r="C112" s="172" t="s">
        <v>659</v>
      </c>
      <c r="D112" s="228">
        <v>1</v>
      </c>
      <c r="E112" s="224">
        <v>8267.0327785444006</v>
      </c>
      <c r="F112" s="224">
        <f t="shared" si="3"/>
        <v>8267.0327785444006</v>
      </c>
    </row>
    <row r="113" spans="1:6" ht="24" customHeight="1" x14ac:dyDescent="0.2">
      <c r="A113" s="176">
        <v>2.0679999999999925</v>
      </c>
      <c r="B113" s="173" t="s">
        <v>179</v>
      </c>
      <c r="C113" s="172" t="s">
        <v>659</v>
      </c>
      <c r="D113" s="228">
        <v>1</v>
      </c>
      <c r="E113" s="224">
        <v>13384.719736690937</v>
      </c>
      <c r="F113" s="224">
        <f t="shared" si="3"/>
        <v>13384.719736690937</v>
      </c>
    </row>
    <row r="114" spans="1:6" ht="24" customHeight="1" x14ac:dyDescent="0.2">
      <c r="A114" s="176">
        <v>2.0689999999999924</v>
      </c>
      <c r="B114" s="173" t="s">
        <v>180</v>
      </c>
      <c r="C114" s="172" t="s">
        <v>659</v>
      </c>
      <c r="D114" s="228">
        <v>1</v>
      </c>
      <c r="E114" s="224">
        <v>5353.8878946763734</v>
      </c>
      <c r="F114" s="224">
        <f t="shared" si="3"/>
        <v>5353.8878946763734</v>
      </c>
    </row>
    <row r="115" spans="1:6" s="139" customFormat="1" ht="24" customHeight="1" x14ac:dyDescent="0.25">
      <c r="A115" s="176">
        <v>2.0699999999999923</v>
      </c>
      <c r="B115" s="173" t="s">
        <v>183</v>
      </c>
      <c r="C115" s="172" t="s">
        <v>659</v>
      </c>
      <c r="D115" s="228">
        <v>1</v>
      </c>
      <c r="E115" s="224">
        <v>2007.7079605036404</v>
      </c>
      <c r="F115" s="224">
        <f t="shared" si="3"/>
        <v>2007.7079605036404</v>
      </c>
    </row>
    <row r="116" spans="1:6" ht="20.45" customHeight="1" x14ac:dyDescent="0.2">
      <c r="A116" s="176">
        <v>2.0709999999999922</v>
      </c>
      <c r="B116" s="173" t="s">
        <v>184</v>
      </c>
      <c r="C116" s="172" t="s">
        <v>659</v>
      </c>
      <c r="D116" s="228">
        <v>1</v>
      </c>
      <c r="E116" s="224">
        <v>1003.8539802518202</v>
      </c>
      <c r="F116" s="224">
        <f t="shared" si="3"/>
        <v>1003.8539802518202</v>
      </c>
    </row>
    <row r="117" spans="1:6" ht="15.75" x14ac:dyDescent="0.2">
      <c r="A117" s="209"/>
      <c r="B117" s="210" t="s">
        <v>682</v>
      </c>
      <c r="C117" s="211"/>
      <c r="D117" s="231"/>
      <c r="E117" s="223"/>
      <c r="F117" s="223"/>
    </row>
    <row r="118" spans="1:6" ht="80.45" customHeight="1" x14ac:dyDescent="0.2">
      <c r="A118" s="209">
        <v>2.0719999999999921</v>
      </c>
      <c r="B118" s="212" t="s">
        <v>683</v>
      </c>
      <c r="C118" s="211" t="s">
        <v>659</v>
      </c>
      <c r="D118" s="231">
        <v>1</v>
      </c>
      <c r="E118" s="224">
        <v>167308.99670863667</v>
      </c>
      <c r="F118" s="224">
        <f>$D118*E118</f>
        <v>167308.99670863667</v>
      </c>
    </row>
    <row r="119" spans="1:6" ht="15.75" x14ac:dyDescent="0.25">
      <c r="A119" s="183"/>
      <c r="B119" s="171" t="s">
        <v>186</v>
      </c>
      <c r="C119" s="171"/>
      <c r="D119" s="184"/>
      <c r="E119" s="226"/>
      <c r="F119" s="225">
        <f>SUM(F8:F118)</f>
        <v>4633003.2638354069</v>
      </c>
    </row>
    <row r="120" spans="1:6" x14ac:dyDescent="0.2">
      <c r="D120" s="125"/>
      <c r="E120" s="125"/>
    </row>
  </sheetData>
  <sheetProtection formatCells="0" formatColumns="0" formatRows="0" insertColumns="0" insertRows="0" insertHyperlinks="0" deleteColumns="0" deleteRows="0" sort="0" autoFilter="0" pivotTables="0"/>
  <protectedRanges>
    <protectedRange sqref="F14" name="Range1_3_5_1_1"/>
    <protectedRange sqref="F14" name="Range2_2_5_1_1"/>
    <protectedRange sqref="E69" name="Range1_3_1_1"/>
    <protectedRange sqref="E72" name="Range1_2_1_1"/>
    <protectedRange sqref="E75" name="Range1_5_1"/>
    <protectedRange sqref="F119" name="Range1_1_1"/>
  </protectedRanges>
  <autoFilter ref="A6:F119" xr:uid="{F2BA12B4-41E4-4BC7-B762-676A09087979}"/>
  <pageMargins left="0.47244094488188981" right="0.47244094488188981" top="0.74803149606299213" bottom="0.74803149606299213" header="0.31496062992125984" footer="0.31496062992125984"/>
  <pageSetup paperSize="9" scale="91" fitToHeight="0" orientation="landscape" r:id="rId1"/>
  <headerFooter>
    <oddFooter>&amp;C&amp;"Arial,Bold"&amp;16&amp;P/&amp;N</oddFooter>
  </headerFooter>
  <rowBreaks count="8" manualBreakCount="8">
    <brk id="28" max="5" man="1"/>
    <brk id="38" max="5" man="1"/>
    <brk id="48" max="5" man="1"/>
    <brk id="57" max="5" man="1"/>
    <brk id="68" max="5" man="1"/>
    <brk id="79" max="5" man="1"/>
    <brk id="91" max="5" man="1"/>
    <brk id="107" max="5"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088F9-6ECF-4571-BAB3-A0B2487D11C5}">
  <dimension ref="A1:F120"/>
  <sheetViews>
    <sheetView view="pageBreakPreview" zoomScale="70" zoomScaleNormal="55" zoomScaleSheetLayoutView="70" workbookViewId="0">
      <selection activeCell="B8" sqref="B8"/>
    </sheetView>
  </sheetViews>
  <sheetFormatPr defaultColWidth="9.140625" defaultRowHeight="15" x14ac:dyDescent="0.2"/>
  <cols>
    <col min="1" max="1" width="9.140625" style="88"/>
    <col min="2" max="2" width="75.28515625" style="137" customWidth="1"/>
    <col min="3" max="3" width="12.42578125" style="86" bestFit="1" customWidth="1"/>
    <col min="4" max="4" width="14.28515625" style="88" customWidth="1"/>
    <col min="5" max="5" width="19.42578125" style="109" customWidth="1"/>
    <col min="6" max="6" width="19.5703125" style="109" customWidth="1"/>
    <col min="7" max="16384" width="9.140625" style="90"/>
  </cols>
  <sheetData>
    <row r="1" spans="1:6" x14ac:dyDescent="0.2">
      <c r="A1" s="86"/>
      <c r="B1" s="87"/>
      <c r="E1" s="89"/>
      <c r="F1" s="89"/>
    </row>
    <row r="2" spans="1:6" x14ac:dyDescent="0.2">
      <c r="A2" s="86"/>
      <c r="B2" s="87"/>
      <c r="E2" s="89"/>
      <c r="F2" s="89"/>
    </row>
    <row r="3" spans="1:6" ht="12" customHeight="1" thickBot="1" x14ac:dyDescent="0.25">
      <c r="A3" s="86"/>
      <c r="B3" s="273"/>
      <c r="C3" s="275"/>
      <c r="E3" s="89"/>
      <c r="F3" s="89"/>
    </row>
    <row r="4" spans="1:6" ht="33.950000000000003" customHeight="1" x14ac:dyDescent="0.2">
      <c r="A4" s="86"/>
      <c r="B4" s="87"/>
      <c r="E4" s="89"/>
      <c r="F4" s="89"/>
    </row>
    <row r="5" spans="1:6" s="95" customFormat="1" ht="15.75" x14ac:dyDescent="0.2">
      <c r="A5" s="155"/>
      <c r="B5" s="156" t="s">
        <v>187</v>
      </c>
      <c r="C5" s="155"/>
      <c r="D5" s="147"/>
      <c r="E5" s="129"/>
      <c r="F5" s="129"/>
    </row>
    <row r="6" spans="1:6" s="100" customFormat="1" ht="47.25" x14ac:dyDescent="0.2">
      <c r="A6" s="154" t="s">
        <v>14</v>
      </c>
      <c r="B6" s="157" t="s">
        <v>0</v>
      </c>
      <c r="C6" s="158" t="s">
        <v>15</v>
      </c>
      <c r="D6" s="158" t="s">
        <v>16</v>
      </c>
      <c r="E6" s="130" t="s">
        <v>17</v>
      </c>
      <c r="F6" s="130" t="s">
        <v>320</v>
      </c>
    </row>
    <row r="7" spans="1:6" s="104" customFormat="1" ht="15.75" x14ac:dyDescent="0.25">
      <c r="A7" s="169"/>
      <c r="B7" s="170" t="s">
        <v>188</v>
      </c>
      <c r="C7" s="171"/>
      <c r="D7" s="169"/>
      <c r="E7" s="106"/>
      <c r="F7" s="106"/>
    </row>
    <row r="8" spans="1:6" s="104" customFormat="1" ht="15.75" x14ac:dyDescent="0.25">
      <c r="A8" s="169"/>
      <c r="B8" s="170" t="s">
        <v>189</v>
      </c>
      <c r="C8" s="171"/>
      <c r="D8" s="197"/>
      <c r="E8" s="106"/>
      <c r="F8" s="106"/>
    </row>
    <row r="9" spans="1:6" s="104" customFormat="1" ht="15.75" x14ac:dyDescent="0.25">
      <c r="A9" s="172">
        <v>3.0009999999999999</v>
      </c>
      <c r="B9" s="173" t="s">
        <v>190</v>
      </c>
      <c r="C9" s="174" t="s">
        <v>659</v>
      </c>
      <c r="D9" s="189">
        <v>1</v>
      </c>
      <c r="E9" s="223">
        <v>41641.536190812585</v>
      </c>
      <c r="F9" s="223">
        <f>D9*E9</f>
        <v>41641.536190812585</v>
      </c>
    </row>
    <row r="10" spans="1:6" s="104" customFormat="1" ht="15.75" x14ac:dyDescent="0.25">
      <c r="A10" s="172">
        <v>3.0019999999999998</v>
      </c>
      <c r="B10" s="173" t="s">
        <v>191</v>
      </c>
      <c r="C10" s="174" t="s">
        <v>659</v>
      </c>
      <c r="D10" s="189">
        <v>1</v>
      </c>
      <c r="E10" s="223">
        <v>24984.921714487551</v>
      </c>
      <c r="F10" s="223">
        <f t="shared" ref="F10:F73" si="0">D10*E10</f>
        <v>24984.921714487551</v>
      </c>
    </row>
    <row r="11" spans="1:6" s="104" customFormat="1" ht="15.75" x14ac:dyDescent="0.25">
      <c r="A11" s="172"/>
      <c r="B11" s="170" t="s">
        <v>192</v>
      </c>
      <c r="C11" s="174"/>
      <c r="D11" s="189"/>
      <c r="E11" s="223"/>
      <c r="F11" s="223"/>
    </row>
    <row r="12" spans="1:6" s="104" customFormat="1" ht="15.75" x14ac:dyDescent="0.25">
      <c r="A12" s="172">
        <v>3.0029999999999997</v>
      </c>
      <c r="B12" s="173" t="s">
        <v>193</v>
      </c>
      <c r="C12" s="174" t="s">
        <v>659</v>
      </c>
      <c r="D12" s="189">
        <v>1</v>
      </c>
      <c r="E12" s="223">
        <v>2949.6576119732649</v>
      </c>
      <c r="F12" s="223">
        <f t="shared" si="0"/>
        <v>2949.6576119732649</v>
      </c>
    </row>
    <row r="13" spans="1:6" s="104" customFormat="1" ht="15.75" x14ac:dyDescent="0.25">
      <c r="A13" s="172">
        <v>3.0039999999999996</v>
      </c>
      <c r="B13" s="173" t="s">
        <v>194</v>
      </c>
      <c r="C13" s="174" t="s">
        <v>659</v>
      </c>
      <c r="D13" s="189">
        <v>1</v>
      </c>
      <c r="E13" s="223">
        <v>1769.7945671839591</v>
      </c>
      <c r="F13" s="223">
        <f t="shared" si="0"/>
        <v>1769.7945671839591</v>
      </c>
    </row>
    <row r="14" spans="1:6" s="104" customFormat="1" ht="15.75" x14ac:dyDescent="0.25">
      <c r="A14" s="172"/>
      <c r="B14" s="170" t="s">
        <v>413</v>
      </c>
      <c r="C14" s="174"/>
      <c r="D14" s="189"/>
      <c r="E14" s="223"/>
      <c r="F14" s="223"/>
    </row>
    <row r="15" spans="1:6" s="104" customFormat="1" ht="15.75" x14ac:dyDescent="0.25">
      <c r="A15" s="172">
        <v>3.0049999999999994</v>
      </c>
      <c r="B15" s="173" t="s">
        <v>470</v>
      </c>
      <c r="C15" s="174" t="s">
        <v>659</v>
      </c>
      <c r="D15" s="189">
        <v>1</v>
      </c>
      <c r="E15" s="223">
        <v>20507.933733360485</v>
      </c>
      <c r="F15" s="223">
        <f t="shared" si="0"/>
        <v>20507.933733360485</v>
      </c>
    </row>
    <row r="16" spans="1:6" s="104" customFormat="1" ht="15.75" x14ac:dyDescent="0.25">
      <c r="A16" s="172">
        <v>3.0059999999999993</v>
      </c>
      <c r="B16" s="173" t="s">
        <v>471</v>
      </c>
      <c r="C16" s="174" t="s">
        <v>659</v>
      </c>
      <c r="D16" s="189">
        <v>1</v>
      </c>
      <c r="E16" s="223">
        <v>12304.76024001629</v>
      </c>
      <c r="F16" s="223">
        <f t="shared" si="0"/>
        <v>12304.76024001629</v>
      </c>
    </row>
    <row r="17" spans="1:6" s="104" customFormat="1" ht="15.75" x14ac:dyDescent="0.25">
      <c r="A17" s="172"/>
      <c r="B17" s="170" t="s">
        <v>416</v>
      </c>
      <c r="C17" s="174"/>
      <c r="D17" s="189"/>
      <c r="E17" s="223"/>
      <c r="F17" s="223"/>
    </row>
    <row r="18" spans="1:6" s="104" customFormat="1" ht="15.75" x14ac:dyDescent="0.25">
      <c r="A18" s="172">
        <v>3.0069999999999992</v>
      </c>
      <c r="B18" s="173" t="s">
        <v>472</v>
      </c>
      <c r="C18" s="174" t="s">
        <v>659</v>
      </c>
      <c r="D18" s="189">
        <v>1</v>
      </c>
      <c r="E18" s="223">
        <v>8365.4498354318348</v>
      </c>
      <c r="F18" s="223">
        <f t="shared" si="0"/>
        <v>8365.4498354318348</v>
      </c>
    </row>
    <row r="19" spans="1:6" s="104" customFormat="1" ht="15.75" x14ac:dyDescent="0.25">
      <c r="A19" s="172">
        <v>3.0079999999999991</v>
      </c>
      <c r="B19" s="173" t="s">
        <v>473</v>
      </c>
      <c r="C19" s="174" t="s">
        <v>659</v>
      </c>
      <c r="D19" s="189">
        <v>1</v>
      </c>
      <c r="E19" s="223">
        <v>5019.2699012591002</v>
      </c>
      <c r="F19" s="223">
        <f t="shared" si="0"/>
        <v>5019.2699012591002</v>
      </c>
    </row>
    <row r="20" spans="1:6" s="104" customFormat="1" ht="15.75" x14ac:dyDescent="0.25">
      <c r="A20" s="169"/>
      <c r="B20" s="170" t="s">
        <v>195</v>
      </c>
      <c r="C20" s="171"/>
      <c r="D20" s="197"/>
      <c r="E20" s="223"/>
      <c r="F20" s="223">
        <f t="shared" si="0"/>
        <v>0</v>
      </c>
    </row>
    <row r="21" spans="1:6" s="104" customFormat="1" ht="15.75" x14ac:dyDescent="0.25">
      <c r="A21" s="172">
        <v>3.008999999999999</v>
      </c>
      <c r="B21" s="173" t="s">
        <v>196</v>
      </c>
      <c r="C21" s="174" t="s">
        <v>659</v>
      </c>
      <c r="D21" s="189">
        <v>1</v>
      </c>
      <c r="E21" s="223">
        <v>21331.897080351177</v>
      </c>
      <c r="F21" s="223">
        <f t="shared" si="0"/>
        <v>21331.897080351177</v>
      </c>
    </row>
    <row r="22" spans="1:6" s="104" customFormat="1" ht="15.75" x14ac:dyDescent="0.25">
      <c r="A22" s="176">
        <v>3.0099999999999989</v>
      </c>
      <c r="B22" s="173" t="s">
        <v>197</v>
      </c>
      <c r="C22" s="174" t="s">
        <v>659</v>
      </c>
      <c r="D22" s="189">
        <v>1</v>
      </c>
      <c r="E22" s="223">
        <v>12799.138248210707</v>
      </c>
      <c r="F22" s="223">
        <f t="shared" si="0"/>
        <v>12799.138248210707</v>
      </c>
    </row>
    <row r="23" spans="1:6" s="104" customFormat="1" ht="15.75" x14ac:dyDescent="0.25">
      <c r="A23" s="176"/>
      <c r="B23" s="170" t="s">
        <v>198</v>
      </c>
      <c r="C23" s="174"/>
      <c r="D23" s="189"/>
      <c r="E23" s="225"/>
      <c r="F23" s="223"/>
    </row>
    <row r="24" spans="1:6" s="104" customFormat="1" ht="45" x14ac:dyDescent="0.25">
      <c r="A24" s="176">
        <v>3.0109999999999988</v>
      </c>
      <c r="B24" s="173" t="s">
        <v>199</v>
      </c>
      <c r="C24" s="174" t="s">
        <v>659</v>
      </c>
      <c r="D24" s="189">
        <v>1</v>
      </c>
      <c r="E24" s="223">
        <v>27754.88946399574</v>
      </c>
      <c r="F24" s="223">
        <f t="shared" si="0"/>
        <v>27754.88946399574</v>
      </c>
    </row>
    <row r="25" spans="1:6" s="104" customFormat="1" ht="60" x14ac:dyDescent="0.25">
      <c r="A25" s="176">
        <v>3.0119999999999987</v>
      </c>
      <c r="B25" s="173" t="s">
        <v>200</v>
      </c>
      <c r="C25" s="174" t="s">
        <v>659</v>
      </c>
      <c r="D25" s="189">
        <v>1</v>
      </c>
      <c r="E25" s="223">
        <v>16652.933678397447</v>
      </c>
      <c r="F25" s="223">
        <f t="shared" si="0"/>
        <v>16652.933678397447</v>
      </c>
    </row>
    <row r="26" spans="1:6" s="104" customFormat="1" ht="15.75" x14ac:dyDescent="0.25">
      <c r="A26" s="179"/>
      <c r="B26" s="170" t="s">
        <v>201</v>
      </c>
      <c r="C26" s="171"/>
      <c r="D26" s="197"/>
      <c r="E26" s="223"/>
      <c r="F26" s="223"/>
    </row>
    <row r="27" spans="1:6" s="104" customFormat="1" ht="30" x14ac:dyDescent="0.25">
      <c r="A27" s="176">
        <v>3.0129999999999986</v>
      </c>
      <c r="B27" s="173" t="s">
        <v>202</v>
      </c>
      <c r="C27" s="174" t="s">
        <v>659</v>
      </c>
      <c r="D27" s="189">
        <v>1</v>
      </c>
      <c r="E27" s="223">
        <v>20913.624588579583</v>
      </c>
      <c r="F27" s="223">
        <f t="shared" si="0"/>
        <v>20913.624588579583</v>
      </c>
    </row>
    <row r="28" spans="1:6" s="104" customFormat="1" ht="60" x14ac:dyDescent="0.25">
      <c r="A28" s="176">
        <v>3.0139999999999985</v>
      </c>
      <c r="B28" s="173" t="s">
        <v>203</v>
      </c>
      <c r="C28" s="174" t="s">
        <v>659</v>
      </c>
      <c r="D28" s="189">
        <v>1</v>
      </c>
      <c r="E28" s="223">
        <v>12548.174753147752</v>
      </c>
      <c r="F28" s="223">
        <f t="shared" si="0"/>
        <v>12548.174753147752</v>
      </c>
    </row>
    <row r="29" spans="1:6" s="104" customFormat="1" ht="15.75" x14ac:dyDescent="0.25">
      <c r="A29" s="179"/>
      <c r="B29" s="170" t="s">
        <v>204</v>
      </c>
      <c r="C29" s="171"/>
      <c r="D29" s="197"/>
      <c r="E29" s="223"/>
      <c r="F29" s="223"/>
    </row>
    <row r="30" spans="1:6" s="104" customFormat="1" ht="60" x14ac:dyDescent="0.25">
      <c r="A30" s="176">
        <v>3.0149999999999983</v>
      </c>
      <c r="B30" s="173" t="s">
        <v>205</v>
      </c>
      <c r="C30" s="174" t="s">
        <v>659</v>
      </c>
      <c r="D30" s="189">
        <v>1</v>
      </c>
      <c r="E30" s="223">
        <v>110226.51321158402</v>
      </c>
      <c r="F30" s="223">
        <f t="shared" si="0"/>
        <v>110226.51321158402</v>
      </c>
    </row>
    <row r="31" spans="1:6" s="104" customFormat="1" ht="15.75" x14ac:dyDescent="0.25">
      <c r="A31" s="176"/>
      <c r="B31" s="170" t="s">
        <v>206</v>
      </c>
      <c r="C31" s="174"/>
      <c r="D31" s="189"/>
      <c r="E31" s="223"/>
      <c r="F31" s="223"/>
    </row>
    <row r="32" spans="1:6" s="104" customFormat="1" ht="45" x14ac:dyDescent="0.25">
      <c r="A32" s="176">
        <v>3.0159999999999982</v>
      </c>
      <c r="B32" s="173" t="s">
        <v>207</v>
      </c>
      <c r="C32" s="174" t="s">
        <v>659</v>
      </c>
      <c r="D32" s="189">
        <v>1</v>
      </c>
      <c r="E32" s="223">
        <v>467481.02021530835</v>
      </c>
      <c r="F32" s="223">
        <f t="shared" si="0"/>
        <v>467481.02021530835</v>
      </c>
    </row>
    <row r="33" spans="1:6" s="104" customFormat="1" ht="45" x14ac:dyDescent="0.25">
      <c r="A33" s="176">
        <v>3.0169999999999981</v>
      </c>
      <c r="B33" s="173" t="s">
        <v>208</v>
      </c>
      <c r="C33" s="174" t="s">
        <v>659</v>
      </c>
      <c r="D33" s="189">
        <v>1</v>
      </c>
      <c r="E33" s="223">
        <v>24604.264221858335</v>
      </c>
      <c r="F33" s="223">
        <f t="shared" si="0"/>
        <v>24604.264221858335</v>
      </c>
    </row>
    <row r="34" spans="1:6" s="104" customFormat="1" ht="15.75" x14ac:dyDescent="0.25">
      <c r="A34" s="176"/>
      <c r="B34" s="170" t="s">
        <v>209</v>
      </c>
      <c r="C34" s="174"/>
      <c r="D34" s="189"/>
      <c r="E34" s="223"/>
      <c r="F34" s="223"/>
    </row>
    <row r="35" spans="1:6" s="104" customFormat="1" ht="45" x14ac:dyDescent="0.25">
      <c r="A35" s="176">
        <v>3.017999999999998</v>
      </c>
      <c r="B35" s="173" t="s">
        <v>353</v>
      </c>
      <c r="C35" s="174" t="s">
        <v>659</v>
      </c>
      <c r="D35" s="189">
        <v>1</v>
      </c>
      <c r="E35" s="223">
        <v>14762.558533115001</v>
      </c>
      <c r="F35" s="223">
        <f t="shared" si="0"/>
        <v>14762.558533115001</v>
      </c>
    </row>
    <row r="36" spans="1:6" s="104" customFormat="1" ht="45" x14ac:dyDescent="0.25">
      <c r="A36" s="176">
        <v>3.0189999999999979</v>
      </c>
      <c r="B36" s="173" t="s">
        <v>354</v>
      </c>
      <c r="C36" s="174" t="s">
        <v>659</v>
      </c>
      <c r="D36" s="189">
        <v>1</v>
      </c>
      <c r="E36" s="223">
        <v>4173.0209959068161</v>
      </c>
      <c r="F36" s="223">
        <f t="shared" si="0"/>
        <v>4173.0209959068161</v>
      </c>
    </row>
    <row r="37" spans="1:6" s="104" customFormat="1" ht="15.75" x14ac:dyDescent="0.25">
      <c r="A37" s="179"/>
      <c r="B37" s="170" t="s">
        <v>212</v>
      </c>
      <c r="C37" s="171"/>
      <c r="D37" s="197"/>
      <c r="E37" s="223"/>
      <c r="F37" s="223"/>
    </row>
    <row r="38" spans="1:6" s="104" customFormat="1" ht="30" x14ac:dyDescent="0.25">
      <c r="A38" s="176">
        <v>3.0199999999999978</v>
      </c>
      <c r="B38" s="173" t="s">
        <v>213</v>
      </c>
      <c r="C38" s="174" t="s">
        <v>659</v>
      </c>
      <c r="D38" s="189">
        <v>1</v>
      </c>
      <c r="E38" s="223">
        <v>2509.6349506295501</v>
      </c>
      <c r="F38" s="223">
        <f t="shared" si="0"/>
        <v>2509.6349506295501</v>
      </c>
    </row>
    <row r="39" spans="1:6" s="104" customFormat="1" ht="30" x14ac:dyDescent="0.25">
      <c r="A39" s="176">
        <v>3.0209999999999977</v>
      </c>
      <c r="B39" s="173" t="s">
        <v>214</v>
      </c>
      <c r="C39" s="174" t="s">
        <v>659</v>
      </c>
      <c r="D39" s="189">
        <v>1</v>
      </c>
      <c r="E39" s="223">
        <v>1505.78097037773</v>
      </c>
      <c r="F39" s="223">
        <f t="shared" si="0"/>
        <v>1505.78097037773</v>
      </c>
    </row>
    <row r="40" spans="1:6" s="104" customFormat="1" ht="15.75" x14ac:dyDescent="0.25">
      <c r="A40" s="179"/>
      <c r="B40" s="213" t="s">
        <v>684</v>
      </c>
      <c r="C40" s="171"/>
      <c r="D40" s="197"/>
      <c r="E40" s="223"/>
      <c r="F40" s="223"/>
    </row>
    <row r="41" spans="1:6" s="104" customFormat="1" ht="30" x14ac:dyDescent="0.25">
      <c r="A41" s="176">
        <v>3.0219999999999976</v>
      </c>
      <c r="B41" s="212" t="s">
        <v>685</v>
      </c>
      <c r="C41" s="174" t="s">
        <v>659</v>
      </c>
      <c r="D41" s="189">
        <v>1</v>
      </c>
      <c r="E41" s="223">
        <v>14762.558533115001</v>
      </c>
      <c r="F41" s="223">
        <f t="shared" si="0"/>
        <v>14762.558533115001</v>
      </c>
    </row>
    <row r="42" spans="1:6" s="104" customFormat="1" ht="30" x14ac:dyDescent="0.25">
      <c r="A42" s="176">
        <v>3.0229999999999975</v>
      </c>
      <c r="B42" s="212" t="s">
        <v>686</v>
      </c>
      <c r="C42" s="174" t="s">
        <v>659</v>
      </c>
      <c r="D42" s="189">
        <v>1</v>
      </c>
      <c r="E42" s="223">
        <v>9841.7056887433337</v>
      </c>
      <c r="F42" s="223">
        <f t="shared" si="0"/>
        <v>9841.7056887433337</v>
      </c>
    </row>
    <row r="43" spans="1:6" s="104" customFormat="1" ht="31.5" x14ac:dyDescent="0.25">
      <c r="A43" s="176"/>
      <c r="B43" s="170" t="s">
        <v>218</v>
      </c>
      <c r="C43" s="174"/>
      <c r="D43" s="189"/>
      <c r="E43" s="223"/>
      <c r="F43" s="223"/>
    </row>
    <row r="44" spans="1:6" s="104" customFormat="1" ht="30" x14ac:dyDescent="0.25">
      <c r="A44" s="176">
        <v>3.0239999999999974</v>
      </c>
      <c r="B44" s="173" t="s">
        <v>219</v>
      </c>
      <c r="C44" s="174" t="s">
        <v>659</v>
      </c>
      <c r="D44" s="189">
        <v>1</v>
      </c>
      <c r="E44" s="223">
        <v>4920.8528443716668</v>
      </c>
      <c r="F44" s="223">
        <f t="shared" si="0"/>
        <v>4920.8528443716668</v>
      </c>
    </row>
    <row r="45" spans="1:6" s="104" customFormat="1" ht="45" x14ac:dyDescent="0.25">
      <c r="A45" s="176">
        <v>3.0249999999999972</v>
      </c>
      <c r="B45" s="173" t="s">
        <v>220</v>
      </c>
      <c r="C45" s="174" t="s">
        <v>659</v>
      </c>
      <c r="D45" s="189">
        <v>1</v>
      </c>
      <c r="E45" s="223">
        <v>1279.9138248210706</v>
      </c>
      <c r="F45" s="223">
        <f t="shared" si="0"/>
        <v>1279.9138248210706</v>
      </c>
    </row>
    <row r="46" spans="1:6" s="104" customFormat="1" ht="15.75" x14ac:dyDescent="0.25">
      <c r="A46" s="176"/>
      <c r="B46" s="170" t="s">
        <v>355</v>
      </c>
      <c r="C46" s="174"/>
      <c r="D46" s="189"/>
      <c r="E46" s="223"/>
      <c r="F46" s="223"/>
    </row>
    <row r="47" spans="1:6" s="104" customFormat="1" ht="30" x14ac:dyDescent="0.25">
      <c r="A47" s="176">
        <v>3.0259999999999971</v>
      </c>
      <c r="B47" s="173" t="s">
        <v>222</v>
      </c>
      <c r="C47" s="174" t="s">
        <v>659</v>
      </c>
      <c r="D47" s="189">
        <v>1</v>
      </c>
      <c r="E47" s="223">
        <v>2133.1897080351177</v>
      </c>
      <c r="F47" s="223">
        <f t="shared" si="0"/>
        <v>2133.1897080351177</v>
      </c>
    </row>
    <row r="48" spans="1:6" s="104" customFormat="1" ht="30" x14ac:dyDescent="0.25">
      <c r="A48" s="176">
        <v>3.026999999999997</v>
      </c>
      <c r="B48" s="173" t="s">
        <v>223</v>
      </c>
      <c r="C48" s="174" t="s">
        <v>659</v>
      </c>
      <c r="D48" s="189">
        <v>1</v>
      </c>
      <c r="E48" s="223">
        <v>1279.9138248210706</v>
      </c>
      <c r="F48" s="223">
        <f t="shared" si="0"/>
        <v>1279.9138248210706</v>
      </c>
    </row>
    <row r="49" spans="1:6" s="104" customFormat="1" ht="15.75" x14ac:dyDescent="0.25">
      <c r="A49" s="176"/>
      <c r="B49" s="170" t="s">
        <v>224</v>
      </c>
      <c r="C49" s="174"/>
      <c r="D49" s="189"/>
      <c r="E49" s="223"/>
      <c r="F49" s="223"/>
    </row>
    <row r="50" spans="1:6" s="104" customFormat="1" ht="30" x14ac:dyDescent="0.25">
      <c r="A50" s="176">
        <v>3.0279999999999969</v>
      </c>
      <c r="B50" s="173" t="s">
        <v>225</v>
      </c>
      <c r="C50" s="174" t="s">
        <v>659</v>
      </c>
      <c r="D50" s="189">
        <v>1</v>
      </c>
      <c r="E50" s="223">
        <v>3828.0298446936076</v>
      </c>
      <c r="F50" s="223">
        <f t="shared" si="0"/>
        <v>3828.0298446936076</v>
      </c>
    </row>
    <row r="51" spans="1:6" s="104" customFormat="1" ht="45" x14ac:dyDescent="0.25">
      <c r="A51" s="176">
        <v>3.0289999999999968</v>
      </c>
      <c r="B51" s="173" t="s">
        <v>226</v>
      </c>
      <c r="C51" s="174" t="s">
        <v>659</v>
      </c>
      <c r="D51" s="189">
        <v>1</v>
      </c>
      <c r="E51" s="223">
        <v>2296.8179068161644</v>
      </c>
      <c r="F51" s="223">
        <f t="shared" si="0"/>
        <v>2296.8179068161644</v>
      </c>
    </row>
    <row r="52" spans="1:6" s="104" customFormat="1" ht="15.75" x14ac:dyDescent="0.25">
      <c r="A52" s="176"/>
      <c r="B52" s="170" t="s">
        <v>227</v>
      </c>
      <c r="C52" s="174"/>
      <c r="D52" s="189"/>
      <c r="E52" s="223"/>
      <c r="F52" s="223"/>
    </row>
    <row r="53" spans="1:6" s="104" customFormat="1" ht="45" x14ac:dyDescent="0.25">
      <c r="A53" s="176">
        <v>3.0299999999999967</v>
      </c>
      <c r="B53" s="173" t="s">
        <v>228</v>
      </c>
      <c r="C53" s="174" t="s">
        <v>659</v>
      </c>
      <c r="D53" s="189">
        <v>1</v>
      </c>
      <c r="E53" s="223">
        <v>81966.35057752821</v>
      </c>
      <c r="F53" s="223">
        <f t="shared" si="0"/>
        <v>81966.35057752821</v>
      </c>
    </row>
    <row r="54" spans="1:6" s="104" customFormat="1" ht="15.75" x14ac:dyDescent="0.25">
      <c r="A54" s="176"/>
      <c r="B54" s="170" t="s">
        <v>229</v>
      </c>
      <c r="C54" s="174"/>
      <c r="D54" s="189"/>
      <c r="E54" s="223"/>
      <c r="F54" s="223"/>
    </row>
    <row r="55" spans="1:6" s="104" customFormat="1" ht="30" x14ac:dyDescent="0.25">
      <c r="A55" s="176">
        <v>3.0309999999999966</v>
      </c>
      <c r="B55" s="173" t="s">
        <v>230</v>
      </c>
      <c r="C55" s="174" t="s">
        <v>659</v>
      </c>
      <c r="D55" s="189">
        <v>1</v>
      </c>
      <c r="E55" s="223">
        <v>43488.627514475935</v>
      </c>
      <c r="F55" s="223">
        <f t="shared" si="0"/>
        <v>43488.627514475935</v>
      </c>
    </row>
    <row r="56" spans="1:6" s="104" customFormat="1" ht="30" x14ac:dyDescent="0.25">
      <c r="A56" s="176">
        <v>3.0319999999999965</v>
      </c>
      <c r="B56" s="173" t="s">
        <v>231</v>
      </c>
      <c r="C56" s="174" t="s">
        <v>659</v>
      </c>
      <c r="D56" s="189">
        <v>1</v>
      </c>
      <c r="E56" s="223">
        <v>26093.176508685559</v>
      </c>
      <c r="F56" s="223">
        <f t="shared" si="0"/>
        <v>26093.176508685559</v>
      </c>
    </row>
    <row r="57" spans="1:6" s="104" customFormat="1" ht="15.75" x14ac:dyDescent="0.25">
      <c r="A57" s="179"/>
      <c r="B57" s="170" t="s">
        <v>232</v>
      </c>
      <c r="C57" s="171"/>
      <c r="D57" s="197"/>
      <c r="E57" s="223"/>
      <c r="F57" s="223"/>
    </row>
    <row r="58" spans="1:6" s="104" customFormat="1" ht="30" x14ac:dyDescent="0.25">
      <c r="A58" s="176">
        <v>3.0329999999999964</v>
      </c>
      <c r="B58" s="173" t="s">
        <v>233</v>
      </c>
      <c r="C58" s="174" t="s">
        <v>659</v>
      </c>
      <c r="D58" s="189">
        <v>1</v>
      </c>
      <c r="E58" s="223">
        <v>37644.524259443249</v>
      </c>
      <c r="F58" s="223">
        <f t="shared" si="0"/>
        <v>37644.524259443249</v>
      </c>
    </row>
    <row r="59" spans="1:6" s="104" customFormat="1" ht="30" x14ac:dyDescent="0.25">
      <c r="A59" s="176">
        <v>3.0339999999999963</v>
      </c>
      <c r="B59" s="173" t="s">
        <v>234</v>
      </c>
      <c r="C59" s="174" t="s">
        <v>659</v>
      </c>
      <c r="D59" s="189">
        <v>1</v>
      </c>
      <c r="E59" s="223">
        <v>22586.714555665953</v>
      </c>
      <c r="F59" s="223">
        <f t="shared" si="0"/>
        <v>22586.714555665953</v>
      </c>
    </row>
    <row r="60" spans="1:6" s="104" customFormat="1" ht="31.5" x14ac:dyDescent="0.25">
      <c r="A60" s="176"/>
      <c r="B60" s="170" t="s">
        <v>235</v>
      </c>
      <c r="C60" s="174"/>
      <c r="D60" s="189"/>
      <c r="E60" s="223"/>
      <c r="F60" s="223"/>
    </row>
    <row r="61" spans="1:6" s="104" customFormat="1" ht="30" x14ac:dyDescent="0.25">
      <c r="A61" s="176">
        <v>3.0349999999999961</v>
      </c>
      <c r="B61" s="173" t="s">
        <v>236</v>
      </c>
      <c r="C61" s="174" t="s">
        <v>659</v>
      </c>
      <c r="D61" s="189">
        <v>1</v>
      </c>
      <c r="E61" s="223">
        <v>30078.811428278703</v>
      </c>
      <c r="F61" s="223">
        <f t="shared" si="0"/>
        <v>30078.811428278703</v>
      </c>
    </row>
    <row r="62" spans="1:6" s="104" customFormat="1" ht="30" x14ac:dyDescent="0.25">
      <c r="A62" s="176">
        <v>3.035999999999996</v>
      </c>
      <c r="B62" s="173" t="s">
        <v>237</v>
      </c>
      <c r="C62" s="174" t="s">
        <v>659</v>
      </c>
      <c r="D62" s="189">
        <v>1</v>
      </c>
      <c r="E62" s="223">
        <v>18047.286856967221</v>
      </c>
      <c r="F62" s="223">
        <f t="shared" si="0"/>
        <v>18047.286856967221</v>
      </c>
    </row>
    <row r="63" spans="1:6" s="104" customFormat="1" ht="15.75" x14ac:dyDescent="0.25">
      <c r="A63" s="176"/>
      <c r="B63" s="170" t="s">
        <v>238</v>
      </c>
      <c r="C63" s="174"/>
      <c r="D63" s="189"/>
      <c r="E63" s="223"/>
      <c r="F63" s="223"/>
    </row>
    <row r="64" spans="1:6" s="104" customFormat="1" ht="30" x14ac:dyDescent="0.25">
      <c r="A64" s="176">
        <v>3.0369999999999959</v>
      </c>
      <c r="B64" s="173" t="s">
        <v>239</v>
      </c>
      <c r="C64" s="174" t="s">
        <v>659</v>
      </c>
      <c r="D64" s="189">
        <v>1</v>
      </c>
      <c r="E64" s="223">
        <v>2927.9074424011419</v>
      </c>
      <c r="F64" s="223">
        <f t="shared" si="0"/>
        <v>2927.9074424011419</v>
      </c>
    </row>
    <row r="65" spans="1:6" s="104" customFormat="1" ht="30" x14ac:dyDescent="0.25">
      <c r="A65" s="176">
        <v>3.0379999999999958</v>
      </c>
      <c r="B65" s="173" t="s">
        <v>240</v>
      </c>
      <c r="C65" s="174" t="s">
        <v>659</v>
      </c>
      <c r="D65" s="189">
        <v>1</v>
      </c>
      <c r="E65" s="223">
        <v>1756.7444654406854</v>
      </c>
      <c r="F65" s="223">
        <f t="shared" si="0"/>
        <v>1756.7444654406854</v>
      </c>
    </row>
    <row r="66" spans="1:6" s="104" customFormat="1" ht="15.75" x14ac:dyDescent="0.25">
      <c r="A66" s="176"/>
      <c r="B66" s="170" t="s">
        <v>360</v>
      </c>
      <c r="C66" s="174"/>
      <c r="D66" s="189"/>
      <c r="E66" s="223"/>
      <c r="F66" s="223"/>
    </row>
    <row r="67" spans="1:6" s="104" customFormat="1" ht="30" x14ac:dyDescent="0.25">
      <c r="A67" s="176">
        <v>3.0389999999999957</v>
      </c>
      <c r="B67" s="173" t="s">
        <v>202</v>
      </c>
      <c r="C67" s="174" t="s">
        <v>659</v>
      </c>
      <c r="D67" s="189">
        <v>1</v>
      </c>
      <c r="E67" s="223">
        <v>24741.654433273194</v>
      </c>
      <c r="F67" s="223">
        <f t="shared" si="0"/>
        <v>24741.654433273194</v>
      </c>
    </row>
    <row r="68" spans="1:6" s="104" customFormat="1" ht="60" x14ac:dyDescent="0.25">
      <c r="A68" s="176">
        <v>3.0399999999999956</v>
      </c>
      <c r="B68" s="173" t="s">
        <v>203</v>
      </c>
      <c r="C68" s="174" t="s">
        <v>659</v>
      </c>
      <c r="D68" s="189">
        <v>1</v>
      </c>
      <c r="E68" s="223">
        <v>14844.992659963915</v>
      </c>
      <c r="F68" s="223">
        <f t="shared" si="0"/>
        <v>14844.992659963915</v>
      </c>
    </row>
    <row r="69" spans="1:6" ht="15.75" x14ac:dyDescent="0.2">
      <c r="A69" s="176"/>
      <c r="B69" s="170" t="s">
        <v>241</v>
      </c>
      <c r="C69" s="174"/>
      <c r="D69" s="189"/>
      <c r="E69" s="223"/>
      <c r="F69" s="223"/>
    </row>
    <row r="70" spans="1:6" s="104" customFormat="1" ht="30" x14ac:dyDescent="0.25">
      <c r="A70" s="176">
        <v>3.0409999999999955</v>
      </c>
      <c r="B70" s="173" t="s">
        <v>242</v>
      </c>
      <c r="C70" s="174" t="s">
        <v>659</v>
      </c>
      <c r="D70" s="189">
        <v>1</v>
      </c>
      <c r="E70" s="223">
        <v>23004.987047437542</v>
      </c>
      <c r="F70" s="223">
        <f t="shared" si="0"/>
        <v>23004.987047437542</v>
      </c>
    </row>
    <row r="71" spans="1:6" s="104" customFormat="1" ht="30" x14ac:dyDescent="0.25">
      <c r="A71" s="176">
        <v>3.0419999999999954</v>
      </c>
      <c r="B71" s="173" t="s">
        <v>361</v>
      </c>
      <c r="C71" s="174" t="s">
        <v>659</v>
      </c>
      <c r="D71" s="189">
        <v>1</v>
      </c>
      <c r="E71" s="223">
        <v>13802.992228462528</v>
      </c>
      <c r="F71" s="223">
        <f t="shared" si="0"/>
        <v>13802.992228462528</v>
      </c>
    </row>
    <row r="72" spans="1:6" s="104" customFormat="1" ht="30" x14ac:dyDescent="0.25">
      <c r="A72" s="176">
        <v>3.0429999999999953</v>
      </c>
      <c r="B72" s="173" t="s">
        <v>244</v>
      </c>
      <c r="C72" s="174" t="s">
        <v>659</v>
      </c>
      <c r="D72" s="189">
        <v>1</v>
      </c>
      <c r="E72" s="223">
        <v>8365.4498354318348</v>
      </c>
      <c r="F72" s="223">
        <f t="shared" si="0"/>
        <v>8365.4498354318348</v>
      </c>
    </row>
    <row r="73" spans="1:6" s="104" customFormat="1" ht="30" x14ac:dyDescent="0.25">
      <c r="A73" s="176">
        <v>3.0439999999999952</v>
      </c>
      <c r="B73" s="173" t="s">
        <v>362</v>
      </c>
      <c r="C73" s="174" t="s">
        <v>659</v>
      </c>
      <c r="D73" s="189">
        <v>1</v>
      </c>
      <c r="E73" s="223">
        <v>5019.2699012591002</v>
      </c>
      <c r="F73" s="223">
        <f t="shared" si="0"/>
        <v>5019.2699012591002</v>
      </c>
    </row>
    <row r="74" spans="1:6" s="104" customFormat="1" ht="30" x14ac:dyDescent="0.25">
      <c r="A74" s="176">
        <v>3.044999999999995</v>
      </c>
      <c r="B74" s="173" t="s">
        <v>246</v>
      </c>
      <c r="C74" s="174" t="s">
        <v>659</v>
      </c>
      <c r="D74" s="189">
        <v>1</v>
      </c>
      <c r="E74" s="223">
        <v>60231.238815109209</v>
      </c>
      <c r="F74" s="223">
        <f t="shared" ref="F74:F118" si="1">D74*E74</f>
        <v>60231.238815109209</v>
      </c>
    </row>
    <row r="75" spans="1:6" s="104" customFormat="1" ht="30" x14ac:dyDescent="0.25">
      <c r="A75" s="176">
        <v>3.0459999999999949</v>
      </c>
      <c r="B75" s="173" t="s">
        <v>474</v>
      </c>
      <c r="C75" s="174" t="s">
        <v>659</v>
      </c>
      <c r="D75" s="189">
        <v>1</v>
      </c>
      <c r="E75" s="223">
        <v>36138.743289065525</v>
      </c>
      <c r="F75" s="223">
        <f t="shared" si="1"/>
        <v>36138.743289065525</v>
      </c>
    </row>
    <row r="76" spans="1:6" s="104" customFormat="1" ht="15.75" x14ac:dyDescent="0.25">
      <c r="A76" s="172"/>
      <c r="B76" s="170" t="s">
        <v>250</v>
      </c>
      <c r="C76" s="174"/>
      <c r="D76" s="189"/>
      <c r="E76" s="223"/>
      <c r="F76" s="223"/>
    </row>
    <row r="77" spans="1:6" s="104" customFormat="1" ht="15.75" x14ac:dyDescent="0.25">
      <c r="A77" s="172">
        <v>3.0469999999999948</v>
      </c>
      <c r="B77" s="173" t="s">
        <v>251</v>
      </c>
      <c r="C77" s="174" t="s">
        <v>659</v>
      </c>
      <c r="D77" s="189">
        <v>1</v>
      </c>
      <c r="E77" s="223">
        <v>2857.6376637835147</v>
      </c>
      <c r="F77" s="223">
        <f t="shared" si="1"/>
        <v>2857.6376637835147</v>
      </c>
    </row>
    <row r="78" spans="1:6" s="104" customFormat="1" ht="45" x14ac:dyDescent="0.25">
      <c r="A78" s="172">
        <v>3.0479999999999947</v>
      </c>
      <c r="B78" s="173" t="s">
        <v>252</v>
      </c>
      <c r="C78" s="174" t="s">
        <v>659</v>
      </c>
      <c r="D78" s="189">
        <v>1</v>
      </c>
      <c r="E78" s="223">
        <v>1714.5825982701087</v>
      </c>
      <c r="F78" s="223">
        <f t="shared" si="1"/>
        <v>1714.5825982701087</v>
      </c>
    </row>
    <row r="79" spans="1:6" s="104" customFormat="1" ht="15.75" x14ac:dyDescent="0.25">
      <c r="A79" s="176"/>
      <c r="B79" s="170" t="s">
        <v>248</v>
      </c>
      <c r="C79" s="174"/>
      <c r="D79" s="189"/>
      <c r="E79" s="223"/>
      <c r="F79" s="223"/>
    </row>
    <row r="80" spans="1:6" s="104" customFormat="1" ht="30" x14ac:dyDescent="0.25">
      <c r="A80" s="176">
        <v>3.0489999999999946</v>
      </c>
      <c r="B80" s="173" t="s">
        <v>225</v>
      </c>
      <c r="C80" s="174" t="s">
        <v>659</v>
      </c>
      <c r="D80" s="189">
        <v>1</v>
      </c>
      <c r="E80" s="223">
        <v>7172.5366888992548</v>
      </c>
      <c r="F80" s="223">
        <f t="shared" si="1"/>
        <v>7172.5366888992548</v>
      </c>
    </row>
    <row r="81" spans="1:6" s="104" customFormat="1" ht="60" x14ac:dyDescent="0.25">
      <c r="A81" s="176">
        <v>3.0499999999999945</v>
      </c>
      <c r="B81" s="173" t="s">
        <v>249</v>
      </c>
      <c r="C81" s="174" t="s">
        <v>659</v>
      </c>
      <c r="D81" s="189">
        <v>1</v>
      </c>
      <c r="E81" s="223">
        <v>4303.5220133395533</v>
      </c>
      <c r="F81" s="223">
        <f t="shared" si="1"/>
        <v>4303.5220133395533</v>
      </c>
    </row>
    <row r="82" spans="1:6" s="104" customFormat="1" ht="15.75" x14ac:dyDescent="0.25">
      <c r="A82" s="176"/>
      <c r="B82" s="170" t="s">
        <v>253</v>
      </c>
      <c r="C82" s="174"/>
      <c r="D82" s="189"/>
      <c r="E82" s="223"/>
      <c r="F82" s="223"/>
    </row>
    <row r="83" spans="1:6" s="104" customFormat="1" ht="45" x14ac:dyDescent="0.25">
      <c r="A83" s="176">
        <v>3.0509999999999944</v>
      </c>
      <c r="B83" s="173" t="s">
        <v>254</v>
      </c>
      <c r="C83" s="174" t="s">
        <v>659</v>
      </c>
      <c r="D83" s="189">
        <v>1</v>
      </c>
      <c r="E83" s="223">
        <v>21382.089779363767</v>
      </c>
      <c r="F83" s="223">
        <f t="shared" si="1"/>
        <v>21382.089779363767</v>
      </c>
    </row>
    <row r="84" spans="1:6" s="104" customFormat="1" ht="45" x14ac:dyDescent="0.25">
      <c r="A84" s="176">
        <v>3.0519999999999943</v>
      </c>
      <c r="B84" s="173" t="s">
        <v>255</v>
      </c>
      <c r="C84" s="174" t="s">
        <v>659</v>
      </c>
      <c r="D84" s="189">
        <v>1</v>
      </c>
      <c r="E84" s="223">
        <v>12829.253867618261</v>
      </c>
      <c r="F84" s="223">
        <f t="shared" si="1"/>
        <v>12829.253867618261</v>
      </c>
    </row>
    <row r="85" spans="1:6" s="104" customFormat="1" ht="15.75" x14ac:dyDescent="0.25">
      <c r="A85" s="176"/>
      <c r="B85" s="170" t="s">
        <v>153</v>
      </c>
      <c r="C85" s="174"/>
      <c r="D85" s="189"/>
      <c r="E85" s="223"/>
      <c r="F85" s="223"/>
    </row>
    <row r="86" spans="1:6" s="104" customFormat="1" ht="60" x14ac:dyDescent="0.25">
      <c r="A86" s="176">
        <v>3.0529999999999942</v>
      </c>
      <c r="B86" s="173" t="s">
        <v>256</v>
      </c>
      <c r="C86" s="174" t="s">
        <v>659</v>
      </c>
      <c r="D86" s="189">
        <v>1</v>
      </c>
      <c r="E86" s="223">
        <v>246042.64221858335</v>
      </c>
      <c r="F86" s="223">
        <f t="shared" si="1"/>
        <v>246042.64221858335</v>
      </c>
    </row>
    <row r="87" spans="1:6" s="104" customFormat="1" ht="15.75" x14ac:dyDescent="0.25">
      <c r="A87" s="172"/>
      <c r="B87" s="170" t="s">
        <v>419</v>
      </c>
      <c r="C87" s="174"/>
      <c r="D87" s="189"/>
      <c r="E87" s="223"/>
      <c r="F87" s="223"/>
    </row>
    <row r="88" spans="1:6" s="104" customFormat="1" ht="60" x14ac:dyDescent="0.25">
      <c r="A88" s="172">
        <v>3.0539999999999941</v>
      </c>
      <c r="B88" s="173" t="s">
        <v>714</v>
      </c>
      <c r="C88" s="174" t="s">
        <v>79</v>
      </c>
      <c r="D88" s="189">
        <v>2</v>
      </c>
      <c r="E88" s="223">
        <v>118100.46826492001</v>
      </c>
      <c r="F88" s="223">
        <f t="shared" si="1"/>
        <v>236200.93652984002</v>
      </c>
    </row>
    <row r="89" spans="1:6" s="104" customFormat="1" ht="60" x14ac:dyDescent="0.25">
      <c r="A89" s="172">
        <v>3.0549999999999939</v>
      </c>
      <c r="B89" s="173" t="s">
        <v>715</v>
      </c>
      <c r="C89" s="174" t="s">
        <v>79</v>
      </c>
      <c r="D89" s="189">
        <v>2</v>
      </c>
      <c r="E89" s="223">
        <v>54208.114933598292</v>
      </c>
      <c r="F89" s="223">
        <f t="shared" si="1"/>
        <v>108416.22986719658</v>
      </c>
    </row>
    <row r="90" spans="1:6" s="104" customFormat="1" ht="15.75" x14ac:dyDescent="0.25">
      <c r="A90" s="176"/>
      <c r="B90" s="170" t="s">
        <v>420</v>
      </c>
      <c r="C90" s="172"/>
      <c r="D90" s="189"/>
      <c r="E90" s="223"/>
      <c r="F90" s="223"/>
    </row>
    <row r="91" spans="1:6" s="104" customFormat="1" ht="60" x14ac:dyDescent="0.25">
      <c r="A91" s="176">
        <v>3.0559999999999938</v>
      </c>
      <c r="B91" s="173" t="s">
        <v>716</v>
      </c>
      <c r="C91" s="172" t="s">
        <v>659</v>
      </c>
      <c r="D91" s="189">
        <v>1</v>
      </c>
      <c r="E91" s="223">
        <v>24604.264221858335</v>
      </c>
      <c r="F91" s="223">
        <f t="shared" si="1"/>
        <v>24604.264221858335</v>
      </c>
    </row>
    <row r="92" spans="1:6" s="104" customFormat="1" ht="60" x14ac:dyDescent="0.25">
      <c r="A92" s="176">
        <v>3.0569999999999937</v>
      </c>
      <c r="B92" s="173" t="s">
        <v>717</v>
      </c>
      <c r="C92" s="172" t="s">
        <v>659</v>
      </c>
      <c r="D92" s="189">
        <v>1</v>
      </c>
      <c r="E92" s="223">
        <v>9841.7056887433337</v>
      </c>
      <c r="F92" s="223">
        <f t="shared" si="1"/>
        <v>9841.7056887433337</v>
      </c>
    </row>
    <row r="93" spans="1:6" s="104" customFormat="1" ht="15.75" x14ac:dyDescent="0.25">
      <c r="A93" s="176"/>
      <c r="B93" s="170" t="s">
        <v>421</v>
      </c>
      <c r="C93" s="172"/>
      <c r="D93" s="189"/>
      <c r="E93" s="223"/>
      <c r="F93" s="223"/>
    </row>
    <row r="94" spans="1:6" s="104" customFormat="1" ht="90" x14ac:dyDescent="0.25">
      <c r="A94" s="176">
        <v>3.0579999999999936</v>
      </c>
      <c r="B94" s="173" t="s">
        <v>422</v>
      </c>
      <c r="C94" s="172" t="s">
        <v>659</v>
      </c>
      <c r="D94" s="189">
        <v>1</v>
      </c>
      <c r="E94" s="223">
        <v>73812.792665575005</v>
      </c>
      <c r="F94" s="223">
        <f t="shared" si="1"/>
        <v>73812.792665575005</v>
      </c>
    </row>
    <row r="95" spans="1:6" s="104" customFormat="1" ht="75" x14ac:dyDescent="0.25">
      <c r="A95" s="176">
        <v>3.0589999999999935</v>
      </c>
      <c r="B95" s="173" t="s">
        <v>423</v>
      </c>
      <c r="C95" s="172" t="s">
        <v>659</v>
      </c>
      <c r="D95" s="189">
        <v>1</v>
      </c>
      <c r="E95" s="223">
        <v>9841.7056887433337</v>
      </c>
      <c r="F95" s="223">
        <f t="shared" si="1"/>
        <v>9841.7056887433337</v>
      </c>
    </row>
    <row r="96" spans="1:6" s="104" customFormat="1" ht="15.75" x14ac:dyDescent="0.25">
      <c r="A96" s="172"/>
      <c r="B96" s="170" t="s">
        <v>424</v>
      </c>
      <c r="C96" s="174"/>
      <c r="D96" s="189"/>
      <c r="E96" s="223"/>
      <c r="F96" s="223"/>
    </row>
    <row r="97" spans="1:6" s="104" customFormat="1" ht="75" x14ac:dyDescent="0.25">
      <c r="A97" s="172">
        <v>3.0599999999999934</v>
      </c>
      <c r="B97" s="173" t="s">
        <v>425</v>
      </c>
      <c r="C97" s="174" t="s">
        <v>289</v>
      </c>
      <c r="D97" s="189">
        <v>1</v>
      </c>
      <c r="E97" s="223">
        <v>22511.425507147065</v>
      </c>
      <c r="F97" s="223">
        <f t="shared" si="1"/>
        <v>22511.425507147065</v>
      </c>
    </row>
    <row r="98" spans="1:6" s="104" customFormat="1" ht="75" x14ac:dyDescent="0.25">
      <c r="A98" s="172">
        <v>3.0609999999999933</v>
      </c>
      <c r="B98" s="173" t="s">
        <v>426</v>
      </c>
      <c r="C98" s="174" t="s">
        <v>289</v>
      </c>
      <c r="D98" s="189">
        <v>1</v>
      </c>
      <c r="E98" s="223">
        <v>13506.855304288239</v>
      </c>
      <c r="F98" s="223">
        <f t="shared" si="1"/>
        <v>13506.855304288239</v>
      </c>
    </row>
    <row r="99" spans="1:6" s="104" customFormat="1" ht="31.5" x14ac:dyDescent="0.25">
      <c r="A99" s="172"/>
      <c r="B99" s="170" t="s">
        <v>427</v>
      </c>
      <c r="C99" s="174"/>
      <c r="D99" s="189"/>
      <c r="E99" s="223"/>
      <c r="F99" s="223"/>
    </row>
    <row r="100" spans="1:6" s="104" customFormat="1" ht="75" x14ac:dyDescent="0.25">
      <c r="A100" s="172">
        <v>3.0619999999999932</v>
      </c>
      <c r="B100" s="173" t="s">
        <v>428</v>
      </c>
      <c r="C100" s="172" t="s">
        <v>659</v>
      </c>
      <c r="D100" s="189">
        <v>1</v>
      </c>
      <c r="E100" s="223">
        <v>53120.60645499215</v>
      </c>
      <c r="F100" s="223">
        <f t="shared" si="1"/>
        <v>53120.60645499215</v>
      </c>
    </row>
    <row r="101" spans="1:6" s="104" customFormat="1" ht="75" x14ac:dyDescent="0.25">
      <c r="A101" s="176">
        <v>3.0629999999999931</v>
      </c>
      <c r="B101" s="173" t="s">
        <v>429</v>
      </c>
      <c r="C101" s="172" t="s">
        <v>659</v>
      </c>
      <c r="D101" s="189">
        <v>1</v>
      </c>
      <c r="E101" s="223">
        <v>31872.363872995291</v>
      </c>
      <c r="F101" s="223">
        <f t="shared" si="1"/>
        <v>31872.363872995291</v>
      </c>
    </row>
    <row r="102" spans="1:6" s="104" customFormat="1" ht="15.75" x14ac:dyDescent="0.25">
      <c r="A102" s="172"/>
      <c r="B102" s="170" t="s">
        <v>430</v>
      </c>
      <c r="C102" s="174"/>
      <c r="D102" s="189"/>
      <c r="E102" s="223"/>
      <c r="F102" s="223"/>
    </row>
    <row r="103" spans="1:6" s="104" customFormat="1" ht="30" x14ac:dyDescent="0.25">
      <c r="A103" s="172"/>
      <c r="B103" s="199" t="s">
        <v>431</v>
      </c>
      <c r="C103" s="174"/>
      <c r="D103" s="189"/>
      <c r="E103" s="223"/>
      <c r="F103" s="223"/>
    </row>
    <row r="104" spans="1:6" s="104" customFormat="1" ht="45" x14ac:dyDescent="0.25">
      <c r="A104" s="176">
        <v>3.063999999999993</v>
      </c>
      <c r="B104" s="173" t="s">
        <v>432</v>
      </c>
      <c r="C104" s="172" t="s">
        <v>659</v>
      </c>
      <c r="D104" s="189">
        <v>1</v>
      </c>
      <c r="E104" s="223">
        <v>14639.537212005711</v>
      </c>
      <c r="F104" s="223">
        <f t="shared" si="1"/>
        <v>14639.537212005711</v>
      </c>
    </row>
    <row r="105" spans="1:6" s="104" customFormat="1" ht="90" x14ac:dyDescent="0.25">
      <c r="A105" s="176">
        <v>3.0649999999999928</v>
      </c>
      <c r="B105" s="173" t="s">
        <v>433</v>
      </c>
      <c r="C105" s="172" t="s">
        <v>659</v>
      </c>
      <c r="D105" s="189">
        <v>1</v>
      </c>
      <c r="E105" s="223">
        <v>8783.7223272034262</v>
      </c>
      <c r="F105" s="223">
        <f t="shared" si="1"/>
        <v>8783.7223272034262</v>
      </c>
    </row>
    <row r="106" spans="1:6" s="104" customFormat="1" ht="31.5" x14ac:dyDescent="0.25">
      <c r="A106" s="172"/>
      <c r="B106" s="170" t="s">
        <v>434</v>
      </c>
      <c r="C106" s="174"/>
      <c r="D106" s="189"/>
      <c r="E106" s="223"/>
      <c r="F106" s="223"/>
    </row>
    <row r="107" spans="1:6" s="104" customFormat="1" ht="30" x14ac:dyDescent="0.25">
      <c r="A107" s="176">
        <v>3.0659999999999927</v>
      </c>
      <c r="B107" s="173" t="s">
        <v>435</v>
      </c>
      <c r="C107" s="172" t="s">
        <v>659</v>
      </c>
      <c r="D107" s="189">
        <v>1</v>
      </c>
      <c r="E107" s="223">
        <v>8365.4498354318348</v>
      </c>
      <c r="F107" s="223">
        <f t="shared" si="1"/>
        <v>8365.4498354318348</v>
      </c>
    </row>
    <row r="108" spans="1:6" s="104" customFormat="1" ht="90" x14ac:dyDescent="0.25">
      <c r="A108" s="176">
        <v>3.0669999999999926</v>
      </c>
      <c r="B108" s="173" t="s">
        <v>436</v>
      </c>
      <c r="C108" s="172" t="s">
        <v>659</v>
      </c>
      <c r="D108" s="189">
        <v>1</v>
      </c>
      <c r="E108" s="223">
        <v>5019.2699012591002</v>
      </c>
      <c r="F108" s="223">
        <f t="shared" si="1"/>
        <v>5019.2699012591002</v>
      </c>
    </row>
    <row r="109" spans="1:6" s="104" customFormat="1" ht="31.5" x14ac:dyDescent="0.25">
      <c r="A109" s="172"/>
      <c r="B109" s="170" t="s">
        <v>437</v>
      </c>
      <c r="C109" s="174"/>
      <c r="D109" s="189"/>
      <c r="E109" s="223"/>
      <c r="F109" s="223"/>
    </row>
    <row r="110" spans="1:6" s="104" customFormat="1" ht="45" x14ac:dyDescent="0.25">
      <c r="A110" s="176">
        <v>3.0679999999999925</v>
      </c>
      <c r="B110" s="173" t="s">
        <v>438</v>
      </c>
      <c r="C110" s="172" t="s">
        <v>659</v>
      </c>
      <c r="D110" s="189">
        <v>1</v>
      </c>
      <c r="E110" s="223">
        <v>21495.859897125643</v>
      </c>
      <c r="F110" s="223">
        <f t="shared" si="1"/>
        <v>21495.859897125643</v>
      </c>
    </row>
    <row r="111" spans="1:6" s="104" customFormat="1" ht="90" x14ac:dyDescent="0.25">
      <c r="A111" s="176">
        <v>3.0689999999999924</v>
      </c>
      <c r="B111" s="173" t="s">
        <v>439</v>
      </c>
      <c r="C111" s="172" t="s">
        <v>659</v>
      </c>
      <c r="D111" s="189">
        <v>1</v>
      </c>
      <c r="E111" s="223">
        <v>12897.515938275385</v>
      </c>
      <c r="F111" s="223">
        <f t="shared" si="1"/>
        <v>12897.515938275385</v>
      </c>
    </row>
    <row r="112" spans="1:6" s="104" customFormat="1" ht="15.75" x14ac:dyDescent="0.25">
      <c r="A112" s="172"/>
      <c r="B112" s="170" t="s">
        <v>440</v>
      </c>
      <c r="C112" s="174"/>
      <c r="D112" s="189"/>
      <c r="E112" s="223"/>
      <c r="F112" s="223"/>
    </row>
    <row r="113" spans="1:6" s="104" customFormat="1" ht="60" x14ac:dyDescent="0.25">
      <c r="A113" s="176">
        <v>3.0699999999999923</v>
      </c>
      <c r="B113" s="173" t="s">
        <v>441</v>
      </c>
      <c r="C113" s="172" t="s">
        <v>659</v>
      </c>
      <c r="D113" s="189">
        <v>1</v>
      </c>
      <c r="E113" s="223">
        <v>24604.264221858335</v>
      </c>
      <c r="F113" s="223">
        <f t="shared" si="1"/>
        <v>24604.264221858335</v>
      </c>
    </row>
    <row r="114" spans="1:6" s="104" customFormat="1" ht="95.45" customHeight="1" x14ac:dyDescent="0.25">
      <c r="A114" s="176">
        <v>3.0709999999999922</v>
      </c>
      <c r="B114" s="173" t="s">
        <v>442</v>
      </c>
      <c r="C114" s="172" t="s">
        <v>659</v>
      </c>
      <c r="D114" s="189">
        <v>1</v>
      </c>
      <c r="E114" s="223">
        <v>9841.7056887433337</v>
      </c>
      <c r="F114" s="223">
        <f t="shared" si="1"/>
        <v>9841.7056887433337</v>
      </c>
    </row>
    <row r="115" spans="1:6" s="104" customFormat="1" ht="15.75" x14ac:dyDescent="0.25">
      <c r="A115" s="176"/>
      <c r="B115" s="140" t="s">
        <v>257</v>
      </c>
      <c r="C115" s="141"/>
      <c r="D115" s="255"/>
      <c r="E115" s="182"/>
      <c r="F115" s="223"/>
    </row>
    <row r="116" spans="1:6" s="104" customFormat="1" ht="15.75" x14ac:dyDescent="0.25">
      <c r="A116" s="176">
        <v>3.0719999999999921</v>
      </c>
      <c r="B116" s="142" t="s">
        <v>258</v>
      </c>
      <c r="C116" s="172" t="s">
        <v>659</v>
      </c>
      <c r="D116" s="255">
        <v>1</v>
      </c>
      <c r="E116" s="223">
        <v>41827.249177159167</v>
      </c>
      <c r="F116" s="223">
        <f t="shared" si="1"/>
        <v>41827.249177159167</v>
      </c>
    </row>
    <row r="117" spans="1:6" s="95" customFormat="1" ht="25.5" customHeight="1" x14ac:dyDescent="0.2">
      <c r="A117" s="207"/>
      <c r="B117" s="204" t="s">
        <v>648</v>
      </c>
      <c r="C117" s="205"/>
      <c r="D117" s="256"/>
      <c r="E117" s="131"/>
      <c r="F117" s="223"/>
    </row>
    <row r="118" spans="1:6" s="104" customFormat="1" ht="75" x14ac:dyDescent="0.25">
      <c r="A118" s="207">
        <v>3.072999999999992</v>
      </c>
      <c r="B118" s="206" t="s">
        <v>724</v>
      </c>
      <c r="C118" s="205" t="s">
        <v>659</v>
      </c>
      <c r="D118" s="256">
        <v>1</v>
      </c>
      <c r="E118" s="223">
        <v>83654.498354318333</v>
      </c>
      <c r="F118" s="223">
        <f t="shared" si="1"/>
        <v>83654.498354318333</v>
      </c>
    </row>
    <row r="119" spans="1:6" s="139" customFormat="1" ht="25.5" customHeight="1" x14ac:dyDescent="0.25">
      <c r="A119" s="177"/>
      <c r="B119" s="171" t="s">
        <v>663</v>
      </c>
      <c r="C119" s="174"/>
      <c r="D119" s="178"/>
      <c r="E119" s="224"/>
      <c r="F119" s="254">
        <f>SUM(F9:F118)</f>
        <v>2457049.4518849109</v>
      </c>
    </row>
    <row r="120" spans="1:6" x14ac:dyDescent="0.2">
      <c r="D120" s="254"/>
      <c r="E120" s="254"/>
    </row>
  </sheetData>
  <sheetProtection formatCells="0" formatColumns="0" formatRows="0" insertColumns="0" insertRows="0" insertHyperlinks="0" deleteColumns="0" deleteRows="0" sort="0" autoFilter="0" pivotTables="0"/>
  <autoFilter ref="A6:F119" xr:uid="{F04088F9-6ECF-4571-BAB3-A0B2487D11C5}"/>
  <pageMargins left="0.47244094488188981" right="0.47244094488188981" top="0.74803149606299213" bottom="0.74803149606299213" header="0.31496062992125984" footer="0.31496062992125984"/>
  <pageSetup paperSize="9" scale="93" orientation="landscape" r:id="rId1"/>
  <headerFooter>
    <oddFooter>&amp;C&amp;"Arial,Bold"&amp;16&amp;P/&amp;N</oddFooter>
  </headerFooter>
  <rowBreaks count="11" manualBreakCount="11">
    <brk id="25" max="5" man="1"/>
    <brk id="36" max="5" man="1"/>
    <brk id="51" max="5" man="1"/>
    <brk id="59" max="5" man="1"/>
    <brk id="68" max="5" man="1"/>
    <brk id="78" max="5" man="1"/>
    <brk id="84" max="5" man="1"/>
    <brk id="92" max="5" man="1"/>
    <brk id="98" max="5" man="1"/>
    <brk id="105" max="5" man="1"/>
    <brk id="111" max="5"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D849B-7197-4D03-B18A-99A558AC4DE8}">
  <dimension ref="A1:F47"/>
  <sheetViews>
    <sheetView view="pageBreakPreview" zoomScale="55" zoomScaleNormal="100" zoomScaleSheetLayoutView="55" workbookViewId="0">
      <selection activeCell="F21" sqref="F21"/>
    </sheetView>
  </sheetViews>
  <sheetFormatPr defaultColWidth="9.140625" defaultRowHeight="15" x14ac:dyDescent="0.2"/>
  <cols>
    <col min="1" max="1" width="9.140625" style="88"/>
    <col min="2" max="2" width="75.28515625" style="86" customWidth="1"/>
    <col min="3" max="3" width="15" style="86" customWidth="1"/>
    <col min="4" max="4" width="14.28515625" style="88" customWidth="1"/>
    <col min="5" max="5" width="16.28515625" style="109" customWidth="1"/>
    <col min="6" max="6" width="19.5703125" style="109" customWidth="1"/>
    <col min="7" max="16384" width="9.140625" style="90"/>
  </cols>
  <sheetData>
    <row r="1" spans="1:6" x14ac:dyDescent="0.2">
      <c r="A1" s="86"/>
      <c r="B1" s="87"/>
      <c r="E1" s="89"/>
      <c r="F1" s="89"/>
    </row>
    <row r="2" spans="1:6" x14ac:dyDescent="0.2">
      <c r="A2" s="86"/>
      <c r="B2" s="87"/>
      <c r="E2" s="89"/>
      <c r="F2" s="89"/>
    </row>
    <row r="3" spans="1:6" ht="12" customHeight="1" thickBot="1" x14ac:dyDescent="0.25">
      <c r="A3" s="86"/>
      <c r="B3" s="273"/>
      <c r="C3" s="275"/>
      <c r="E3" s="89"/>
      <c r="F3" s="89"/>
    </row>
    <row r="4" spans="1:6" ht="33.950000000000003" customHeight="1" x14ac:dyDescent="0.2">
      <c r="A4" s="86"/>
      <c r="B4" s="87"/>
      <c r="E4" s="89"/>
      <c r="F4" s="89"/>
    </row>
    <row r="5" spans="1:6" s="95" customFormat="1" ht="15.75" x14ac:dyDescent="0.2">
      <c r="A5" s="91"/>
      <c r="B5" s="92" t="s">
        <v>259</v>
      </c>
      <c r="C5" s="91"/>
      <c r="D5" s="93"/>
      <c r="E5" s="94"/>
      <c r="F5" s="94"/>
    </row>
    <row r="6" spans="1:6" s="100" customFormat="1" ht="63" x14ac:dyDescent="0.2">
      <c r="A6" s="96" t="s">
        <v>14</v>
      </c>
      <c r="B6" s="97" t="s">
        <v>0</v>
      </c>
      <c r="C6" s="98" t="s">
        <v>15</v>
      </c>
      <c r="D6" s="98" t="s">
        <v>16</v>
      </c>
      <c r="E6" s="99" t="s">
        <v>17</v>
      </c>
      <c r="F6" s="99" t="s">
        <v>320</v>
      </c>
    </row>
    <row r="7" spans="1:6" s="104" customFormat="1" ht="15.75" x14ac:dyDescent="0.25">
      <c r="A7" s="169"/>
      <c r="B7" s="170" t="s">
        <v>364</v>
      </c>
      <c r="C7" s="171"/>
      <c r="D7" s="169"/>
      <c r="E7" s="106"/>
      <c r="F7" s="106"/>
    </row>
    <row r="8" spans="1:6" s="104" customFormat="1" ht="60" x14ac:dyDescent="0.25">
      <c r="A8" s="179"/>
      <c r="B8" s="199" t="s">
        <v>261</v>
      </c>
      <c r="C8" s="171"/>
      <c r="D8" s="169"/>
      <c r="E8" s="106"/>
      <c r="F8" s="106"/>
    </row>
    <row r="9" spans="1:6" s="104" customFormat="1" ht="15.75" x14ac:dyDescent="0.25">
      <c r="A9" s="179"/>
      <c r="B9" s="170" t="s">
        <v>262</v>
      </c>
      <c r="C9" s="171"/>
      <c r="D9" s="169"/>
      <c r="E9" s="106"/>
      <c r="F9" s="106"/>
    </row>
    <row r="10" spans="1:6" s="104" customFormat="1" ht="15.75" x14ac:dyDescent="0.25">
      <c r="A10" s="176">
        <v>4.0010000000000003</v>
      </c>
      <c r="B10" s="173" t="s">
        <v>475</v>
      </c>
      <c r="C10" s="174" t="s">
        <v>659</v>
      </c>
      <c r="D10" s="172">
        <v>1</v>
      </c>
      <c r="E10" s="223">
        <v>1748.6467099999873</v>
      </c>
      <c r="F10" s="223">
        <f>$D10*E10</f>
        <v>1748.6467099999873</v>
      </c>
    </row>
    <row r="11" spans="1:6" s="104" customFormat="1" ht="15.75" x14ac:dyDescent="0.25">
      <c r="A11" s="176">
        <v>4.0020000000000007</v>
      </c>
      <c r="B11" s="173" t="s">
        <v>264</v>
      </c>
      <c r="C11" s="174" t="s">
        <v>659</v>
      </c>
      <c r="D11" s="172">
        <v>1</v>
      </c>
      <c r="E11" s="223">
        <v>734.89472950288405</v>
      </c>
      <c r="F11" s="223">
        <f t="shared" ref="F11" si="0">$D11*E11</f>
        <v>734.89472950288405</v>
      </c>
    </row>
    <row r="12" spans="1:6" s="104" customFormat="1" ht="15.75" x14ac:dyDescent="0.25">
      <c r="A12" s="169"/>
      <c r="B12" s="170" t="s">
        <v>96</v>
      </c>
      <c r="C12" s="171"/>
      <c r="D12" s="169"/>
      <c r="E12" s="225"/>
      <c r="F12" s="225"/>
    </row>
    <row r="13" spans="1:6" s="104" customFormat="1" ht="150" x14ac:dyDescent="0.25">
      <c r="A13" s="169"/>
      <c r="B13" s="199" t="s">
        <v>664</v>
      </c>
      <c r="C13" s="171"/>
      <c r="D13" s="169"/>
      <c r="E13" s="225"/>
      <c r="F13" s="225"/>
    </row>
    <row r="14" spans="1:6" s="104" customFormat="1" ht="15.75" x14ac:dyDescent="0.25">
      <c r="A14" s="172">
        <v>4.003000000000001</v>
      </c>
      <c r="B14" s="170" t="s">
        <v>96</v>
      </c>
      <c r="C14" s="174" t="s">
        <v>659</v>
      </c>
      <c r="D14" s="172">
        <v>1</v>
      </c>
      <c r="E14" s="223">
        <v>57547.381660027022</v>
      </c>
      <c r="F14" s="223">
        <f>$D14*E14</f>
        <v>57547.381660027022</v>
      </c>
    </row>
    <row r="15" spans="1:6" s="104" customFormat="1" ht="15.75" x14ac:dyDescent="0.25">
      <c r="A15" s="172"/>
      <c r="B15" s="170" t="s">
        <v>265</v>
      </c>
      <c r="C15" s="174"/>
      <c r="D15" s="172"/>
      <c r="E15" s="225"/>
      <c r="F15" s="225"/>
    </row>
    <row r="16" spans="1:6" s="104" customFormat="1" ht="68.45" customHeight="1" x14ac:dyDescent="0.25">
      <c r="A16" s="172"/>
      <c r="B16" s="199" t="s">
        <v>266</v>
      </c>
      <c r="C16" s="174"/>
      <c r="D16" s="172"/>
      <c r="E16" s="225"/>
      <c r="F16" s="225"/>
    </row>
    <row r="17" spans="1:6" s="104" customFormat="1" ht="15.75" x14ac:dyDescent="0.25">
      <c r="A17" s="172">
        <v>4.0040000000000013</v>
      </c>
      <c r="B17" s="170" t="s">
        <v>267</v>
      </c>
      <c r="C17" s="174" t="s">
        <v>659</v>
      </c>
      <c r="D17" s="172">
        <v>1</v>
      </c>
      <c r="E17" s="223">
        <v>1004.2287524044474</v>
      </c>
      <c r="F17" s="223">
        <f t="shared" ref="F17" si="1">$D17*E17</f>
        <v>1004.2287524044474</v>
      </c>
    </row>
    <row r="18" spans="1:6" s="104" customFormat="1" ht="15.75" x14ac:dyDescent="0.25">
      <c r="A18" s="169"/>
      <c r="B18" s="170" t="s">
        <v>268</v>
      </c>
      <c r="C18" s="171"/>
      <c r="D18" s="169"/>
      <c r="E18" s="225"/>
      <c r="F18" s="225"/>
    </row>
    <row r="19" spans="1:6" s="104" customFormat="1" ht="105" x14ac:dyDescent="0.25">
      <c r="A19" s="169"/>
      <c r="B19" s="199" t="s">
        <v>665</v>
      </c>
      <c r="C19" s="171"/>
      <c r="D19" s="169"/>
      <c r="E19" s="225"/>
      <c r="F19" s="225"/>
    </row>
    <row r="20" spans="1:6" s="104" customFormat="1" ht="15.75" x14ac:dyDescent="0.25">
      <c r="A20" s="172">
        <v>4.0050000000000017</v>
      </c>
      <c r="B20" s="173" t="s">
        <v>269</v>
      </c>
      <c r="C20" s="174" t="s">
        <v>659</v>
      </c>
      <c r="D20" s="172">
        <v>1</v>
      </c>
      <c r="E20" s="223">
        <v>12046.24776302184</v>
      </c>
      <c r="F20" s="223">
        <f t="shared" ref="F20" si="2">$D20*E20</f>
        <v>12046.24776302184</v>
      </c>
    </row>
    <row r="21" spans="1:6" s="104" customFormat="1" ht="141.75" x14ac:dyDescent="0.25">
      <c r="A21" s="169"/>
      <c r="B21" s="170" t="s">
        <v>666</v>
      </c>
      <c r="C21" s="171"/>
      <c r="D21" s="169"/>
      <c r="E21" s="225"/>
      <c r="F21" s="225"/>
    </row>
    <row r="22" spans="1:6" s="104" customFormat="1" ht="15.75" x14ac:dyDescent="0.25">
      <c r="A22" s="169"/>
      <c r="B22" s="170" t="s">
        <v>270</v>
      </c>
      <c r="C22" s="171"/>
      <c r="D22" s="169"/>
      <c r="E22" s="225"/>
      <c r="F22" s="223"/>
    </row>
    <row r="23" spans="1:6" s="104" customFormat="1" ht="15.75" x14ac:dyDescent="0.25">
      <c r="A23" s="172">
        <v>4.006000000000002</v>
      </c>
      <c r="B23" s="173" t="s">
        <v>271</v>
      </c>
      <c r="C23" s="174" t="s">
        <v>659</v>
      </c>
      <c r="D23" s="172">
        <v>1</v>
      </c>
      <c r="E23" s="223">
        <v>2470.2370280846008</v>
      </c>
      <c r="F23" s="223">
        <f t="shared" ref="F23:F24" si="3">$D23*E23</f>
        <v>2470.2370280846008</v>
      </c>
    </row>
    <row r="24" spans="1:6" s="104" customFormat="1" ht="15.75" x14ac:dyDescent="0.25">
      <c r="A24" s="172">
        <v>4.0070000000000023</v>
      </c>
      <c r="B24" s="173" t="s">
        <v>272</v>
      </c>
      <c r="C24" s="174" t="s">
        <v>659</v>
      </c>
      <c r="D24" s="172">
        <v>1</v>
      </c>
      <c r="E24" s="223">
        <v>1069.1981820063454</v>
      </c>
      <c r="F24" s="223">
        <f t="shared" si="3"/>
        <v>1069.1981820063454</v>
      </c>
    </row>
    <row r="25" spans="1:6" s="104" customFormat="1" ht="15.75" x14ac:dyDescent="0.25">
      <c r="A25" s="169"/>
      <c r="B25" s="170" t="s">
        <v>96</v>
      </c>
      <c r="C25" s="171"/>
      <c r="D25" s="169"/>
      <c r="E25" s="225"/>
      <c r="F25" s="223"/>
    </row>
    <row r="26" spans="1:6" s="104" customFormat="1" ht="15.75" x14ac:dyDescent="0.25">
      <c r="A26" s="172">
        <v>4.0080000000000027</v>
      </c>
      <c r="B26" s="173" t="s">
        <v>97</v>
      </c>
      <c r="C26" s="174" t="s">
        <v>659</v>
      </c>
      <c r="D26" s="172">
        <v>1</v>
      </c>
      <c r="E26" s="223">
        <v>56354.863362726668</v>
      </c>
      <c r="F26" s="223">
        <f t="shared" ref="F26" si="4">$D26*E26</f>
        <v>56354.863362726668</v>
      </c>
    </row>
    <row r="27" spans="1:6" s="104" customFormat="1" ht="15.75" x14ac:dyDescent="0.25">
      <c r="A27" s="172"/>
      <c r="B27" s="170" t="s">
        <v>95</v>
      </c>
      <c r="C27" s="174"/>
      <c r="D27" s="172"/>
      <c r="E27" s="223"/>
      <c r="F27" s="223"/>
    </row>
    <row r="28" spans="1:6" s="104" customFormat="1" ht="15.75" x14ac:dyDescent="0.25">
      <c r="A28" s="172">
        <v>4.009000000000003</v>
      </c>
      <c r="B28" s="173" t="s">
        <v>104</v>
      </c>
      <c r="C28" s="174" t="s">
        <v>659</v>
      </c>
      <c r="D28" s="172">
        <v>1</v>
      </c>
      <c r="E28" s="223">
        <v>2394.6802851709804</v>
      </c>
      <c r="F28" s="223">
        <f t="shared" ref="F28" si="5">$D28*E28</f>
        <v>2394.6802851709804</v>
      </c>
    </row>
    <row r="29" spans="1:6" s="104" customFormat="1" ht="15.75" x14ac:dyDescent="0.25">
      <c r="A29" s="169"/>
      <c r="B29" s="170" t="s">
        <v>269</v>
      </c>
      <c r="C29" s="171"/>
      <c r="D29" s="169"/>
      <c r="E29" s="225"/>
      <c r="F29" s="223"/>
    </row>
    <row r="30" spans="1:6" s="104" customFormat="1" ht="15.75" x14ac:dyDescent="0.25">
      <c r="A30" s="176">
        <v>4.0100000000000033</v>
      </c>
      <c r="B30" s="173" t="s">
        <v>269</v>
      </c>
      <c r="C30" s="174" t="s">
        <v>659</v>
      </c>
      <c r="D30" s="172">
        <v>1</v>
      </c>
      <c r="E30" s="223">
        <v>12046.24776302184</v>
      </c>
      <c r="F30" s="223">
        <f t="shared" ref="F30:F39" si="6">$D30*E30</f>
        <v>12046.24776302184</v>
      </c>
    </row>
    <row r="31" spans="1:6" s="104" customFormat="1" ht="47.25" x14ac:dyDescent="0.25">
      <c r="A31" s="179"/>
      <c r="B31" s="170" t="s">
        <v>687</v>
      </c>
      <c r="C31" s="171"/>
      <c r="D31" s="169"/>
      <c r="E31" s="225"/>
      <c r="F31" s="225"/>
    </row>
    <row r="32" spans="1:6" s="104" customFormat="1" ht="15.75" x14ac:dyDescent="0.25">
      <c r="A32" s="176">
        <v>4.0110000000000037</v>
      </c>
      <c r="B32" s="173" t="s">
        <v>77</v>
      </c>
      <c r="C32" s="174" t="s">
        <v>659</v>
      </c>
      <c r="D32" s="172">
        <v>1</v>
      </c>
      <c r="E32" s="223">
        <v>37477.215262734615</v>
      </c>
      <c r="F32" s="223">
        <f t="shared" si="6"/>
        <v>37477.215262734615</v>
      </c>
    </row>
    <row r="33" spans="1:6" s="104" customFormat="1" ht="15.75" x14ac:dyDescent="0.25">
      <c r="A33" s="176">
        <v>4.012000000000004</v>
      </c>
      <c r="B33" s="173" t="s">
        <v>273</v>
      </c>
      <c r="C33" s="174" t="s">
        <v>659</v>
      </c>
      <c r="D33" s="172">
        <v>1</v>
      </c>
      <c r="E33" s="223">
        <v>34369.885652263132</v>
      </c>
      <c r="F33" s="223">
        <f t="shared" si="6"/>
        <v>34369.885652263132</v>
      </c>
    </row>
    <row r="34" spans="1:6" s="104" customFormat="1" ht="15.75" x14ac:dyDescent="0.25">
      <c r="A34" s="176">
        <v>4.0130000000000043</v>
      </c>
      <c r="B34" s="173" t="s">
        <v>274</v>
      </c>
      <c r="C34" s="174" t="s">
        <v>659</v>
      </c>
      <c r="D34" s="172">
        <v>1</v>
      </c>
      <c r="E34" s="223">
        <v>26627.735445529528</v>
      </c>
      <c r="F34" s="223">
        <f t="shared" si="6"/>
        <v>26627.735445529528</v>
      </c>
    </row>
    <row r="35" spans="1:6" s="104" customFormat="1" ht="15.75" x14ac:dyDescent="0.25">
      <c r="A35" s="176">
        <v>4.0140000000000047</v>
      </c>
      <c r="B35" s="173" t="s">
        <v>476</v>
      </c>
      <c r="C35" s="174" t="s">
        <v>659</v>
      </c>
      <c r="D35" s="172">
        <v>1</v>
      </c>
      <c r="E35" s="223">
        <v>4389.9672257589709</v>
      </c>
      <c r="F35" s="223">
        <f t="shared" si="6"/>
        <v>4389.9672257589709</v>
      </c>
    </row>
    <row r="36" spans="1:6" s="104" customFormat="1" ht="15.75" x14ac:dyDescent="0.25">
      <c r="A36" s="176">
        <v>4.015000000000005</v>
      </c>
      <c r="B36" s="173" t="s">
        <v>277</v>
      </c>
      <c r="C36" s="174" t="s">
        <v>659</v>
      </c>
      <c r="D36" s="172">
        <v>1</v>
      </c>
      <c r="E36" s="223">
        <v>3724.5458840493816</v>
      </c>
      <c r="F36" s="223">
        <f t="shared" si="6"/>
        <v>3724.5458840493816</v>
      </c>
    </row>
    <row r="37" spans="1:6" s="159" customFormat="1" ht="15.75" x14ac:dyDescent="0.25">
      <c r="A37" s="172">
        <v>4.0160000000000053</v>
      </c>
      <c r="B37" s="173" t="s">
        <v>278</v>
      </c>
      <c r="C37" s="174" t="s">
        <v>659</v>
      </c>
      <c r="D37" s="172">
        <v>1</v>
      </c>
      <c r="E37" s="223">
        <v>5512.0752048844561</v>
      </c>
      <c r="F37" s="223">
        <f t="shared" si="6"/>
        <v>5512.0752048844561</v>
      </c>
    </row>
    <row r="38" spans="1:6" s="159" customFormat="1" ht="15.75" x14ac:dyDescent="0.25">
      <c r="A38" s="172">
        <v>4.0170000000000057</v>
      </c>
      <c r="B38" s="187" t="s">
        <v>80</v>
      </c>
      <c r="C38" s="174" t="s">
        <v>659</v>
      </c>
      <c r="D38" s="172">
        <v>1</v>
      </c>
      <c r="E38" s="223">
        <v>92388.155137346679</v>
      </c>
      <c r="F38" s="223">
        <f t="shared" si="6"/>
        <v>92388.155137346679</v>
      </c>
    </row>
    <row r="39" spans="1:6" s="104" customFormat="1" ht="16.899999999999999" customHeight="1" x14ac:dyDescent="0.25">
      <c r="A39" s="172">
        <v>4.018000000000006</v>
      </c>
      <c r="B39" s="187" t="s">
        <v>279</v>
      </c>
      <c r="C39" s="174" t="s">
        <v>659</v>
      </c>
      <c r="D39" s="172">
        <v>1</v>
      </c>
      <c r="E39" s="223">
        <v>44587.513004858258</v>
      </c>
      <c r="F39" s="223">
        <f t="shared" si="6"/>
        <v>44587.513004858258</v>
      </c>
    </row>
    <row r="40" spans="1:6" s="104" customFormat="1" ht="15.75" x14ac:dyDescent="0.25">
      <c r="A40" s="179"/>
      <c r="B40" s="170" t="s">
        <v>280</v>
      </c>
      <c r="C40" s="171"/>
      <c r="D40" s="169"/>
      <c r="E40" s="225"/>
      <c r="F40" s="225"/>
    </row>
    <row r="41" spans="1:6" s="104" customFormat="1" ht="15.75" x14ac:dyDescent="0.25">
      <c r="A41" s="179"/>
      <c r="B41" s="170" t="s">
        <v>281</v>
      </c>
      <c r="C41" s="171"/>
      <c r="D41" s="169"/>
      <c r="E41" s="225"/>
      <c r="F41" s="225"/>
    </row>
    <row r="42" spans="1:6" s="104" customFormat="1" ht="96.6" customHeight="1" x14ac:dyDescent="0.25">
      <c r="A42" s="179"/>
      <c r="B42" s="199" t="s">
        <v>712</v>
      </c>
      <c r="C42" s="171"/>
      <c r="D42" s="169"/>
      <c r="E42" s="225"/>
      <c r="F42" s="225"/>
    </row>
    <row r="43" spans="1:6" s="104" customFormat="1" ht="15.75" x14ac:dyDescent="0.25">
      <c r="A43" s="176">
        <v>4.0190000000000063</v>
      </c>
      <c r="B43" s="173" t="s">
        <v>282</v>
      </c>
      <c r="C43" s="174" t="s">
        <v>659</v>
      </c>
      <c r="D43" s="172">
        <v>1</v>
      </c>
      <c r="E43" s="223">
        <v>8030.8318420145615</v>
      </c>
      <c r="F43" s="223">
        <f t="shared" ref="F43" si="7">$D43*E43</f>
        <v>8030.8318420145615</v>
      </c>
    </row>
    <row r="44" spans="1:6" s="104" customFormat="1" ht="130.9" customHeight="1" x14ac:dyDescent="0.25">
      <c r="A44" s="179"/>
      <c r="B44" s="199" t="s">
        <v>713</v>
      </c>
      <c r="C44" s="171"/>
      <c r="D44" s="169"/>
      <c r="E44" s="225"/>
      <c r="F44" s="225"/>
    </row>
    <row r="45" spans="1:6" s="104" customFormat="1" ht="27" customHeight="1" x14ac:dyDescent="0.25">
      <c r="A45" s="176">
        <v>4.0200000000000067</v>
      </c>
      <c r="B45" s="173" t="s">
        <v>477</v>
      </c>
      <c r="C45" s="174" t="s">
        <v>659</v>
      </c>
      <c r="D45" s="172">
        <v>1</v>
      </c>
      <c r="E45" s="223">
        <v>18738.607631367307</v>
      </c>
      <c r="F45" s="223">
        <f t="shared" ref="F45" si="8">$D45*E45</f>
        <v>18738.607631367307</v>
      </c>
    </row>
    <row r="46" spans="1:6" s="95" customFormat="1" ht="25.5" customHeight="1" x14ac:dyDescent="0.2">
      <c r="A46" s="177"/>
      <c r="B46" s="171" t="s">
        <v>284</v>
      </c>
      <c r="C46" s="174"/>
      <c r="D46" s="178"/>
      <c r="E46" s="224"/>
      <c r="F46" s="223">
        <f>SUM(F10:F45)</f>
        <v>423263.15852677356</v>
      </c>
    </row>
    <row r="47" spans="1:6" x14ac:dyDescent="0.2">
      <c r="E47" s="88"/>
    </row>
  </sheetData>
  <sheetProtection formatCells="0" formatColumns="0" formatRows="0" insertColumns="0" insertRows="0" insertHyperlinks="0" deleteColumns="0" deleteRows="0" sort="0" autoFilter="0" pivotTables="0"/>
  <autoFilter ref="A6:F46" xr:uid="{22BD849B-7197-4D03-B18A-99A558AC4DE8}"/>
  <pageMargins left="0.47244094488188981" right="0.47244094488188981" top="0.74803149606299213" bottom="0.74803149606299213" header="0.31496062992125984" footer="0.31496062992125984"/>
  <pageSetup paperSize="9" scale="90" orientation="landscape" r:id="rId1"/>
  <headerFooter>
    <oddFooter>&amp;C&amp;"Arial,Bold"&amp;16&amp;P/&amp;N</oddFooter>
  </headerFooter>
  <rowBreaks count="3" manualBreakCount="3">
    <brk id="16" max="5" man="1"/>
    <brk id="23" max="5" man="1"/>
    <brk id="39" max="5"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F320-64A1-4C67-8718-EECEF2271B2E}">
  <dimension ref="A1:F45"/>
  <sheetViews>
    <sheetView tabSelected="1" view="pageBreakPreview" zoomScale="25" zoomScaleNormal="100" zoomScaleSheetLayoutView="25" workbookViewId="0">
      <selection activeCell="M24" sqref="A24:M25"/>
    </sheetView>
  </sheetViews>
  <sheetFormatPr defaultColWidth="9.140625" defaultRowHeight="15" x14ac:dyDescent="0.2"/>
  <cols>
    <col min="1" max="1" width="9.140625" style="146"/>
    <col min="2" max="2" width="75.28515625" style="86" customWidth="1"/>
    <col min="3" max="3" width="13" style="88" customWidth="1"/>
    <col min="4" max="4" width="14.28515625" style="88" customWidth="1"/>
    <col min="5" max="5" width="17.85546875" style="109" customWidth="1"/>
    <col min="6" max="6" width="19.5703125" style="109" customWidth="1"/>
    <col min="7" max="16384" width="9.140625" style="90"/>
  </cols>
  <sheetData>
    <row r="1" spans="1:6" x14ac:dyDescent="0.2">
      <c r="A1" s="143"/>
      <c r="B1" s="87"/>
      <c r="E1" s="89"/>
      <c r="F1" s="89"/>
    </row>
    <row r="2" spans="1:6" x14ac:dyDescent="0.2">
      <c r="A2" s="143"/>
      <c r="B2" s="87"/>
      <c r="E2" s="89"/>
      <c r="F2" s="89"/>
    </row>
    <row r="3" spans="1:6" ht="12" customHeight="1" thickBot="1" x14ac:dyDescent="0.25">
      <c r="A3" s="143"/>
      <c r="B3" s="273"/>
      <c r="C3" s="274"/>
      <c r="E3" s="89"/>
      <c r="F3" s="89"/>
    </row>
    <row r="4" spans="1:6" ht="33.950000000000003" customHeight="1" x14ac:dyDescent="0.2">
      <c r="A4" s="143"/>
      <c r="B4" s="87"/>
      <c r="E4" s="89"/>
      <c r="F4" s="89"/>
    </row>
    <row r="5" spans="1:6" s="95" customFormat="1" ht="15.75" x14ac:dyDescent="0.2">
      <c r="A5" s="144"/>
      <c r="B5" s="92" t="s">
        <v>285</v>
      </c>
      <c r="C5" s="93"/>
      <c r="D5" s="93"/>
      <c r="E5" s="94"/>
      <c r="F5" s="94"/>
    </row>
    <row r="6" spans="1:6" s="100" customFormat="1" ht="63" x14ac:dyDescent="0.2">
      <c r="A6" s="138" t="s">
        <v>14</v>
      </c>
      <c r="B6" s="97" t="s">
        <v>0</v>
      </c>
      <c r="C6" s="96" t="s">
        <v>15</v>
      </c>
      <c r="D6" s="98" t="s">
        <v>16</v>
      </c>
      <c r="E6" s="99" t="s">
        <v>17</v>
      </c>
      <c r="F6" s="99" t="s">
        <v>320</v>
      </c>
    </row>
    <row r="7" spans="1:6" s="104" customFormat="1" ht="15.75" x14ac:dyDescent="0.25">
      <c r="A7" s="107"/>
      <c r="B7" s="101" t="s">
        <v>286</v>
      </c>
      <c r="C7" s="93"/>
      <c r="D7" s="93"/>
      <c r="E7" s="103"/>
      <c r="F7" s="103"/>
    </row>
    <row r="8" spans="1:6" s="104" customFormat="1" ht="15.75" x14ac:dyDescent="0.25">
      <c r="A8" s="147"/>
      <c r="B8" s="148" t="s">
        <v>287</v>
      </c>
      <c r="C8" s="93"/>
      <c r="D8" s="149"/>
      <c r="E8" s="150"/>
      <c r="F8" s="103"/>
    </row>
    <row r="9" spans="1:6" s="104" customFormat="1" ht="30" x14ac:dyDescent="0.25">
      <c r="A9" s="107">
        <v>5.0010000000000003</v>
      </c>
      <c r="B9" s="151" t="s">
        <v>288</v>
      </c>
      <c r="C9" s="93" t="s">
        <v>289</v>
      </c>
      <c r="D9" s="149">
        <v>1</v>
      </c>
      <c r="E9" s="224">
        <v>124949.70492194405</v>
      </c>
      <c r="F9" s="223">
        <f>$D9*E9</f>
        <v>124949.70492194405</v>
      </c>
    </row>
    <row r="10" spans="1:6" s="104" customFormat="1" ht="45" x14ac:dyDescent="0.25">
      <c r="A10" s="107">
        <v>5.0020000000000007</v>
      </c>
      <c r="B10" s="151" t="s">
        <v>290</v>
      </c>
      <c r="C10" s="93" t="s">
        <v>289</v>
      </c>
      <c r="D10" s="149">
        <v>1</v>
      </c>
      <c r="E10" s="224">
        <v>40667.797829968316</v>
      </c>
      <c r="F10" s="223">
        <f t="shared" ref="F10:F18" si="0">$D10*E10</f>
        <v>40667.797829968316</v>
      </c>
    </row>
    <row r="11" spans="1:6" s="104" customFormat="1" ht="45" x14ac:dyDescent="0.25">
      <c r="A11" s="107">
        <v>5.003000000000001</v>
      </c>
      <c r="B11" s="151" t="s">
        <v>291</v>
      </c>
      <c r="C11" s="93" t="s">
        <v>289</v>
      </c>
      <c r="D11" s="149">
        <v>1</v>
      </c>
      <c r="E11" s="224">
        <v>513387.65640045173</v>
      </c>
      <c r="F11" s="223">
        <f t="shared" si="0"/>
        <v>513387.65640045173</v>
      </c>
    </row>
    <row r="12" spans="1:6" s="104" customFormat="1" ht="30" x14ac:dyDescent="0.25">
      <c r="A12" s="107">
        <v>5.0040000000000013</v>
      </c>
      <c r="B12" s="151" t="s">
        <v>292</v>
      </c>
      <c r="C12" s="93" t="s">
        <v>659</v>
      </c>
      <c r="D12" s="201">
        <v>1</v>
      </c>
      <c r="E12" s="224">
        <v>115153.76316465337</v>
      </c>
      <c r="F12" s="223">
        <f t="shared" si="0"/>
        <v>115153.76316465337</v>
      </c>
    </row>
    <row r="13" spans="1:6" s="104" customFormat="1" ht="45" x14ac:dyDescent="0.25">
      <c r="A13" s="107">
        <v>5.0050000000000017</v>
      </c>
      <c r="B13" s="151" t="s">
        <v>293</v>
      </c>
      <c r="C13" s="93" t="s">
        <v>659</v>
      </c>
      <c r="D13" s="201">
        <v>1</v>
      </c>
      <c r="E13" s="224">
        <v>419627.6946449317</v>
      </c>
      <c r="F13" s="223">
        <f t="shared" si="0"/>
        <v>419627.6946449317</v>
      </c>
    </row>
    <row r="14" spans="1:6" s="104" customFormat="1" ht="45" x14ac:dyDescent="0.25">
      <c r="A14" s="107">
        <v>5.006000000000002</v>
      </c>
      <c r="B14" s="151" t="s">
        <v>478</v>
      </c>
      <c r="C14" s="93" t="s">
        <v>289</v>
      </c>
      <c r="D14" s="149">
        <v>4</v>
      </c>
      <c r="E14" s="224">
        <v>187775.90627600421</v>
      </c>
      <c r="F14" s="223">
        <f t="shared" si="0"/>
        <v>751103.62510401686</v>
      </c>
    </row>
    <row r="15" spans="1:6" s="104" customFormat="1" ht="15.75" x14ac:dyDescent="0.25">
      <c r="A15" s="107">
        <v>5.0070000000000023</v>
      </c>
      <c r="B15" s="151" t="s">
        <v>295</v>
      </c>
      <c r="C15" s="93" t="s">
        <v>289</v>
      </c>
      <c r="D15" s="149">
        <v>4</v>
      </c>
      <c r="E15" s="224">
        <v>3588.7779794002572</v>
      </c>
      <c r="F15" s="223">
        <f t="shared" si="0"/>
        <v>14355.111917601029</v>
      </c>
    </row>
    <row r="16" spans="1:6" s="104" customFormat="1" ht="45" x14ac:dyDescent="0.25">
      <c r="A16" s="107">
        <v>5.0080000000000027</v>
      </c>
      <c r="B16" s="151" t="s">
        <v>296</v>
      </c>
      <c r="C16" s="93" t="s">
        <v>289</v>
      </c>
      <c r="D16" s="149">
        <v>2</v>
      </c>
      <c r="E16" s="224">
        <v>29513.307019403514</v>
      </c>
      <c r="F16" s="223">
        <f t="shared" si="0"/>
        <v>59026.614038807027</v>
      </c>
    </row>
    <row r="17" spans="1:6" s="104" customFormat="1" ht="15.75" x14ac:dyDescent="0.25">
      <c r="A17" s="107">
        <v>5.009000000000003</v>
      </c>
      <c r="B17" s="102" t="s">
        <v>297</v>
      </c>
      <c r="C17" s="93" t="s">
        <v>659</v>
      </c>
      <c r="D17" s="93">
        <v>1</v>
      </c>
      <c r="E17" s="224">
        <v>7968.9275132323655</v>
      </c>
      <c r="F17" s="223">
        <f t="shared" si="0"/>
        <v>7968.9275132323655</v>
      </c>
    </row>
    <row r="18" spans="1:6" s="104" customFormat="1" ht="15.75" x14ac:dyDescent="0.25">
      <c r="A18" s="107">
        <v>5.0100000000000033</v>
      </c>
      <c r="B18" s="102" t="s">
        <v>298</v>
      </c>
      <c r="C18" s="93" t="s">
        <v>659</v>
      </c>
      <c r="D18" s="201">
        <v>1</v>
      </c>
      <c r="E18" s="224">
        <v>119528.89342858423</v>
      </c>
      <c r="F18" s="223">
        <f t="shared" si="0"/>
        <v>119528.89342858423</v>
      </c>
    </row>
    <row r="19" spans="1:6" s="104" customFormat="1" ht="15.75" x14ac:dyDescent="0.25">
      <c r="A19" s="107"/>
      <c r="B19" s="152" t="s">
        <v>447</v>
      </c>
      <c r="C19" s="93"/>
      <c r="D19" s="149"/>
      <c r="E19" s="224"/>
      <c r="F19" s="223"/>
    </row>
    <row r="20" spans="1:6" s="104" customFormat="1" ht="78.75" x14ac:dyDescent="0.25">
      <c r="A20" s="147"/>
      <c r="B20" s="180" t="s">
        <v>448</v>
      </c>
      <c r="C20" s="93"/>
      <c r="D20" s="201"/>
      <c r="E20" s="223"/>
      <c r="F20" s="223"/>
    </row>
    <row r="21" spans="1:6" s="104" customFormat="1" ht="15.75" x14ac:dyDescent="0.25">
      <c r="A21" s="107">
        <v>5.009000000000003</v>
      </c>
      <c r="B21" s="173" t="s">
        <v>449</v>
      </c>
      <c r="C21" s="93" t="s">
        <v>659</v>
      </c>
      <c r="D21" s="201">
        <v>1</v>
      </c>
      <c r="E21" s="224">
        <v>79685.928952389484</v>
      </c>
      <c r="F21" s="223">
        <f t="shared" ref="F21:F25" si="1">$D21*E21</f>
        <v>79685.928952389484</v>
      </c>
    </row>
    <row r="22" spans="1:6" s="104" customFormat="1" ht="30" x14ac:dyDescent="0.25">
      <c r="A22" s="107">
        <v>5.0110000000000037</v>
      </c>
      <c r="B22" s="173" t="s">
        <v>479</v>
      </c>
      <c r="C22" s="93" t="s">
        <v>659</v>
      </c>
      <c r="D22" s="201">
        <v>1</v>
      </c>
      <c r="E22" s="224">
        <v>373835.22224577778</v>
      </c>
      <c r="F22" s="223">
        <f t="shared" si="1"/>
        <v>373835.22224577778</v>
      </c>
    </row>
    <row r="23" spans="1:6" s="104" customFormat="1" ht="30" x14ac:dyDescent="0.25">
      <c r="A23" s="107">
        <v>5.012000000000004</v>
      </c>
      <c r="B23" s="173" t="s">
        <v>451</v>
      </c>
      <c r="C23" s="93" t="s">
        <v>659</v>
      </c>
      <c r="D23" s="201">
        <v>1</v>
      </c>
      <c r="E23" s="224">
        <v>39842.964476194742</v>
      </c>
      <c r="F23" s="223">
        <f t="shared" si="1"/>
        <v>39842.964476194742</v>
      </c>
    </row>
    <row r="24" spans="1:6" s="104" customFormat="1" ht="15.75" x14ac:dyDescent="0.25">
      <c r="A24" s="147"/>
      <c r="B24" s="152" t="s">
        <v>299</v>
      </c>
      <c r="C24" s="93"/>
      <c r="D24" s="149"/>
      <c r="E24" s="224"/>
      <c r="F24" s="223">
        <f t="shared" si="1"/>
        <v>0</v>
      </c>
    </row>
    <row r="25" spans="1:6" s="104" customFormat="1" ht="45" x14ac:dyDescent="0.25">
      <c r="A25" s="107">
        <v>5.0130000000000043</v>
      </c>
      <c r="B25" s="151" t="s">
        <v>300</v>
      </c>
      <c r="C25" s="93" t="s">
        <v>79</v>
      </c>
      <c r="D25" s="149">
        <v>4</v>
      </c>
      <c r="E25" s="224">
        <v>14221.26472023412</v>
      </c>
      <c r="F25" s="223">
        <f t="shared" si="1"/>
        <v>56885.058880936478</v>
      </c>
    </row>
    <row r="26" spans="1:6" s="104" customFormat="1" ht="15.75" x14ac:dyDescent="0.25">
      <c r="A26" s="107">
        <v>5.0140000000000047</v>
      </c>
      <c r="B26" s="152" t="s">
        <v>301</v>
      </c>
      <c r="C26" s="93"/>
      <c r="D26" s="149"/>
      <c r="E26" s="224"/>
      <c r="F26" s="223"/>
    </row>
    <row r="27" spans="1:6" s="104" customFormat="1" ht="60" x14ac:dyDescent="0.25">
      <c r="A27" s="107">
        <v>5.015000000000005</v>
      </c>
      <c r="B27" s="151" t="s">
        <v>302</v>
      </c>
      <c r="C27" s="93" t="s">
        <v>289</v>
      </c>
      <c r="D27" s="149">
        <v>2</v>
      </c>
      <c r="E27" s="224">
        <v>99607.411190486848</v>
      </c>
      <c r="F27" s="223">
        <f t="shared" ref="F27:F29" si="2">$D27*E27</f>
        <v>199214.8223809737</v>
      </c>
    </row>
    <row r="28" spans="1:6" s="104" customFormat="1" ht="45" x14ac:dyDescent="0.25">
      <c r="A28" s="107">
        <v>5.0160000000000053</v>
      </c>
      <c r="B28" s="151" t="s">
        <v>303</v>
      </c>
      <c r="C28" s="93" t="s">
        <v>289</v>
      </c>
      <c r="D28" s="149">
        <v>2</v>
      </c>
      <c r="E28" s="224">
        <v>119528.89342858423</v>
      </c>
      <c r="F28" s="223">
        <f t="shared" si="2"/>
        <v>239057.78685716845</v>
      </c>
    </row>
    <row r="29" spans="1:6" s="104" customFormat="1" ht="30" x14ac:dyDescent="0.25">
      <c r="A29" s="107">
        <v>5.0170000000000057</v>
      </c>
      <c r="B29" s="151" t="s">
        <v>304</v>
      </c>
      <c r="C29" s="93" t="s">
        <v>289</v>
      </c>
      <c r="D29" s="149">
        <v>6</v>
      </c>
      <c r="E29" s="224">
        <v>39842.964476194742</v>
      </c>
      <c r="F29" s="223">
        <f t="shared" si="2"/>
        <v>239057.78685716845</v>
      </c>
    </row>
    <row r="30" spans="1:6" s="104" customFormat="1" ht="15.75" x14ac:dyDescent="0.25">
      <c r="A30" s="107"/>
      <c r="B30" s="140" t="s">
        <v>305</v>
      </c>
      <c r="C30" s="141"/>
      <c r="D30" s="201"/>
      <c r="E30" s="108"/>
      <c r="F30" s="223"/>
    </row>
    <row r="31" spans="1:6" s="104" customFormat="1" ht="15.75" x14ac:dyDescent="0.25">
      <c r="A31" s="107"/>
      <c r="B31" s="202" t="s">
        <v>306</v>
      </c>
      <c r="C31" s="93"/>
      <c r="D31" s="201"/>
      <c r="E31" s="108"/>
      <c r="F31" s="223"/>
    </row>
    <row r="32" spans="1:6" s="104" customFormat="1" ht="15.75" x14ac:dyDescent="0.25">
      <c r="A32" s="107">
        <v>5.018000000000006</v>
      </c>
      <c r="B32" s="151" t="s">
        <v>307</v>
      </c>
      <c r="C32" s="141" t="s">
        <v>289</v>
      </c>
      <c r="D32" s="201">
        <v>1</v>
      </c>
      <c r="E32" s="224">
        <v>55541.567637366119</v>
      </c>
      <c r="F32" s="223">
        <f t="shared" ref="F32:F43" si="3">$D32*E32</f>
        <v>55541.567637366119</v>
      </c>
    </row>
    <row r="33" spans="1:6" s="104" customFormat="1" ht="15.75" x14ac:dyDescent="0.25">
      <c r="A33" s="107">
        <v>5.0190000000000063</v>
      </c>
      <c r="B33" s="151" t="s">
        <v>308</v>
      </c>
      <c r="C33" s="141" t="s">
        <v>289</v>
      </c>
      <c r="D33" s="201">
        <v>1</v>
      </c>
      <c r="E33" s="224">
        <v>7528.9048518886511</v>
      </c>
      <c r="F33" s="223">
        <f t="shared" si="3"/>
        <v>7528.9048518886511</v>
      </c>
    </row>
    <row r="34" spans="1:6" s="104" customFormat="1" ht="15.75" x14ac:dyDescent="0.25">
      <c r="A34" s="107">
        <v>5.0200000000000067</v>
      </c>
      <c r="B34" s="151" t="s">
        <v>309</v>
      </c>
      <c r="C34" s="141" t="s">
        <v>289</v>
      </c>
      <c r="D34" s="201">
        <v>1</v>
      </c>
      <c r="E34" s="224">
        <v>11910.727475687847</v>
      </c>
      <c r="F34" s="223">
        <f t="shared" si="3"/>
        <v>11910.727475687847</v>
      </c>
    </row>
    <row r="35" spans="1:6" s="104" customFormat="1" ht="15.75" x14ac:dyDescent="0.25">
      <c r="A35" s="107">
        <v>5.021000000000007</v>
      </c>
      <c r="B35" s="151" t="s">
        <v>310</v>
      </c>
      <c r="C35" s="141" t="s">
        <v>289</v>
      </c>
      <c r="D35" s="201">
        <v>1</v>
      </c>
      <c r="E35" s="224">
        <v>1425.4726519575845</v>
      </c>
      <c r="F35" s="223">
        <f t="shared" si="3"/>
        <v>1425.4726519575845</v>
      </c>
    </row>
    <row r="36" spans="1:6" s="104" customFormat="1" ht="15.75" x14ac:dyDescent="0.25">
      <c r="A36" s="107">
        <v>5.0220000000000073</v>
      </c>
      <c r="B36" s="142" t="s">
        <v>311</v>
      </c>
      <c r="C36" s="141" t="s">
        <v>289</v>
      </c>
      <c r="D36" s="201">
        <v>1</v>
      </c>
      <c r="E36" s="224">
        <v>8345.3727558267983</v>
      </c>
      <c r="F36" s="223">
        <f t="shared" si="3"/>
        <v>8345.3727558267983</v>
      </c>
    </row>
    <row r="37" spans="1:6" s="104" customFormat="1" ht="15.75" x14ac:dyDescent="0.25">
      <c r="A37" s="107"/>
      <c r="B37" s="202" t="s">
        <v>312</v>
      </c>
      <c r="C37" s="93"/>
      <c r="D37" s="201"/>
      <c r="E37" s="108"/>
      <c r="F37" s="223"/>
    </row>
    <row r="38" spans="1:6" s="104" customFormat="1" ht="90" x14ac:dyDescent="0.25">
      <c r="A38" s="107">
        <v>5.0230000000000077</v>
      </c>
      <c r="B38" s="151" t="s">
        <v>313</v>
      </c>
      <c r="C38" s="93" t="s">
        <v>659</v>
      </c>
      <c r="D38" s="201">
        <v>1</v>
      </c>
      <c r="E38" s="224">
        <v>239057.78685716845</v>
      </c>
      <c r="F38" s="223">
        <f t="shared" si="3"/>
        <v>239057.78685716845</v>
      </c>
    </row>
    <row r="39" spans="1:6" s="104" customFormat="1" ht="15.75" x14ac:dyDescent="0.25">
      <c r="A39" s="107"/>
      <c r="B39" s="195" t="s">
        <v>314</v>
      </c>
      <c r="C39" s="141"/>
      <c r="D39" s="201"/>
      <c r="E39" s="223"/>
      <c r="F39" s="223"/>
    </row>
    <row r="40" spans="1:6" s="104" customFormat="1" ht="15.75" x14ac:dyDescent="0.25">
      <c r="A40" s="107">
        <v>5.024000000000008</v>
      </c>
      <c r="B40" s="142" t="s">
        <v>315</v>
      </c>
      <c r="C40" s="93" t="s">
        <v>659</v>
      </c>
      <c r="D40" s="201">
        <v>1</v>
      </c>
      <c r="E40" s="224">
        <v>103296.57456791231</v>
      </c>
      <c r="F40" s="223">
        <f t="shared" si="3"/>
        <v>103296.57456791231</v>
      </c>
    </row>
    <row r="41" spans="1:6" s="104" customFormat="1" ht="45" x14ac:dyDescent="0.25">
      <c r="A41" s="107">
        <v>5.0250000000000083</v>
      </c>
      <c r="B41" s="151" t="s">
        <v>316</v>
      </c>
      <c r="C41" s="93" t="s">
        <v>659</v>
      </c>
      <c r="D41" s="201">
        <v>1</v>
      </c>
      <c r="E41" s="224">
        <v>44269.960529105265</v>
      </c>
      <c r="F41" s="223">
        <f t="shared" si="3"/>
        <v>44269.960529105265</v>
      </c>
    </row>
    <row r="42" spans="1:6" s="104" customFormat="1" ht="15.75" x14ac:dyDescent="0.25">
      <c r="A42" s="107">
        <v>5.0260000000000087</v>
      </c>
      <c r="B42" s="142" t="s">
        <v>317</v>
      </c>
      <c r="C42" s="93" t="s">
        <v>659</v>
      </c>
      <c r="D42" s="201">
        <v>1</v>
      </c>
      <c r="E42" s="224">
        <v>44269.960529105265</v>
      </c>
      <c r="F42" s="223">
        <f t="shared" si="3"/>
        <v>44269.960529105265</v>
      </c>
    </row>
    <row r="43" spans="1:6" s="104" customFormat="1" ht="30" x14ac:dyDescent="0.25">
      <c r="A43" s="107">
        <v>5.027000000000009</v>
      </c>
      <c r="B43" s="102" t="s">
        <v>318</v>
      </c>
      <c r="C43" s="93" t="s">
        <v>659</v>
      </c>
      <c r="D43" s="93">
        <v>1</v>
      </c>
      <c r="E43" s="224">
        <v>49208.52844371667</v>
      </c>
      <c r="F43" s="223">
        <f t="shared" si="3"/>
        <v>49208.52844371667</v>
      </c>
    </row>
    <row r="44" spans="1:6" s="95" customFormat="1" ht="25.5" customHeight="1" x14ac:dyDescent="0.2">
      <c r="A44" s="145"/>
      <c r="B44" s="98" t="s">
        <v>319</v>
      </c>
      <c r="C44" s="91"/>
      <c r="D44" s="108"/>
      <c r="E44" s="224"/>
      <c r="F44" s="225">
        <f>SUM(F9:F43)</f>
        <v>3958204.2159145349</v>
      </c>
    </row>
    <row r="45" spans="1:6" x14ac:dyDescent="0.2">
      <c r="D45" s="250"/>
      <c r="E45" s="250"/>
    </row>
  </sheetData>
  <sheetProtection formatCells="0" formatColumns="0" formatRows="0" insertColumns="0" insertRows="0" insertHyperlinks="0" deleteColumns="0" deleteRows="0" sort="0" autoFilter="0" pivotTables="0"/>
  <protectedRanges>
    <protectedRange sqref="F44" name="Range1_1_1"/>
  </protectedRanges>
  <autoFilter ref="A6:F44" xr:uid="{1431F320-64A1-4C67-8718-EECEF2271B2E}"/>
  <pageMargins left="0.47244094488188981" right="0.47244094488188981" top="0.74803149606299213" bottom="0.74803149606299213" header="0.31496062992125984" footer="0.31496062992125984"/>
  <pageSetup paperSize="9" scale="89" fitToHeight="0" orientation="landscape" r:id="rId1"/>
  <headerFooter>
    <oddFooter>&amp;C&amp;"Arial,Bold"&amp;16&amp;P/&amp;N</oddFooter>
  </headerFooter>
  <rowBreaks count="2" manualBreakCount="2">
    <brk id="18" max="5" man="1"/>
    <brk id="29" max="5"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331E-4624-498B-8C62-324DAA78F183}">
  <dimension ref="A1:DA93"/>
  <sheetViews>
    <sheetView view="pageBreakPreview" zoomScale="40" zoomScaleNormal="100" zoomScaleSheetLayoutView="40" workbookViewId="0">
      <selection activeCell="C3" sqref="C3"/>
    </sheetView>
  </sheetViews>
  <sheetFormatPr defaultColWidth="9.140625" defaultRowHeight="15" x14ac:dyDescent="0.2"/>
  <cols>
    <col min="1" max="1" width="9.140625" style="41"/>
    <col min="2" max="2" width="75.28515625" style="39" customWidth="1"/>
    <col min="3" max="3" width="8.42578125" style="41" customWidth="1"/>
    <col min="4" max="4" width="14.28515625" style="41" customWidth="1"/>
    <col min="5" max="5" width="16.28515625" style="120" customWidth="1"/>
    <col min="6" max="6" width="19.5703125" style="120" customWidth="1"/>
    <col min="7" max="8" width="9.140625" style="42"/>
    <col min="9" max="9" width="17.140625" style="42" customWidth="1"/>
    <col min="10" max="16384" width="9.140625" style="42"/>
  </cols>
  <sheetData>
    <row r="1" spans="1:105" x14ac:dyDescent="0.2">
      <c r="A1" s="39"/>
      <c r="B1" s="40"/>
      <c r="E1" s="115"/>
      <c r="F1" s="115"/>
    </row>
    <row r="2" spans="1:105" x14ac:dyDescent="0.2">
      <c r="A2" s="39"/>
      <c r="B2" s="40"/>
      <c r="E2" s="115"/>
      <c r="F2" s="115"/>
    </row>
    <row r="3" spans="1:105" ht="12" customHeight="1" thickBot="1" x14ac:dyDescent="0.25">
      <c r="A3" s="39"/>
      <c r="B3" s="271"/>
      <c r="C3" s="272"/>
      <c r="E3" s="115"/>
      <c r="F3" s="115"/>
    </row>
    <row r="4" spans="1:105" ht="33.950000000000003" customHeight="1" x14ac:dyDescent="0.2">
      <c r="A4" s="39"/>
      <c r="B4" s="40"/>
      <c r="E4" s="115"/>
      <c r="F4" s="115"/>
    </row>
    <row r="5" spans="1:105" s="46" customFormat="1" ht="15.75" x14ac:dyDescent="0.2">
      <c r="A5" s="43"/>
      <c r="B5" s="44" t="s">
        <v>480</v>
      </c>
      <c r="C5" s="45"/>
      <c r="D5" s="45"/>
      <c r="E5" s="116"/>
      <c r="F5" s="116"/>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row>
    <row r="6" spans="1:105" s="50" customFormat="1" ht="63" x14ac:dyDescent="0.2">
      <c r="A6" s="47" t="s">
        <v>14</v>
      </c>
      <c r="B6" s="48" t="s">
        <v>0</v>
      </c>
      <c r="C6" s="47" t="s">
        <v>15</v>
      </c>
      <c r="D6" s="49" t="s">
        <v>16</v>
      </c>
      <c r="E6" s="117" t="s">
        <v>17</v>
      </c>
      <c r="F6" s="117" t="s">
        <v>18</v>
      </c>
      <c r="G6" s="42"/>
      <c r="H6" s="42"/>
      <c r="I6" s="42"/>
      <c r="J6" s="42"/>
      <c r="K6" s="42"/>
      <c r="L6" s="42"/>
      <c r="M6" s="42"/>
      <c r="N6" s="42"/>
      <c r="O6" s="42"/>
      <c r="P6" s="42"/>
      <c r="Q6" s="42"/>
      <c r="R6" s="42"/>
      <c r="S6" s="42"/>
      <c r="T6" s="42"/>
      <c r="U6" s="42"/>
      <c r="V6" s="42"/>
    </row>
    <row r="7" spans="1:105" s="53" customFormat="1" ht="60" x14ac:dyDescent="0.25">
      <c r="A7" s="45"/>
      <c r="B7" s="54" t="s">
        <v>481</v>
      </c>
      <c r="C7" s="45"/>
      <c r="D7" s="45"/>
      <c r="E7" s="118"/>
      <c r="F7" s="118"/>
      <c r="G7" s="42"/>
      <c r="H7" s="42"/>
      <c r="I7" s="42"/>
      <c r="J7" s="42"/>
      <c r="K7" s="42"/>
      <c r="L7" s="42"/>
      <c r="M7" s="42"/>
      <c r="N7" s="42"/>
      <c r="O7" s="42"/>
      <c r="P7" s="42"/>
      <c r="Q7" s="42"/>
      <c r="R7" s="42"/>
      <c r="S7" s="42"/>
      <c r="T7" s="42"/>
      <c r="U7" s="42"/>
      <c r="V7" s="42"/>
    </row>
    <row r="8" spans="1:105" s="53" customFormat="1" ht="195" x14ac:dyDescent="0.25">
      <c r="A8" s="45"/>
      <c r="B8" s="54" t="s">
        <v>482</v>
      </c>
      <c r="C8" s="45"/>
      <c r="D8" s="45"/>
      <c r="E8" s="118"/>
      <c r="F8" s="118"/>
    </row>
    <row r="9" spans="1:105" s="53" customFormat="1" ht="15.75" x14ac:dyDescent="0.25">
      <c r="A9" s="47"/>
      <c r="B9" s="51" t="s">
        <v>483</v>
      </c>
      <c r="C9" s="47"/>
      <c r="D9" s="47"/>
      <c r="E9" s="119"/>
      <c r="F9" s="119"/>
    </row>
    <row r="10" spans="1:105" s="53" customFormat="1" ht="31.5" x14ac:dyDescent="0.25">
      <c r="A10" s="47"/>
      <c r="B10" s="51" t="s">
        <v>484</v>
      </c>
      <c r="C10" s="47"/>
      <c r="D10" s="47"/>
      <c r="E10" s="119"/>
      <c r="F10" s="119"/>
    </row>
    <row r="11" spans="1:105" s="53" customFormat="1" ht="15.75" x14ac:dyDescent="0.25">
      <c r="A11" s="47">
        <v>6.01</v>
      </c>
      <c r="B11" s="51" t="s">
        <v>485</v>
      </c>
      <c r="C11" s="47"/>
      <c r="D11" s="47"/>
      <c r="E11" s="119"/>
      <c r="F11" s="119"/>
    </row>
    <row r="12" spans="1:105" s="53" customFormat="1" ht="15.75" x14ac:dyDescent="0.25">
      <c r="A12" s="45" t="s">
        <v>486</v>
      </c>
      <c r="B12" s="54" t="s">
        <v>487</v>
      </c>
      <c r="C12" s="45" t="s">
        <v>488</v>
      </c>
      <c r="D12" s="45">
        <v>10</v>
      </c>
      <c r="E12" s="134">
        <v>37.5</v>
      </c>
      <c r="F12" s="131">
        <f>$D12*E12</f>
        <v>375</v>
      </c>
    </row>
    <row r="13" spans="1:105" s="53" customFormat="1" ht="15.75" x14ac:dyDescent="0.25">
      <c r="A13" s="45" t="s">
        <v>489</v>
      </c>
      <c r="B13" s="54" t="s">
        <v>490</v>
      </c>
      <c r="C13" s="45" t="s">
        <v>488</v>
      </c>
      <c r="D13" s="45">
        <v>60</v>
      </c>
      <c r="E13" s="134">
        <v>45</v>
      </c>
      <c r="F13" s="131">
        <f t="shared" ref="F13:F16" si="0">$D13*E13</f>
        <v>2700</v>
      </c>
    </row>
    <row r="14" spans="1:105" s="53" customFormat="1" ht="15.75" x14ac:dyDescent="0.25">
      <c r="A14" s="45" t="s">
        <v>491</v>
      </c>
      <c r="B14" s="54" t="s">
        <v>492</v>
      </c>
      <c r="C14" s="45" t="s">
        <v>488</v>
      </c>
      <c r="D14" s="45">
        <v>20</v>
      </c>
      <c r="E14" s="134">
        <v>30</v>
      </c>
      <c r="F14" s="131">
        <f t="shared" si="0"/>
        <v>600</v>
      </c>
    </row>
    <row r="15" spans="1:105" s="53" customFormat="1" ht="15.75" x14ac:dyDescent="0.25">
      <c r="A15" s="45" t="s">
        <v>493</v>
      </c>
      <c r="B15" s="54" t="s">
        <v>494</v>
      </c>
      <c r="C15" s="45" t="s">
        <v>488</v>
      </c>
      <c r="D15" s="45">
        <v>30</v>
      </c>
      <c r="E15" s="134">
        <v>22.5</v>
      </c>
      <c r="F15" s="131">
        <f t="shared" si="0"/>
        <v>675</v>
      </c>
    </row>
    <row r="16" spans="1:105" s="53" customFormat="1" ht="15.75" x14ac:dyDescent="0.25">
      <c r="A16" s="45" t="s">
        <v>495</v>
      </c>
      <c r="B16" s="54" t="s">
        <v>496</v>
      </c>
      <c r="C16" s="45" t="s">
        <v>488</v>
      </c>
      <c r="D16" s="45">
        <v>60</v>
      </c>
      <c r="E16" s="134">
        <v>15</v>
      </c>
      <c r="F16" s="131">
        <f t="shared" si="0"/>
        <v>900</v>
      </c>
    </row>
    <row r="17" spans="1:6" s="53" customFormat="1" ht="15.75" x14ac:dyDescent="0.25">
      <c r="A17" s="47">
        <v>6.02</v>
      </c>
      <c r="B17" s="51" t="s">
        <v>497</v>
      </c>
      <c r="C17" s="47"/>
      <c r="D17" s="47"/>
      <c r="E17" s="135"/>
      <c r="F17" s="132"/>
    </row>
    <row r="18" spans="1:6" s="53" customFormat="1" ht="15.75" x14ac:dyDescent="0.25">
      <c r="A18" s="45" t="s">
        <v>498</v>
      </c>
      <c r="B18" s="54" t="s">
        <v>499</v>
      </c>
      <c r="C18" s="45" t="s">
        <v>488</v>
      </c>
      <c r="D18" s="45">
        <v>5</v>
      </c>
      <c r="E18" s="134">
        <v>270</v>
      </c>
      <c r="F18" s="131">
        <f t="shared" ref="F18:F81" si="1">$D18*E18</f>
        <v>1350</v>
      </c>
    </row>
    <row r="19" spans="1:6" s="53" customFormat="1" ht="15.75" x14ac:dyDescent="0.25">
      <c r="A19" s="45" t="s">
        <v>500</v>
      </c>
      <c r="B19" s="54" t="s">
        <v>501</v>
      </c>
      <c r="C19" s="45" t="s">
        <v>488</v>
      </c>
      <c r="D19" s="45">
        <v>10</v>
      </c>
      <c r="E19" s="134">
        <v>37.5</v>
      </c>
      <c r="F19" s="131">
        <f t="shared" si="1"/>
        <v>375</v>
      </c>
    </row>
    <row r="20" spans="1:6" s="53" customFormat="1" ht="15.75" x14ac:dyDescent="0.25">
      <c r="A20" s="45" t="s">
        <v>502</v>
      </c>
      <c r="B20" s="54" t="s">
        <v>503</v>
      </c>
      <c r="C20" s="45" t="s">
        <v>488</v>
      </c>
      <c r="D20" s="45">
        <v>10</v>
      </c>
      <c r="E20" s="134">
        <v>45</v>
      </c>
      <c r="F20" s="131">
        <f t="shared" si="1"/>
        <v>450</v>
      </c>
    </row>
    <row r="21" spans="1:6" s="53" customFormat="1" ht="15.75" x14ac:dyDescent="0.25">
      <c r="A21" s="45" t="s">
        <v>504</v>
      </c>
      <c r="B21" s="54" t="s">
        <v>505</v>
      </c>
      <c r="C21" s="45" t="s">
        <v>488</v>
      </c>
      <c r="D21" s="45">
        <v>10</v>
      </c>
      <c r="E21" s="134">
        <v>180</v>
      </c>
      <c r="F21" s="131">
        <f t="shared" si="1"/>
        <v>1800</v>
      </c>
    </row>
    <row r="22" spans="1:6" s="53" customFormat="1" ht="15.75" x14ac:dyDescent="0.25">
      <c r="A22" s="45" t="s">
        <v>506</v>
      </c>
      <c r="B22" s="54" t="s">
        <v>507</v>
      </c>
      <c r="C22" s="45" t="s">
        <v>488</v>
      </c>
      <c r="D22" s="45">
        <v>10</v>
      </c>
      <c r="E22" s="134">
        <v>270</v>
      </c>
      <c r="F22" s="131">
        <f t="shared" si="1"/>
        <v>2700</v>
      </c>
    </row>
    <row r="23" spans="1:6" s="53" customFormat="1" ht="15.75" x14ac:dyDescent="0.25">
      <c r="A23" s="45" t="s">
        <v>508</v>
      </c>
      <c r="B23" s="54" t="s">
        <v>509</v>
      </c>
      <c r="C23" s="45" t="s">
        <v>488</v>
      </c>
      <c r="D23" s="45">
        <v>10</v>
      </c>
      <c r="E23" s="134">
        <v>315</v>
      </c>
      <c r="F23" s="131">
        <f t="shared" si="1"/>
        <v>3150</v>
      </c>
    </row>
    <row r="24" spans="1:6" s="53" customFormat="1" ht="15.75" x14ac:dyDescent="0.25">
      <c r="A24" s="45" t="s">
        <v>508</v>
      </c>
      <c r="B24" s="54" t="s">
        <v>510</v>
      </c>
      <c r="C24" s="45" t="s">
        <v>488</v>
      </c>
      <c r="D24" s="45">
        <v>10</v>
      </c>
      <c r="E24" s="134">
        <v>525</v>
      </c>
      <c r="F24" s="131">
        <f t="shared" si="1"/>
        <v>5250</v>
      </c>
    </row>
    <row r="25" spans="1:6" s="53" customFormat="1" ht="15.75" x14ac:dyDescent="0.25">
      <c r="A25" s="45" t="s">
        <v>511</v>
      </c>
      <c r="B25" s="54" t="s">
        <v>512</v>
      </c>
      <c r="C25" s="45" t="s">
        <v>488</v>
      </c>
      <c r="D25" s="45">
        <v>10</v>
      </c>
      <c r="E25" s="134">
        <v>375</v>
      </c>
      <c r="F25" s="131">
        <f t="shared" si="1"/>
        <v>3750</v>
      </c>
    </row>
    <row r="26" spans="1:6" s="53" customFormat="1" ht="15.75" x14ac:dyDescent="0.25">
      <c r="A26" s="45" t="s">
        <v>513</v>
      </c>
      <c r="B26" s="54" t="s">
        <v>514</v>
      </c>
      <c r="C26" s="45" t="s">
        <v>488</v>
      </c>
      <c r="D26" s="45">
        <v>20</v>
      </c>
      <c r="E26" s="134">
        <v>420</v>
      </c>
      <c r="F26" s="131">
        <f t="shared" si="1"/>
        <v>8400</v>
      </c>
    </row>
    <row r="27" spans="1:6" s="53" customFormat="1" ht="15.75" x14ac:dyDescent="0.25">
      <c r="A27" s="45" t="s">
        <v>515</v>
      </c>
      <c r="B27" s="54" t="s">
        <v>516</v>
      </c>
      <c r="C27" s="45" t="s">
        <v>488</v>
      </c>
      <c r="D27" s="45">
        <v>5</v>
      </c>
      <c r="E27" s="134">
        <v>570</v>
      </c>
      <c r="F27" s="131">
        <f t="shared" si="1"/>
        <v>2850</v>
      </c>
    </row>
    <row r="28" spans="1:6" s="53" customFormat="1" ht="15.75" x14ac:dyDescent="0.25">
      <c r="A28" s="45" t="s">
        <v>517</v>
      </c>
      <c r="B28" s="54" t="s">
        <v>518</v>
      </c>
      <c r="C28" s="45" t="s">
        <v>488</v>
      </c>
      <c r="D28" s="45">
        <v>5</v>
      </c>
      <c r="E28" s="134">
        <v>330</v>
      </c>
      <c r="F28" s="131">
        <f t="shared" si="1"/>
        <v>1650</v>
      </c>
    </row>
    <row r="29" spans="1:6" s="53" customFormat="1" ht="15.75" x14ac:dyDescent="0.25">
      <c r="A29" s="45" t="s">
        <v>519</v>
      </c>
      <c r="B29" s="54" t="s">
        <v>520</v>
      </c>
      <c r="C29" s="45" t="s">
        <v>488</v>
      </c>
      <c r="D29" s="45">
        <v>5</v>
      </c>
      <c r="E29" s="134">
        <v>450</v>
      </c>
      <c r="F29" s="131">
        <f t="shared" si="1"/>
        <v>2250</v>
      </c>
    </row>
    <row r="30" spans="1:6" s="53" customFormat="1" ht="15.75" x14ac:dyDescent="0.25">
      <c r="A30" s="45" t="s">
        <v>521</v>
      </c>
      <c r="B30" s="54" t="s">
        <v>522</v>
      </c>
      <c r="C30" s="45" t="s">
        <v>488</v>
      </c>
      <c r="D30" s="45">
        <v>5</v>
      </c>
      <c r="E30" s="134">
        <v>180</v>
      </c>
      <c r="F30" s="131">
        <f t="shared" si="1"/>
        <v>900</v>
      </c>
    </row>
    <row r="31" spans="1:6" s="53" customFormat="1" ht="15.75" x14ac:dyDescent="0.25">
      <c r="A31" s="45" t="s">
        <v>523</v>
      </c>
      <c r="B31" s="54" t="s">
        <v>524</v>
      </c>
      <c r="C31" s="45" t="s">
        <v>488</v>
      </c>
      <c r="D31" s="45">
        <v>20</v>
      </c>
      <c r="E31" s="134">
        <v>270</v>
      </c>
      <c r="F31" s="131">
        <f t="shared" si="1"/>
        <v>5400</v>
      </c>
    </row>
    <row r="32" spans="1:6" s="53" customFormat="1" ht="15.75" x14ac:dyDescent="0.25">
      <c r="A32" s="45" t="s">
        <v>525</v>
      </c>
      <c r="B32" s="54" t="s">
        <v>526</v>
      </c>
      <c r="C32" s="45" t="s">
        <v>488</v>
      </c>
      <c r="D32" s="45">
        <v>20</v>
      </c>
      <c r="E32" s="134">
        <v>127.5</v>
      </c>
      <c r="F32" s="131">
        <f t="shared" si="1"/>
        <v>2550</v>
      </c>
    </row>
    <row r="33" spans="1:6" s="53" customFormat="1" ht="15.75" x14ac:dyDescent="0.25">
      <c r="A33" s="45" t="s">
        <v>527</v>
      </c>
      <c r="B33" s="54" t="s">
        <v>528</v>
      </c>
      <c r="C33" s="45" t="s">
        <v>488</v>
      </c>
      <c r="D33" s="45">
        <v>20</v>
      </c>
      <c r="E33" s="134">
        <v>1012.5</v>
      </c>
      <c r="F33" s="131">
        <f t="shared" si="1"/>
        <v>20250</v>
      </c>
    </row>
    <row r="34" spans="1:6" s="53" customFormat="1" ht="15.75" x14ac:dyDescent="0.25">
      <c r="A34" s="45" t="s">
        <v>527</v>
      </c>
      <c r="B34" s="54" t="s">
        <v>529</v>
      </c>
      <c r="C34" s="45" t="s">
        <v>488</v>
      </c>
      <c r="D34" s="45">
        <v>20</v>
      </c>
      <c r="E34" s="134">
        <v>105</v>
      </c>
      <c r="F34" s="131">
        <f t="shared" si="1"/>
        <v>2100</v>
      </c>
    </row>
    <row r="35" spans="1:6" s="53" customFormat="1" ht="15.75" x14ac:dyDescent="0.25">
      <c r="A35" s="45" t="s">
        <v>530</v>
      </c>
      <c r="B35" s="54" t="s">
        <v>531</v>
      </c>
      <c r="C35" s="45" t="s">
        <v>488</v>
      </c>
      <c r="D35" s="45">
        <v>100</v>
      </c>
      <c r="E35" s="134">
        <v>105</v>
      </c>
      <c r="F35" s="131">
        <f t="shared" si="1"/>
        <v>10500</v>
      </c>
    </row>
    <row r="36" spans="1:6" s="53" customFormat="1" ht="15.75" x14ac:dyDescent="0.25">
      <c r="A36" s="45" t="s">
        <v>532</v>
      </c>
      <c r="B36" s="54" t="s">
        <v>533</v>
      </c>
      <c r="C36" s="45" t="s">
        <v>488</v>
      </c>
      <c r="D36" s="45">
        <v>10</v>
      </c>
      <c r="E36" s="134">
        <v>630</v>
      </c>
      <c r="F36" s="131">
        <f t="shared" si="1"/>
        <v>6300</v>
      </c>
    </row>
    <row r="37" spans="1:6" s="53" customFormat="1" ht="15.75" x14ac:dyDescent="0.25">
      <c r="A37" s="45" t="s">
        <v>534</v>
      </c>
      <c r="B37" s="54" t="s">
        <v>535</v>
      </c>
      <c r="C37" s="45" t="s">
        <v>488</v>
      </c>
      <c r="D37" s="45">
        <v>20</v>
      </c>
      <c r="E37" s="134">
        <v>180</v>
      </c>
      <c r="F37" s="131">
        <f t="shared" si="1"/>
        <v>3600</v>
      </c>
    </row>
    <row r="38" spans="1:6" s="53" customFormat="1" ht="15.75" x14ac:dyDescent="0.25">
      <c r="A38" s="45" t="s">
        <v>536</v>
      </c>
      <c r="B38" s="54" t="s">
        <v>537</v>
      </c>
      <c r="C38" s="45" t="s">
        <v>488</v>
      </c>
      <c r="D38" s="45">
        <v>5</v>
      </c>
      <c r="E38" s="134">
        <v>180</v>
      </c>
      <c r="F38" s="131">
        <f t="shared" si="1"/>
        <v>900</v>
      </c>
    </row>
    <row r="39" spans="1:6" s="53" customFormat="1" ht="15.75" x14ac:dyDescent="0.25">
      <c r="A39" s="45" t="s">
        <v>538</v>
      </c>
      <c r="B39" s="54" t="s">
        <v>539</v>
      </c>
      <c r="C39" s="45" t="s">
        <v>488</v>
      </c>
      <c r="D39" s="45">
        <v>5</v>
      </c>
      <c r="E39" s="134">
        <v>420</v>
      </c>
      <c r="F39" s="131">
        <f t="shared" si="1"/>
        <v>2100</v>
      </c>
    </row>
    <row r="40" spans="1:6" s="53" customFormat="1" ht="15.75" x14ac:dyDescent="0.25">
      <c r="A40" s="45" t="s">
        <v>540</v>
      </c>
      <c r="B40" s="54" t="s">
        <v>541</v>
      </c>
      <c r="C40" s="45" t="s">
        <v>488</v>
      </c>
      <c r="D40" s="45">
        <v>5</v>
      </c>
      <c r="E40" s="134">
        <v>1020</v>
      </c>
      <c r="F40" s="131">
        <f t="shared" si="1"/>
        <v>5100</v>
      </c>
    </row>
    <row r="41" spans="1:6" s="53" customFormat="1" ht="15.75" x14ac:dyDescent="0.25">
      <c r="A41" s="45" t="s">
        <v>542</v>
      </c>
      <c r="B41" s="54" t="s">
        <v>543</v>
      </c>
      <c r="C41" s="45" t="s">
        <v>488</v>
      </c>
      <c r="D41" s="45">
        <v>5</v>
      </c>
      <c r="E41" s="134">
        <v>480</v>
      </c>
      <c r="F41" s="131">
        <f t="shared" si="1"/>
        <v>2400</v>
      </c>
    </row>
    <row r="42" spans="1:6" s="53" customFormat="1" ht="15.75" x14ac:dyDescent="0.25">
      <c r="A42" s="45" t="s">
        <v>544</v>
      </c>
      <c r="B42" s="54" t="s">
        <v>545</v>
      </c>
      <c r="C42" s="45" t="s">
        <v>488</v>
      </c>
      <c r="D42" s="45">
        <v>10</v>
      </c>
      <c r="E42" s="134">
        <v>90</v>
      </c>
      <c r="F42" s="131">
        <f t="shared" si="1"/>
        <v>900</v>
      </c>
    </row>
    <row r="43" spans="1:6" s="53" customFormat="1" ht="15.75" x14ac:dyDescent="0.25">
      <c r="A43" s="45" t="s">
        <v>546</v>
      </c>
      <c r="B43" s="54" t="s">
        <v>547</v>
      </c>
      <c r="C43" s="45" t="s">
        <v>488</v>
      </c>
      <c r="D43" s="45">
        <v>10</v>
      </c>
      <c r="E43" s="134">
        <v>132</v>
      </c>
      <c r="F43" s="131">
        <f t="shared" si="1"/>
        <v>1320</v>
      </c>
    </row>
    <row r="44" spans="1:6" s="53" customFormat="1" ht="15.75" x14ac:dyDescent="0.25">
      <c r="A44" s="45" t="s">
        <v>546</v>
      </c>
      <c r="B44" s="54" t="s">
        <v>548</v>
      </c>
      <c r="C44" s="45" t="s">
        <v>488</v>
      </c>
      <c r="D44" s="45">
        <v>10</v>
      </c>
      <c r="E44" s="134">
        <v>255</v>
      </c>
      <c r="F44" s="131">
        <f t="shared" si="1"/>
        <v>2550</v>
      </c>
    </row>
    <row r="45" spans="1:6" s="53" customFormat="1" ht="15.75" x14ac:dyDescent="0.25">
      <c r="A45" s="45" t="s">
        <v>549</v>
      </c>
      <c r="B45" s="54" t="s">
        <v>550</v>
      </c>
      <c r="C45" s="45" t="s">
        <v>488</v>
      </c>
      <c r="D45" s="45">
        <v>10</v>
      </c>
      <c r="E45" s="134">
        <v>675</v>
      </c>
      <c r="F45" s="131">
        <f t="shared" si="1"/>
        <v>6750</v>
      </c>
    </row>
    <row r="46" spans="1:6" s="53" customFormat="1" ht="15.75" x14ac:dyDescent="0.25">
      <c r="A46" s="45" t="s">
        <v>551</v>
      </c>
      <c r="B46" s="54" t="s">
        <v>552</v>
      </c>
      <c r="C46" s="45" t="s">
        <v>488</v>
      </c>
      <c r="D46" s="45">
        <v>10</v>
      </c>
      <c r="E46" s="134">
        <v>127.5</v>
      </c>
      <c r="F46" s="131">
        <f t="shared" si="1"/>
        <v>1275</v>
      </c>
    </row>
    <row r="47" spans="1:6" s="53" customFormat="1" ht="15.75" x14ac:dyDescent="0.25">
      <c r="A47" s="47">
        <v>6.03</v>
      </c>
      <c r="B47" s="51" t="s">
        <v>553</v>
      </c>
      <c r="C47" s="47"/>
      <c r="D47" s="47"/>
      <c r="E47" s="135"/>
      <c r="F47" s="132"/>
    </row>
    <row r="48" spans="1:6" s="53" customFormat="1" ht="15.75" x14ac:dyDescent="0.25">
      <c r="A48" s="45" t="s">
        <v>554</v>
      </c>
      <c r="B48" s="54" t="s">
        <v>555</v>
      </c>
      <c r="C48" s="45" t="s">
        <v>556</v>
      </c>
      <c r="D48" s="45">
        <v>500</v>
      </c>
      <c r="E48" s="134">
        <v>0.75</v>
      </c>
      <c r="F48" s="131">
        <f t="shared" si="1"/>
        <v>375</v>
      </c>
    </row>
    <row r="49" spans="1:6" s="53" customFormat="1" ht="15.75" x14ac:dyDescent="0.25">
      <c r="A49" s="45" t="s">
        <v>557</v>
      </c>
      <c r="B49" s="54" t="s">
        <v>558</v>
      </c>
      <c r="C49" s="45" t="s">
        <v>559</v>
      </c>
      <c r="D49" s="45">
        <v>5</v>
      </c>
      <c r="E49" s="134">
        <v>60</v>
      </c>
      <c r="F49" s="131">
        <f t="shared" si="1"/>
        <v>300</v>
      </c>
    </row>
    <row r="50" spans="1:6" s="53" customFormat="1" ht="15.75" x14ac:dyDescent="0.25">
      <c r="A50" s="45" t="s">
        <v>560</v>
      </c>
      <c r="B50" s="54" t="s">
        <v>561</v>
      </c>
      <c r="C50" s="45" t="s">
        <v>559</v>
      </c>
      <c r="D50" s="45">
        <v>5</v>
      </c>
      <c r="E50" s="134">
        <v>75</v>
      </c>
      <c r="F50" s="131">
        <f t="shared" si="1"/>
        <v>375</v>
      </c>
    </row>
    <row r="51" spans="1:6" s="53" customFormat="1" ht="15.75" x14ac:dyDescent="0.25">
      <c r="A51" s="45" t="s">
        <v>562</v>
      </c>
      <c r="B51" s="54" t="s">
        <v>563</v>
      </c>
      <c r="C51" s="45" t="s">
        <v>559</v>
      </c>
      <c r="D51" s="45">
        <v>5</v>
      </c>
      <c r="E51" s="134">
        <v>90</v>
      </c>
      <c r="F51" s="131">
        <f t="shared" si="1"/>
        <v>450</v>
      </c>
    </row>
    <row r="52" spans="1:6" s="53" customFormat="1" ht="15.75" x14ac:dyDescent="0.25">
      <c r="A52" s="45" t="s">
        <v>564</v>
      </c>
      <c r="B52" s="54" t="s">
        <v>565</v>
      </c>
      <c r="C52" s="45" t="s">
        <v>559</v>
      </c>
      <c r="D52" s="45">
        <v>5</v>
      </c>
      <c r="E52" s="134">
        <v>360</v>
      </c>
      <c r="F52" s="131">
        <f t="shared" si="1"/>
        <v>1800</v>
      </c>
    </row>
    <row r="53" spans="1:6" s="53" customFormat="1" ht="15.75" x14ac:dyDescent="0.25">
      <c r="A53" s="45" t="s">
        <v>566</v>
      </c>
      <c r="B53" s="54" t="s">
        <v>567</v>
      </c>
      <c r="C53" s="45" t="s">
        <v>559</v>
      </c>
      <c r="D53" s="45">
        <v>2</v>
      </c>
      <c r="E53" s="134">
        <v>360</v>
      </c>
      <c r="F53" s="131">
        <f t="shared" si="1"/>
        <v>720</v>
      </c>
    </row>
    <row r="54" spans="1:6" s="53" customFormat="1" ht="15.75" x14ac:dyDescent="0.25">
      <c r="A54" s="45" t="s">
        <v>566</v>
      </c>
      <c r="B54" s="54" t="s">
        <v>568</v>
      </c>
      <c r="C54" s="45" t="s">
        <v>559</v>
      </c>
      <c r="D54" s="45">
        <v>5</v>
      </c>
      <c r="E54" s="134">
        <v>450</v>
      </c>
      <c r="F54" s="131">
        <f t="shared" si="1"/>
        <v>2250</v>
      </c>
    </row>
    <row r="55" spans="1:6" s="53" customFormat="1" ht="15.75" x14ac:dyDescent="0.25">
      <c r="A55" s="45" t="s">
        <v>569</v>
      </c>
      <c r="B55" s="54" t="s">
        <v>570</v>
      </c>
      <c r="C55" s="45" t="s">
        <v>559</v>
      </c>
      <c r="D55" s="45">
        <v>10</v>
      </c>
      <c r="E55" s="134">
        <v>630</v>
      </c>
      <c r="F55" s="131">
        <f t="shared" si="1"/>
        <v>6300</v>
      </c>
    </row>
    <row r="56" spans="1:6" s="53" customFormat="1" ht="15.75" x14ac:dyDescent="0.25">
      <c r="A56" s="45" t="s">
        <v>571</v>
      </c>
      <c r="B56" s="54" t="s">
        <v>572</v>
      </c>
      <c r="C56" s="45" t="s">
        <v>573</v>
      </c>
      <c r="D56" s="45">
        <v>0.5</v>
      </c>
      <c r="E56" s="134">
        <v>3750</v>
      </c>
      <c r="F56" s="131">
        <f t="shared" si="1"/>
        <v>1875</v>
      </c>
    </row>
    <row r="57" spans="1:6" s="53" customFormat="1" ht="15.75" x14ac:dyDescent="0.25">
      <c r="A57" s="45" t="s">
        <v>574</v>
      </c>
      <c r="B57" s="54" t="s">
        <v>575</v>
      </c>
      <c r="C57" s="45" t="s">
        <v>573</v>
      </c>
      <c r="D57" s="45">
        <v>0.5</v>
      </c>
      <c r="E57" s="134">
        <v>4050</v>
      </c>
      <c r="F57" s="131">
        <f t="shared" si="1"/>
        <v>2025</v>
      </c>
    </row>
    <row r="58" spans="1:6" s="53" customFormat="1" ht="15.75" x14ac:dyDescent="0.25">
      <c r="A58" s="45" t="s">
        <v>576</v>
      </c>
      <c r="B58" s="54" t="s">
        <v>577</v>
      </c>
      <c r="C58" s="45" t="s">
        <v>573</v>
      </c>
      <c r="D58" s="45">
        <v>0.5</v>
      </c>
      <c r="E58" s="134">
        <v>3900</v>
      </c>
      <c r="F58" s="131">
        <f t="shared" si="1"/>
        <v>1950</v>
      </c>
    </row>
    <row r="59" spans="1:6" s="53" customFormat="1" ht="15.75" x14ac:dyDescent="0.25">
      <c r="A59" s="45" t="s">
        <v>578</v>
      </c>
      <c r="B59" s="54" t="s">
        <v>579</v>
      </c>
      <c r="C59" s="45" t="s">
        <v>580</v>
      </c>
      <c r="D59" s="45">
        <v>0.5</v>
      </c>
      <c r="E59" s="134">
        <v>63</v>
      </c>
      <c r="F59" s="131">
        <f t="shared" si="1"/>
        <v>31.5</v>
      </c>
    </row>
    <row r="60" spans="1:6" s="53" customFormat="1" ht="15.75" x14ac:dyDescent="0.25">
      <c r="A60" s="45" t="s">
        <v>581</v>
      </c>
      <c r="B60" s="54" t="s">
        <v>582</v>
      </c>
      <c r="C60" s="45" t="s">
        <v>583</v>
      </c>
      <c r="D60" s="45">
        <v>0.5</v>
      </c>
      <c r="E60" s="134">
        <v>937.5</v>
      </c>
      <c r="F60" s="131">
        <f t="shared" si="1"/>
        <v>468.75</v>
      </c>
    </row>
    <row r="61" spans="1:6" s="53" customFormat="1" ht="15.75" x14ac:dyDescent="0.25">
      <c r="A61" s="45" t="s">
        <v>584</v>
      </c>
      <c r="B61" s="54" t="s">
        <v>585</v>
      </c>
      <c r="C61" s="45" t="s">
        <v>580</v>
      </c>
      <c r="D61" s="45">
        <v>20</v>
      </c>
      <c r="E61" s="134">
        <v>120</v>
      </c>
      <c r="F61" s="131">
        <f t="shared" si="1"/>
        <v>2400</v>
      </c>
    </row>
    <row r="62" spans="1:6" s="53" customFormat="1" ht="15.75" x14ac:dyDescent="0.25">
      <c r="A62" s="45" t="s">
        <v>586</v>
      </c>
      <c r="B62" s="54" t="s">
        <v>587</v>
      </c>
      <c r="C62" s="45" t="s">
        <v>580</v>
      </c>
      <c r="D62" s="45">
        <v>10</v>
      </c>
      <c r="E62" s="134">
        <v>3.75</v>
      </c>
      <c r="F62" s="131">
        <f t="shared" si="1"/>
        <v>37.5</v>
      </c>
    </row>
    <row r="63" spans="1:6" s="53" customFormat="1" ht="15.75" x14ac:dyDescent="0.25">
      <c r="A63" s="45" t="s">
        <v>588</v>
      </c>
      <c r="B63" s="54" t="s">
        <v>589</v>
      </c>
      <c r="C63" s="45" t="s">
        <v>580</v>
      </c>
      <c r="D63" s="45">
        <v>10</v>
      </c>
      <c r="E63" s="134">
        <v>4.6500000000000004</v>
      </c>
      <c r="F63" s="131">
        <f t="shared" si="1"/>
        <v>46.5</v>
      </c>
    </row>
    <row r="64" spans="1:6" s="53" customFormat="1" ht="15.75" x14ac:dyDescent="0.25">
      <c r="A64" s="45" t="s">
        <v>588</v>
      </c>
      <c r="B64" s="54" t="s">
        <v>590</v>
      </c>
      <c r="C64" s="45" t="s">
        <v>580</v>
      </c>
      <c r="D64" s="45">
        <v>20</v>
      </c>
      <c r="E64" s="134">
        <v>3</v>
      </c>
      <c r="F64" s="131">
        <f t="shared" si="1"/>
        <v>60</v>
      </c>
    </row>
    <row r="65" spans="1:6" s="53" customFormat="1" ht="15.75" x14ac:dyDescent="0.25">
      <c r="A65" s="45" t="s">
        <v>591</v>
      </c>
      <c r="B65" s="54" t="s">
        <v>592</v>
      </c>
      <c r="C65" s="45" t="s">
        <v>580</v>
      </c>
      <c r="D65" s="45">
        <v>10</v>
      </c>
      <c r="E65" s="134">
        <v>2.4749999999999996</v>
      </c>
      <c r="F65" s="131">
        <f t="shared" si="1"/>
        <v>24.749999999999996</v>
      </c>
    </row>
    <row r="66" spans="1:6" s="53" customFormat="1" ht="15.75" x14ac:dyDescent="0.25">
      <c r="A66" s="45" t="s">
        <v>593</v>
      </c>
      <c r="B66" s="54" t="s">
        <v>594</v>
      </c>
      <c r="C66" s="45" t="s">
        <v>580</v>
      </c>
      <c r="D66" s="45">
        <v>10</v>
      </c>
      <c r="E66" s="134">
        <v>112.5</v>
      </c>
      <c r="F66" s="131">
        <f t="shared" si="1"/>
        <v>1125</v>
      </c>
    </row>
    <row r="67" spans="1:6" s="53" customFormat="1" ht="15.75" x14ac:dyDescent="0.25">
      <c r="A67" s="45" t="s">
        <v>595</v>
      </c>
      <c r="B67" s="54" t="s">
        <v>596</v>
      </c>
      <c r="C67" s="45" t="s">
        <v>580</v>
      </c>
      <c r="D67" s="45">
        <v>5</v>
      </c>
      <c r="E67" s="134">
        <v>97.5</v>
      </c>
      <c r="F67" s="131">
        <f t="shared" si="1"/>
        <v>487.5</v>
      </c>
    </row>
    <row r="68" spans="1:6" s="53" customFormat="1" ht="15.75" x14ac:dyDescent="0.25">
      <c r="A68" s="45" t="s">
        <v>597</v>
      </c>
      <c r="B68" s="54" t="s">
        <v>598</v>
      </c>
      <c r="C68" s="45" t="s">
        <v>580</v>
      </c>
      <c r="D68" s="45">
        <v>10</v>
      </c>
      <c r="E68" s="134">
        <v>82.5</v>
      </c>
      <c r="F68" s="131">
        <f>$D68*E68</f>
        <v>825</v>
      </c>
    </row>
    <row r="69" spans="1:6" s="53" customFormat="1" ht="15.75" x14ac:dyDescent="0.25">
      <c r="A69" s="45" t="s">
        <v>599</v>
      </c>
      <c r="B69" s="54" t="s">
        <v>600</v>
      </c>
      <c r="C69" s="45" t="s">
        <v>404</v>
      </c>
      <c r="D69" s="45">
        <v>10</v>
      </c>
      <c r="E69" s="134">
        <v>180</v>
      </c>
      <c r="F69" s="131">
        <f t="shared" si="1"/>
        <v>1800</v>
      </c>
    </row>
    <row r="70" spans="1:6" s="53" customFormat="1" ht="15.75" x14ac:dyDescent="0.25">
      <c r="A70" s="45" t="s">
        <v>601</v>
      </c>
      <c r="B70" s="54" t="s">
        <v>602</v>
      </c>
      <c r="C70" s="45" t="s">
        <v>404</v>
      </c>
      <c r="D70" s="45">
        <v>10</v>
      </c>
      <c r="E70" s="134">
        <v>127.5</v>
      </c>
      <c r="F70" s="131">
        <f t="shared" si="1"/>
        <v>1275</v>
      </c>
    </row>
    <row r="71" spans="1:6" s="53" customFormat="1" ht="15.75" x14ac:dyDescent="0.25">
      <c r="A71" s="45" t="s">
        <v>603</v>
      </c>
      <c r="B71" s="54" t="s">
        <v>604</v>
      </c>
      <c r="C71" s="45" t="s">
        <v>404</v>
      </c>
      <c r="D71" s="45">
        <v>10</v>
      </c>
      <c r="E71" s="134">
        <v>142.5</v>
      </c>
      <c r="F71" s="131">
        <f t="shared" si="1"/>
        <v>1425</v>
      </c>
    </row>
    <row r="72" spans="1:6" s="53" customFormat="1" ht="15.75" x14ac:dyDescent="0.25">
      <c r="A72" s="45" t="s">
        <v>605</v>
      </c>
      <c r="B72" s="54" t="s">
        <v>606</v>
      </c>
      <c r="C72" s="45" t="s">
        <v>404</v>
      </c>
      <c r="D72" s="45">
        <v>10</v>
      </c>
      <c r="E72" s="134">
        <v>240</v>
      </c>
      <c r="F72" s="131">
        <f t="shared" si="1"/>
        <v>2400</v>
      </c>
    </row>
    <row r="73" spans="1:6" s="53" customFormat="1" ht="15.75" x14ac:dyDescent="0.25">
      <c r="A73" s="45" t="s">
        <v>607</v>
      </c>
      <c r="B73" s="54" t="s">
        <v>608</v>
      </c>
      <c r="C73" s="45" t="s">
        <v>580</v>
      </c>
      <c r="D73" s="45">
        <v>10</v>
      </c>
      <c r="E73" s="134">
        <v>52.5</v>
      </c>
      <c r="F73" s="131">
        <f t="shared" si="1"/>
        <v>525</v>
      </c>
    </row>
    <row r="74" spans="1:6" s="53" customFormat="1" ht="15.75" x14ac:dyDescent="0.25">
      <c r="A74" s="45" t="s">
        <v>607</v>
      </c>
      <c r="B74" s="54" t="s">
        <v>609</v>
      </c>
      <c r="C74" s="45" t="s">
        <v>583</v>
      </c>
      <c r="D74" s="45">
        <v>10</v>
      </c>
      <c r="E74" s="134">
        <v>270</v>
      </c>
      <c r="F74" s="131">
        <f t="shared" si="1"/>
        <v>2700</v>
      </c>
    </row>
    <row r="75" spans="1:6" s="53" customFormat="1" ht="15.75" x14ac:dyDescent="0.25">
      <c r="A75" s="47">
        <v>6.04</v>
      </c>
      <c r="B75" s="51" t="s">
        <v>610</v>
      </c>
      <c r="C75" s="47"/>
      <c r="D75" s="47"/>
      <c r="E75" s="135"/>
      <c r="F75" s="131"/>
    </row>
    <row r="76" spans="1:6" s="53" customFormat="1" ht="15.75" x14ac:dyDescent="0.25">
      <c r="A76" s="45" t="s">
        <v>611</v>
      </c>
      <c r="B76" s="54" t="s">
        <v>612</v>
      </c>
      <c r="C76" s="45" t="s">
        <v>79</v>
      </c>
      <c r="D76" s="45">
        <v>1</v>
      </c>
      <c r="E76" s="134">
        <v>525</v>
      </c>
      <c r="F76" s="131">
        <f t="shared" si="1"/>
        <v>525</v>
      </c>
    </row>
    <row r="77" spans="1:6" s="53" customFormat="1" ht="30" x14ac:dyDescent="0.25">
      <c r="A77" s="45" t="s">
        <v>613</v>
      </c>
      <c r="B77" s="54" t="s">
        <v>614</v>
      </c>
      <c r="C77" s="45" t="s">
        <v>79</v>
      </c>
      <c r="D77" s="45">
        <v>1</v>
      </c>
      <c r="E77" s="134">
        <v>600</v>
      </c>
      <c r="F77" s="131">
        <f t="shared" si="1"/>
        <v>600</v>
      </c>
    </row>
    <row r="78" spans="1:6" s="53" customFormat="1" ht="30" x14ac:dyDescent="0.25">
      <c r="A78" s="45" t="s">
        <v>615</v>
      </c>
      <c r="B78" s="54" t="s">
        <v>616</v>
      </c>
      <c r="C78" s="45" t="s">
        <v>79</v>
      </c>
      <c r="D78" s="45">
        <v>1</v>
      </c>
      <c r="E78" s="134">
        <v>1800</v>
      </c>
      <c r="F78" s="131">
        <f t="shared" si="1"/>
        <v>1800</v>
      </c>
    </row>
    <row r="79" spans="1:6" s="53" customFormat="1" ht="15.75" x14ac:dyDescent="0.25">
      <c r="A79" s="45" t="s">
        <v>617</v>
      </c>
      <c r="B79" s="54" t="s">
        <v>618</v>
      </c>
      <c r="C79" s="45" t="s">
        <v>619</v>
      </c>
      <c r="D79" s="45">
        <v>1</v>
      </c>
      <c r="E79" s="134">
        <v>375</v>
      </c>
      <c r="F79" s="131">
        <f t="shared" si="1"/>
        <v>375</v>
      </c>
    </row>
    <row r="80" spans="1:6" s="53" customFormat="1" ht="30" x14ac:dyDescent="0.25">
      <c r="A80" s="45" t="s">
        <v>620</v>
      </c>
      <c r="B80" s="54" t="s">
        <v>621</v>
      </c>
      <c r="C80" s="45" t="s">
        <v>622</v>
      </c>
      <c r="D80" s="45">
        <v>1</v>
      </c>
      <c r="E80" s="134">
        <v>3300</v>
      </c>
      <c r="F80" s="131">
        <f t="shared" si="1"/>
        <v>3300</v>
      </c>
    </row>
    <row r="81" spans="1:105" s="53" customFormat="1" ht="15.75" x14ac:dyDescent="0.25">
      <c r="A81" s="45" t="s">
        <v>623</v>
      </c>
      <c r="B81" s="54" t="s">
        <v>624</v>
      </c>
      <c r="C81" s="45" t="s">
        <v>79</v>
      </c>
      <c r="D81" s="45">
        <v>1</v>
      </c>
      <c r="E81" s="134">
        <v>750</v>
      </c>
      <c r="F81" s="131">
        <f t="shared" si="1"/>
        <v>750</v>
      </c>
    </row>
    <row r="82" spans="1:105" s="53" customFormat="1" ht="15.75" x14ac:dyDescent="0.25">
      <c r="A82" s="45" t="s">
        <v>623</v>
      </c>
      <c r="B82" s="54" t="s">
        <v>625</v>
      </c>
      <c r="C82" s="45" t="s">
        <v>79</v>
      </c>
      <c r="D82" s="45">
        <v>1</v>
      </c>
      <c r="E82" s="134">
        <v>1800</v>
      </c>
      <c r="F82" s="131">
        <f t="shared" ref="F82:F91" si="2">$D82*E82</f>
        <v>1800</v>
      </c>
    </row>
    <row r="83" spans="1:105" s="53" customFormat="1" ht="15.75" x14ac:dyDescent="0.25">
      <c r="A83" s="45" t="s">
        <v>626</v>
      </c>
      <c r="B83" s="54" t="s">
        <v>627</v>
      </c>
      <c r="C83" s="45" t="s">
        <v>79</v>
      </c>
      <c r="D83" s="45">
        <v>1</v>
      </c>
      <c r="E83" s="134">
        <v>750</v>
      </c>
      <c r="F83" s="131">
        <f t="shared" si="2"/>
        <v>750</v>
      </c>
    </row>
    <row r="84" spans="1:105" s="53" customFormat="1" ht="15.75" x14ac:dyDescent="0.25">
      <c r="A84" s="45" t="s">
        <v>628</v>
      </c>
      <c r="B84" s="54" t="s">
        <v>629</v>
      </c>
      <c r="C84" s="45" t="s">
        <v>79</v>
      </c>
      <c r="D84" s="45">
        <v>1</v>
      </c>
      <c r="E84" s="134">
        <v>150</v>
      </c>
      <c r="F84" s="131">
        <f t="shared" si="2"/>
        <v>150</v>
      </c>
    </row>
    <row r="85" spans="1:105" s="53" customFormat="1" ht="15.75" x14ac:dyDescent="0.25">
      <c r="A85" s="45" t="s">
        <v>630</v>
      </c>
      <c r="B85" s="54" t="s">
        <v>631</v>
      </c>
      <c r="C85" s="45" t="s">
        <v>79</v>
      </c>
      <c r="D85" s="45">
        <v>1</v>
      </c>
      <c r="E85" s="134">
        <v>300</v>
      </c>
      <c r="F85" s="131">
        <f t="shared" si="2"/>
        <v>300</v>
      </c>
    </row>
    <row r="86" spans="1:105" s="53" customFormat="1" ht="15.75" x14ac:dyDescent="0.25">
      <c r="A86" s="45" t="s">
        <v>632</v>
      </c>
      <c r="B86" s="54" t="s">
        <v>633</v>
      </c>
      <c r="C86" s="45" t="s">
        <v>79</v>
      </c>
      <c r="D86" s="45">
        <v>1</v>
      </c>
      <c r="E86" s="134">
        <v>375</v>
      </c>
      <c r="F86" s="131">
        <f t="shared" si="2"/>
        <v>375</v>
      </c>
    </row>
    <row r="87" spans="1:105" s="53" customFormat="1" ht="15.75" x14ac:dyDescent="0.25">
      <c r="A87" s="45" t="s">
        <v>634</v>
      </c>
      <c r="B87" s="54" t="s">
        <v>635</v>
      </c>
      <c r="C87" s="45" t="s">
        <v>79</v>
      </c>
      <c r="D87" s="45">
        <v>1</v>
      </c>
      <c r="E87" s="134">
        <v>300</v>
      </c>
      <c r="F87" s="131">
        <f t="shared" si="2"/>
        <v>300</v>
      </c>
    </row>
    <row r="88" spans="1:105" s="53" customFormat="1" ht="15.75" x14ac:dyDescent="0.25">
      <c r="A88" s="45" t="s">
        <v>636</v>
      </c>
      <c r="B88" s="54" t="s">
        <v>637</v>
      </c>
      <c r="C88" s="45" t="s">
        <v>79</v>
      </c>
      <c r="D88" s="45">
        <v>1</v>
      </c>
      <c r="E88" s="134">
        <v>375</v>
      </c>
      <c r="F88" s="131">
        <f t="shared" si="2"/>
        <v>375</v>
      </c>
    </row>
    <row r="89" spans="1:105" s="53" customFormat="1" ht="15.75" x14ac:dyDescent="0.25">
      <c r="A89" s="45" t="s">
        <v>638</v>
      </c>
      <c r="B89" s="54" t="s">
        <v>639</v>
      </c>
      <c r="C89" s="45" t="s">
        <v>79</v>
      </c>
      <c r="D89" s="45">
        <v>1</v>
      </c>
      <c r="E89" s="134">
        <v>4500</v>
      </c>
      <c r="F89" s="131">
        <f t="shared" si="2"/>
        <v>4500</v>
      </c>
    </row>
    <row r="90" spans="1:105" s="53" customFormat="1" ht="15.75" x14ac:dyDescent="0.25">
      <c r="A90" s="45" t="s">
        <v>640</v>
      </c>
      <c r="B90" s="54" t="s">
        <v>641</v>
      </c>
      <c r="C90" s="45" t="s">
        <v>79</v>
      </c>
      <c r="D90" s="45">
        <v>1</v>
      </c>
      <c r="E90" s="134">
        <v>750</v>
      </c>
      <c r="F90" s="131">
        <f t="shared" si="2"/>
        <v>750</v>
      </c>
    </row>
    <row r="91" spans="1:105" s="53" customFormat="1" ht="15.75" x14ac:dyDescent="0.25">
      <c r="A91" s="45" t="s">
        <v>642</v>
      </c>
      <c r="B91" s="54" t="s">
        <v>643</v>
      </c>
      <c r="C91" s="45" t="s">
        <v>79</v>
      </c>
      <c r="D91" s="45">
        <v>1</v>
      </c>
      <c r="E91" s="134">
        <v>1350</v>
      </c>
      <c r="F91" s="131">
        <f t="shared" si="2"/>
        <v>1350</v>
      </c>
    </row>
    <row r="92" spans="1:105" s="46" customFormat="1" ht="15.75" x14ac:dyDescent="0.2">
      <c r="B92" s="49" t="s">
        <v>644</v>
      </c>
      <c r="C92" s="43"/>
      <c r="D92" s="56"/>
      <c r="E92" s="133"/>
      <c r="F92" s="132">
        <f>SUM(F12:F91)</f>
        <v>166171.5</v>
      </c>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row>
    <row r="93" spans="1:105" x14ac:dyDescent="0.2">
      <c r="E93" s="41"/>
    </row>
  </sheetData>
  <sheetProtection formatCells="0" formatColumns="0" formatRows="0" insertColumns="0" insertRows="0" insertHyperlinks="0" deleteColumns="0" deleteRows="0" sort="0" autoFilter="0" pivotTables="0"/>
  <protectedRanges>
    <protectedRange sqref="E75" name="Range1_2_1"/>
    <protectedRange sqref="F92" name="Range1_1"/>
  </protectedRanges>
  <autoFilter ref="A6:DA6" xr:uid="{A120331E-4624-498B-8C62-324DAA78F183}"/>
  <pageMargins left="0.47244094488188981" right="0.47244094488188981" top="0.74803149606299213" bottom="0.74803149606299213" header="0.31496062992125984" footer="0.31496062992125984"/>
  <pageSetup paperSize="9" scale="97" fitToHeight="0" orientation="landscape" r:id="rId1"/>
  <headerFooter>
    <oddFooter>&amp;C&amp;"Arial,Bold"&amp;16&amp;P/&amp;N</oddFooter>
  </headerFooter>
  <rowBreaks count="5" manualBreakCount="5">
    <brk id="13" max="5" man="1"/>
    <brk id="33" max="5" man="1"/>
    <brk id="46" max="5" man="1"/>
    <brk id="58" max="5" man="1"/>
    <brk id="7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40649E287B33147A96E520466260979" ma:contentTypeVersion="16" ma:contentTypeDescription="Create a new document." ma:contentTypeScope="" ma:versionID="5238f1850f84e5e14b0e17926437abfe">
  <xsd:schema xmlns:xsd="http://www.w3.org/2001/XMLSchema" xmlns:xs="http://www.w3.org/2001/XMLSchema" xmlns:p="http://schemas.microsoft.com/office/2006/metadata/properties" xmlns:ns2="31e273ec-0972-4cc8-ac3c-bf1a7484d6e4" xmlns:ns3="d9f1ac84-abcc-4955-b37b-0f95a688d3a7" targetNamespace="http://schemas.microsoft.com/office/2006/metadata/properties" ma:root="true" ma:fieldsID="774c77fb28d5178f23216b8bfb65c369" ns2:_="" ns3:_="">
    <xsd:import namespace="31e273ec-0972-4cc8-ac3c-bf1a7484d6e4"/>
    <xsd:import namespace="d9f1ac84-abcc-4955-b37b-0f95a688d3a7"/>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DateTaken" minOccurs="0"/>
                <xsd:element ref="ns3:MediaServiceOCR"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e273ec-0972-4cc8-ac3c-bf1a7484d6e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12a8ae5-4fa3-4409-b375-91fd93d3fffc}" ma:internalName="TaxCatchAll" ma:showField="CatchAllData" ma:web="31e273ec-0972-4cc8-ac3c-bf1a7484d6e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f1ac84-abcc-4955-b37b-0f95a688d3a7"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684c114-7e9d-4128-aa82-739302465559"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d9f1ac84-abcc-4955-b37b-0f95a688d3a7">
      <Terms xmlns="http://schemas.microsoft.com/office/infopath/2007/PartnerControls"/>
    </lcf76f155ced4ddcb4097134ff3c332f>
    <TaxCatchAll xmlns="31e273ec-0972-4cc8-ac3c-bf1a7484d6e4" xsi:nil="true"/>
    <_dlc_DocId xmlns="31e273ec-0972-4cc8-ac3c-bf1a7484d6e4">U3ZKEUQCN2VC-818037818-543357</_dlc_DocId>
    <_dlc_DocIdUrl xmlns="31e273ec-0972-4cc8-ac3c-bf1a7484d6e4">
      <Url>https://contangoae.sharepoint.com/sites/ContangoExternal/_layouts/15/DocIdRedir.aspx?ID=U3ZKEUQCN2VC-818037818-543357</Url>
      <Description>U3ZKEUQCN2VC-818037818-543357</Description>
    </_dlc_DocIdUrl>
  </documentManagement>
</p:properti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BE07250-5DA4-4810-941F-CD848F67312E}">
  <ds:schemaRefs>
    <ds:schemaRef ds:uri="http://www.w3.org/2001/XMLSchema"/>
  </ds:schemaRefs>
</ds:datastoreItem>
</file>

<file path=customXml/itemProps2.xml><?xml version="1.0" encoding="utf-8"?>
<ds:datastoreItem xmlns:ds="http://schemas.openxmlformats.org/officeDocument/2006/customXml" ds:itemID="{15A4DFFB-512B-4283-8B1E-80F67A27C58C}"/>
</file>

<file path=customXml/itemProps3.xml><?xml version="1.0" encoding="utf-8"?>
<ds:datastoreItem xmlns:ds="http://schemas.openxmlformats.org/officeDocument/2006/customXml" ds:itemID="{638F6A28-68AF-459D-AD9F-AAC0EDC9FC13}">
  <ds:schemaRefs>
    <ds:schemaRef ds:uri="http://schemas.microsoft.com/sharepoint/v3/contenttype/forms"/>
  </ds:schemaRefs>
</ds:datastoreItem>
</file>

<file path=customXml/itemProps4.xml><?xml version="1.0" encoding="utf-8"?>
<ds:datastoreItem xmlns:ds="http://schemas.openxmlformats.org/officeDocument/2006/customXml" ds:itemID="{B40BDFF1-01B1-4B57-8649-A120FBF81D8A}">
  <ds:schemaRefs>
    <ds:schemaRef ds:uri="http://schemas.microsoft.com/office/2006/metadata/properties"/>
    <ds:schemaRef ds:uri="http://schemas.microsoft.com/office/infopath/2007/PartnerControls"/>
  </ds:schemaRefs>
</ds:datastoreItem>
</file>

<file path=customXml/itemProps5.xml><?xml version="1.0" encoding="utf-8"?>
<ds:datastoreItem xmlns:ds="http://schemas.openxmlformats.org/officeDocument/2006/customXml" ds:itemID="{B7213D53-F572-4FC1-8B68-374923DCC9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54</vt:i4>
      </vt:variant>
    </vt:vector>
  </HeadingPairs>
  <TitlesOfParts>
    <vt:vector size="81" baseType="lpstr">
      <vt:lpstr>Project Summary </vt:lpstr>
      <vt:lpstr>GENERAL ITEMS</vt:lpstr>
      <vt:lpstr>ALDhaher-Summary </vt:lpstr>
      <vt:lpstr>AL Dhaher Bill 01</vt:lpstr>
      <vt:lpstr>AL Dhaher-Bill 02</vt:lpstr>
      <vt:lpstr>AL Dhaher-Bill 03</vt:lpstr>
      <vt:lpstr>AL Dhaher-Bill 04</vt:lpstr>
      <vt:lpstr>AL Dhaher-Bill 05</vt:lpstr>
      <vt:lpstr>Nahel-Summary </vt:lpstr>
      <vt:lpstr>Nahel-Bill 01</vt:lpstr>
      <vt:lpstr>Nahel-Bill 02</vt:lpstr>
      <vt:lpstr>Nahel-Bill 03</vt:lpstr>
      <vt:lpstr>Nahel-Bill 04</vt:lpstr>
      <vt:lpstr>Nahel-Bill 05</vt:lpstr>
      <vt:lpstr>AL SAAD-Summary </vt:lpstr>
      <vt:lpstr>AL SAAD-Bill 01</vt:lpstr>
      <vt:lpstr>AL SAAD- Bill 02</vt:lpstr>
      <vt:lpstr>AL SAAD-Bill 03</vt:lpstr>
      <vt:lpstr>AL SAAD-Bill 04</vt:lpstr>
      <vt:lpstr>AL SAAD- Bill 05</vt:lpstr>
      <vt:lpstr>SWEIHAN-Summary </vt:lpstr>
      <vt:lpstr>SWEIHAN-Bill 01</vt:lpstr>
      <vt:lpstr>SWEIHAN-Bill 02</vt:lpstr>
      <vt:lpstr>SWEIHAN-Bill 03</vt:lpstr>
      <vt:lpstr>SWEIHAN-Bill 04</vt:lpstr>
      <vt:lpstr>SWEIHAN-Bill 05</vt:lpstr>
      <vt:lpstr>DAYWORKS-Bill 06</vt:lpstr>
      <vt:lpstr>'AL Dhaher Bill 01'!Print_Area</vt:lpstr>
      <vt:lpstr>'AL Dhaher-Bill 02'!Print_Area</vt:lpstr>
      <vt:lpstr>'AL Dhaher-Bill 03'!Print_Area</vt:lpstr>
      <vt:lpstr>'AL Dhaher-Bill 04'!Print_Area</vt:lpstr>
      <vt:lpstr>'AL Dhaher-Bill 05'!Print_Area</vt:lpstr>
      <vt:lpstr>'AL SAAD- Bill 02'!Print_Area</vt:lpstr>
      <vt:lpstr>'AL SAAD- Bill 05'!Print_Area</vt:lpstr>
      <vt:lpstr>'AL SAAD-Bill 01'!Print_Area</vt:lpstr>
      <vt:lpstr>'AL SAAD-Bill 03'!Print_Area</vt:lpstr>
      <vt:lpstr>'AL SAAD-Bill 04'!Print_Area</vt:lpstr>
      <vt:lpstr>'AL SAAD-Summary '!Print_Area</vt:lpstr>
      <vt:lpstr>'ALDhaher-Summary '!Print_Area</vt:lpstr>
      <vt:lpstr>'DAYWORKS-Bill 06'!Print_Area</vt:lpstr>
      <vt:lpstr>'GENERAL ITEMS'!Print_Area</vt:lpstr>
      <vt:lpstr>'Nahel-Bill 01'!Print_Area</vt:lpstr>
      <vt:lpstr>'Nahel-Bill 02'!Print_Area</vt:lpstr>
      <vt:lpstr>'Nahel-Bill 03'!Print_Area</vt:lpstr>
      <vt:lpstr>'Nahel-Bill 04'!Print_Area</vt:lpstr>
      <vt:lpstr>'Nahel-Bill 05'!Print_Area</vt:lpstr>
      <vt:lpstr>'Nahel-Summary '!Print_Area</vt:lpstr>
      <vt:lpstr>'Project Summary '!Print_Area</vt:lpstr>
      <vt:lpstr>'SWEIHAN-Bill 01'!Print_Area</vt:lpstr>
      <vt:lpstr>'SWEIHAN-Bill 02'!Print_Area</vt:lpstr>
      <vt:lpstr>'SWEIHAN-Bill 03'!Print_Area</vt:lpstr>
      <vt:lpstr>'SWEIHAN-Bill 04'!Print_Area</vt:lpstr>
      <vt:lpstr>'SWEIHAN-Bill 05'!Print_Area</vt:lpstr>
      <vt:lpstr>'SWEIHAN-Summary '!Print_Area</vt:lpstr>
      <vt:lpstr>'AL Dhaher Bill 01'!Print_Titles</vt:lpstr>
      <vt:lpstr>'AL Dhaher-Bill 02'!Print_Titles</vt:lpstr>
      <vt:lpstr>'AL Dhaher-Bill 03'!Print_Titles</vt:lpstr>
      <vt:lpstr>'AL Dhaher-Bill 04'!Print_Titles</vt:lpstr>
      <vt:lpstr>'AL Dhaher-Bill 05'!Print_Titles</vt:lpstr>
      <vt:lpstr>'AL SAAD- Bill 02'!Print_Titles</vt:lpstr>
      <vt:lpstr>'AL SAAD- Bill 05'!Print_Titles</vt:lpstr>
      <vt:lpstr>'AL SAAD-Bill 01'!Print_Titles</vt:lpstr>
      <vt:lpstr>'AL SAAD-Bill 03'!Print_Titles</vt:lpstr>
      <vt:lpstr>'AL SAAD-Bill 04'!Print_Titles</vt:lpstr>
      <vt:lpstr>'AL SAAD-Summary '!Print_Titles</vt:lpstr>
      <vt:lpstr>'ALDhaher-Summary '!Print_Titles</vt:lpstr>
      <vt:lpstr>'DAYWORKS-Bill 06'!Print_Titles</vt:lpstr>
      <vt:lpstr>'GENERAL ITEMS'!Print_Titles</vt:lpstr>
      <vt:lpstr>'Nahel-Bill 01'!Print_Titles</vt:lpstr>
      <vt:lpstr>'Nahel-Bill 02'!Print_Titles</vt:lpstr>
      <vt:lpstr>'Nahel-Bill 03'!Print_Titles</vt:lpstr>
      <vt:lpstr>'Nahel-Bill 04'!Print_Titles</vt:lpstr>
      <vt:lpstr>'Nahel-Bill 05'!Print_Titles</vt:lpstr>
      <vt:lpstr>'Nahel-Summary '!Print_Titles</vt:lpstr>
      <vt:lpstr>'Project Summary '!Print_Titles</vt:lpstr>
      <vt:lpstr>'SWEIHAN-Bill 01'!Print_Titles</vt:lpstr>
      <vt:lpstr>'SWEIHAN-Bill 02'!Print_Titles</vt:lpstr>
      <vt:lpstr>'SWEIHAN-Bill 03'!Print_Titles</vt:lpstr>
      <vt:lpstr>'SWEIHAN-Bill 04'!Print_Titles</vt:lpstr>
      <vt:lpstr>'SWEIHAN-Bill 05'!Print_Titles</vt:lpstr>
      <vt:lpstr>'SWEIHAN-Summary '!Print_Titles</vt:lpstr>
    </vt:vector>
  </TitlesOfParts>
  <Company>AADC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122393</dc:creator>
  <cp:lastModifiedBy>Project</cp:lastModifiedBy>
  <cp:lastPrinted>2026-01-26T07:00:04Z</cp:lastPrinted>
  <dcterms:created xsi:type="dcterms:W3CDTF">2010-06-22T05:15:52Z</dcterms:created>
  <dcterms:modified xsi:type="dcterms:W3CDTF">2026-01-26T07:05:07Z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0x010100040649E287B33147A96E520466260979</vt:lpwstr>
  </property>
  <property fmtid="{D5CDD505-2E9C-101B-9397-08002B2CF9AE}" pid="3" name="PlanSwiftJobName">
    <vt:lpwstr/>
  </property>
  <property fmtid="{D5CDD505-2E9C-101B-9397-08002B2CF9AE}" pid="4" name="PlanSwiftJobGuid">
    <vt:lpwstr/>
  </property>
  <property fmtid="{D5CDD505-2E9C-101B-9397-08002B2CF9AE}" pid="5" name="LinkedDataId">
    <vt:lpwstr>{9BE07250-5DA4-4810-941F-CD848F67312E}</vt:lpwstr>
  </property>
  <property fmtid="{D5CDD505-2E9C-101B-9397-08002B2CF9AE}" pid="6" name="_dlc_DocIdItemGuid">
    <vt:lpwstr>7c6fe8c7-aba3-40b4-be44-3d1f420345c9</vt:lpwstr>
  </property>
</Properties>
</file>